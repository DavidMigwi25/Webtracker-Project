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520" windowHeight="9465" activeTab="2"/>
  </bookViews>
  <sheets>
    <sheet name="ReadMe" sheetId="3" r:id="rId1"/>
    <sheet name="Sheet3" sheetId="5" r:id="rId2"/>
    <sheet name="Data" sheetId="1" r:id="rId3"/>
    <sheet name="Brief" sheetId="2" r:id="rId4"/>
  </sheets>
  <definedNames>
    <definedName name="_xlnm._FilterDatabase" localSheetId="2" hidden="1">Data!$P$1:$AA$633</definedName>
  </definedNames>
  <calcPr calcId="162913"/>
  <pivotCaches>
    <pivotCache cacheId="73" r:id="rId5"/>
  </pivotCaches>
</workbook>
</file>

<file path=xl/calcChain.xml><?xml version="1.0" encoding="utf-8"?>
<calcChain xmlns="http://schemas.openxmlformats.org/spreadsheetml/2006/main">
  <c r="AB2" i="1" l="1" a="1"/>
  <c r="AB2" i="1" s="1"/>
  <c r="AD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2" i="1"/>
  <c r="AB3" i="1" a="1"/>
  <c r="AB3" i="1" s="1"/>
  <c r="AB4" i="1" a="1"/>
  <c r="AB4" i="1"/>
  <c r="AB5" i="1" a="1"/>
  <c r="AB5" i="1" s="1"/>
  <c r="AB6" i="1" a="1"/>
  <c r="AB6" i="1"/>
  <c r="AB7" i="1" a="1"/>
  <c r="AB7" i="1" s="1"/>
  <c r="AB8" i="1" a="1"/>
  <c r="AB8" i="1" s="1"/>
  <c r="AB9" i="1" a="1"/>
  <c r="AB9" i="1" s="1"/>
  <c r="AB10" i="1" a="1"/>
  <c r="AB10" i="1"/>
  <c r="AB11" i="1" a="1"/>
  <c r="AB11" i="1" s="1"/>
  <c r="AB12" i="1" a="1"/>
  <c r="AB12" i="1"/>
  <c r="AB13" i="1" a="1"/>
  <c r="AB13" i="1" s="1"/>
  <c r="AB14" i="1" a="1"/>
  <c r="AB14" i="1"/>
  <c r="AB15" i="1" a="1"/>
  <c r="AB15" i="1" s="1"/>
  <c r="AB16" i="1" a="1"/>
  <c r="AB16" i="1" s="1"/>
  <c r="AB17" i="1" a="1"/>
  <c r="AB17" i="1" s="1"/>
  <c r="AB18" i="1" a="1"/>
  <c r="AB18" i="1"/>
  <c r="AB19" i="1" a="1"/>
  <c r="AB19" i="1" s="1"/>
  <c r="AB20" i="1" a="1"/>
  <c r="AB20" i="1"/>
  <c r="AB21" i="1" a="1"/>
  <c r="AB21" i="1" s="1"/>
  <c r="AB22" i="1" a="1"/>
  <c r="AB22" i="1"/>
  <c r="AB23" i="1" a="1"/>
  <c r="AB23" i="1" s="1"/>
  <c r="AB24" i="1" a="1"/>
  <c r="AB24" i="1" s="1"/>
  <c r="AB25" i="1" a="1"/>
  <c r="AB25" i="1" s="1"/>
  <c r="AB26" i="1" a="1"/>
  <c r="AB26" i="1"/>
  <c r="AB27" i="1" a="1"/>
  <c r="AB27" i="1" s="1"/>
  <c r="AB28" i="1" a="1"/>
  <c r="AB28" i="1"/>
  <c r="AB29" i="1" a="1"/>
  <c r="AB29" i="1" s="1"/>
  <c r="AB30" i="1" a="1"/>
  <c r="AB30" i="1"/>
  <c r="AB31" i="1" a="1"/>
  <c r="AB31" i="1" s="1"/>
  <c r="AB32" i="1" a="1"/>
  <c r="AB32" i="1" s="1"/>
  <c r="AB33" i="1" a="1"/>
  <c r="AB33" i="1" s="1"/>
  <c r="AB34" i="1" a="1"/>
  <c r="AB34" i="1"/>
  <c r="AB35" i="1" a="1"/>
  <c r="AB35" i="1" s="1"/>
  <c r="AB36" i="1" a="1"/>
  <c r="AB36" i="1"/>
  <c r="AB37" i="1" a="1"/>
  <c r="AB37" i="1" s="1"/>
  <c r="AB38" i="1" a="1"/>
  <c r="AB38" i="1"/>
  <c r="AB39" i="1" a="1"/>
  <c r="AB39" i="1" s="1"/>
  <c r="AB40" i="1" a="1"/>
  <c r="AB40" i="1" s="1"/>
  <c r="AB41" i="1" a="1"/>
  <c r="AB41" i="1" s="1"/>
  <c r="AB42" i="1" a="1"/>
  <c r="AB42" i="1"/>
  <c r="AB43" i="1" a="1"/>
  <c r="AB43" i="1" s="1"/>
  <c r="AB44" i="1" a="1"/>
  <c r="AB44" i="1"/>
  <c r="AB45" i="1" a="1"/>
  <c r="AB45" i="1" s="1"/>
  <c r="AB46" i="1" a="1"/>
  <c r="AB46" i="1"/>
  <c r="AB47" i="1" a="1"/>
  <c r="AB47" i="1" s="1"/>
  <c r="AB48" i="1" a="1"/>
  <c r="AB48" i="1" s="1"/>
  <c r="AB49" i="1" a="1"/>
  <c r="AB49" i="1" s="1"/>
  <c r="AB50" i="1" a="1"/>
  <c r="AB50" i="1"/>
  <c r="AB51" i="1" a="1"/>
  <c r="AB51" i="1" s="1"/>
  <c r="AB52" i="1" a="1"/>
  <c r="AB52" i="1"/>
  <c r="AB53" i="1" a="1"/>
  <c r="AB53" i="1" s="1"/>
  <c r="AB54" i="1" a="1"/>
  <c r="AB54" i="1"/>
  <c r="AB55" i="1" a="1"/>
  <c r="AB55" i="1" s="1"/>
  <c r="AB56" i="1" a="1"/>
  <c r="AB56" i="1" s="1"/>
  <c r="AB57" i="1" a="1"/>
  <c r="AB57" i="1" s="1"/>
  <c r="AB58" i="1" a="1"/>
  <c r="AB58" i="1"/>
  <c r="AB59" i="1" a="1"/>
  <c r="AB59" i="1" s="1"/>
  <c r="AB60" i="1" a="1"/>
  <c r="AB60" i="1"/>
  <c r="AB61" i="1" a="1"/>
  <c r="AB61" i="1" s="1"/>
  <c r="AB62" i="1" a="1"/>
  <c r="AB62" i="1"/>
  <c r="AB63" i="1" a="1"/>
  <c r="AB63" i="1" s="1"/>
  <c r="AB64" i="1" a="1"/>
  <c r="AB64" i="1" s="1"/>
  <c r="AB65" i="1" a="1"/>
  <c r="AB65" i="1" s="1"/>
  <c r="AB66" i="1" a="1"/>
  <c r="AB66" i="1" s="1"/>
  <c r="AB67" i="1" a="1"/>
  <c r="AB67" i="1" s="1"/>
  <c r="AB68" i="1" a="1"/>
  <c r="AB68" i="1"/>
  <c r="AB69" i="1" a="1"/>
  <c r="AB69" i="1" s="1"/>
  <c r="AB70" i="1" a="1"/>
  <c r="AB70" i="1"/>
  <c r="AB71" i="1" a="1"/>
  <c r="AB71" i="1" s="1"/>
  <c r="AB72" i="1" a="1"/>
  <c r="AB72" i="1" s="1"/>
  <c r="AB73" i="1" a="1"/>
  <c r="AB73" i="1" s="1"/>
  <c r="AB74" i="1" a="1"/>
  <c r="AB74" i="1" s="1"/>
  <c r="AB75" i="1" a="1"/>
  <c r="AB75" i="1" s="1"/>
  <c r="AB76" i="1" a="1"/>
  <c r="AB76" i="1"/>
  <c r="AB77" i="1" a="1"/>
  <c r="AB77" i="1" s="1"/>
  <c r="AB78" i="1" a="1"/>
  <c r="AB78" i="1"/>
  <c r="AB79" i="1" a="1"/>
  <c r="AB79" i="1" s="1"/>
  <c r="AB80" i="1" a="1"/>
  <c r="AB80" i="1" s="1"/>
  <c r="AB81" i="1" a="1"/>
  <c r="AB81" i="1" s="1"/>
  <c r="AB82" i="1" a="1"/>
  <c r="AB82" i="1" s="1"/>
  <c r="AB83" i="1" a="1"/>
  <c r="AB83" i="1" s="1"/>
  <c r="AB84" i="1" a="1"/>
  <c r="AB84" i="1"/>
  <c r="AB85" i="1" a="1"/>
  <c r="AB85" i="1" s="1"/>
  <c r="AB86" i="1" a="1"/>
  <c r="AB86" i="1"/>
  <c r="AB87" i="1" a="1"/>
  <c r="AB87" i="1" s="1"/>
  <c r="AB88" i="1" a="1"/>
  <c r="AB88" i="1" s="1"/>
  <c r="AB89" i="1" a="1"/>
  <c r="AB89" i="1" s="1"/>
  <c r="AB90" i="1" a="1"/>
  <c r="AB90" i="1" s="1"/>
  <c r="AB91" i="1" a="1"/>
  <c r="AB91" i="1" s="1"/>
  <c r="AB92" i="1" a="1"/>
  <c r="AB92" i="1"/>
  <c r="AB93" i="1" a="1"/>
  <c r="AB93" i="1" s="1"/>
  <c r="AB94" i="1" a="1"/>
  <c r="AB94" i="1"/>
  <c r="AB95" i="1" a="1"/>
  <c r="AB95" i="1" s="1"/>
  <c r="AB96" i="1" a="1"/>
  <c r="AB96" i="1" s="1"/>
  <c r="AB97" i="1" a="1"/>
  <c r="AB97" i="1" s="1"/>
  <c r="AB98" i="1" a="1"/>
  <c r="AB98" i="1" s="1"/>
  <c r="AB99" i="1" a="1"/>
  <c r="AB99" i="1" s="1"/>
  <c r="AB100" i="1" a="1"/>
  <c r="AB100" i="1"/>
  <c r="AB101" i="1" a="1"/>
  <c r="AB101" i="1" s="1"/>
  <c r="AB102" i="1" a="1"/>
  <c r="AB102" i="1"/>
  <c r="AB103" i="1" a="1"/>
  <c r="AB103" i="1" s="1"/>
  <c r="AB104" i="1" a="1"/>
  <c r="AB104" i="1" s="1"/>
  <c r="AB105" i="1" a="1"/>
  <c r="AB105" i="1" s="1"/>
  <c r="AB106" i="1" a="1"/>
  <c r="AB106" i="1" s="1"/>
  <c r="AB107" i="1" a="1"/>
  <c r="AB107" i="1" s="1"/>
  <c r="AB108" i="1" a="1"/>
  <c r="AB108" i="1"/>
  <c r="AB109" i="1" a="1"/>
  <c r="AB109" i="1" s="1"/>
  <c r="AB110" i="1" a="1"/>
  <c r="AB110" i="1"/>
  <c r="AB111" i="1" a="1"/>
  <c r="AB111" i="1" s="1"/>
  <c r="AB112" i="1" a="1"/>
  <c r="AB112" i="1" s="1"/>
  <c r="AB113" i="1" a="1"/>
  <c r="AB113" i="1" s="1"/>
  <c r="AB114" i="1" a="1"/>
  <c r="AB114" i="1"/>
  <c r="AB115" i="1" a="1"/>
  <c r="AB115" i="1" s="1"/>
  <c r="AB116" i="1" a="1"/>
  <c r="AB116" i="1"/>
  <c r="AB117" i="1" a="1"/>
  <c r="AB117" i="1" s="1"/>
  <c r="AB118" i="1" a="1"/>
  <c r="AB118" i="1"/>
  <c r="AB119" i="1" a="1"/>
  <c r="AB119" i="1" s="1"/>
  <c r="AB120" i="1" a="1"/>
  <c r="AB120" i="1" s="1"/>
  <c r="AB121" i="1" a="1"/>
  <c r="AB121" i="1" s="1"/>
  <c r="AB122" i="1" a="1"/>
  <c r="AB122" i="1" s="1"/>
  <c r="AB123" i="1" a="1"/>
  <c r="AB123" i="1" s="1"/>
  <c r="AB124" i="1" a="1"/>
  <c r="AB124" i="1"/>
  <c r="AB125" i="1" a="1"/>
  <c r="AB125" i="1" s="1"/>
  <c r="AB126" i="1" a="1"/>
  <c r="AB126" i="1"/>
  <c r="AB127" i="1" a="1"/>
  <c r="AB127" i="1" s="1"/>
  <c r="AB128" i="1" a="1"/>
  <c r="AB128" i="1" s="1"/>
  <c r="AB129" i="1" a="1"/>
  <c r="AB129" i="1" s="1"/>
  <c r="AB130" i="1" a="1"/>
  <c r="AB130" i="1"/>
  <c r="AB131" i="1" a="1"/>
  <c r="AB131" i="1" s="1"/>
  <c r="AB132" i="1" a="1"/>
  <c r="AB132" i="1"/>
  <c r="AB133" i="1" a="1"/>
  <c r="AB133" i="1" s="1"/>
  <c r="AB134" i="1" a="1"/>
  <c r="AB134" i="1"/>
  <c r="AB135" i="1" a="1"/>
  <c r="AB135" i="1" s="1"/>
  <c r="AB136" i="1" a="1"/>
  <c r="AB136" i="1" s="1"/>
  <c r="AB137" i="1" a="1"/>
  <c r="AB137" i="1" s="1"/>
  <c r="AB138" i="1" a="1"/>
  <c r="AB138" i="1" s="1"/>
  <c r="AB139" i="1" a="1"/>
  <c r="AB139" i="1" s="1"/>
  <c r="AB140" i="1" a="1"/>
  <c r="AB140" i="1"/>
  <c r="AB141" i="1" a="1"/>
  <c r="AB141" i="1" s="1"/>
  <c r="AB142" i="1" a="1"/>
  <c r="AB142" i="1"/>
  <c r="AB143" i="1" a="1"/>
  <c r="AB143" i="1" s="1"/>
  <c r="AB144" i="1" a="1"/>
  <c r="AB144" i="1" s="1"/>
  <c r="AB145" i="1" a="1"/>
  <c r="AB145" i="1" s="1"/>
  <c r="AB146" i="1" a="1"/>
  <c r="AB146" i="1"/>
  <c r="AB147" i="1" a="1"/>
  <c r="AB147" i="1" s="1"/>
  <c r="AB148" i="1" a="1"/>
  <c r="AB148" i="1"/>
  <c r="AB149" i="1" a="1"/>
  <c r="AB149" i="1" s="1"/>
  <c r="AB150" i="1" a="1"/>
  <c r="AB150" i="1"/>
  <c r="AB151" i="1" a="1"/>
  <c r="AB151" i="1" s="1"/>
  <c r="AB152" i="1" a="1"/>
  <c r="AB152" i="1" s="1"/>
  <c r="AB153" i="1" a="1"/>
  <c r="AB153" i="1" s="1"/>
  <c r="AB154" i="1" a="1"/>
  <c r="AB154" i="1" s="1"/>
  <c r="AB155" i="1" a="1"/>
  <c r="AB155" i="1" s="1"/>
  <c r="AB156" i="1" a="1"/>
  <c r="AB156" i="1" s="1"/>
  <c r="AB157" i="1" a="1"/>
  <c r="AB157" i="1" s="1"/>
  <c r="AB158" i="1" a="1"/>
  <c r="AB158" i="1"/>
  <c r="AB159" i="1" a="1"/>
  <c r="AB159" i="1" s="1"/>
  <c r="AB160" i="1" a="1"/>
  <c r="AB160" i="1" s="1"/>
  <c r="AB161" i="1" a="1"/>
  <c r="AB161" i="1" s="1"/>
  <c r="AB162" i="1" a="1"/>
  <c r="AB162" i="1" s="1"/>
  <c r="AB163" i="1" a="1"/>
  <c r="AB163" i="1" s="1"/>
  <c r="AB164" i="1" a="1"/>
  <c r="AB164" i="1" s="1"/>
  <c r="AB165" i="1" a="1"/>
  <c r="AB165" i="1" s="1"/>
  <c r="AB166" i="1" a="1"/>
  <c r="AB166" i="1"/>
  <c r="AB167" i="1" a="1"/>
  <c r="AB167" i="1" s="1"/>
  <c r="AB168" i="1" a="1"/>
  <c r="AB168" i="1" s="1"/>
  <c r="AB169" i="1" a="1"/>
  <c r="AB169" i="1" s="1"/>
  <c r="AB170" i="1" a="1"/>
  <c r="AB170" i="1" s="1"/>
  <c r="AB171" i="1" a="1"/>
  <c r="AB171" i="1" s="1"/>
  <c r="AB172" i="1" a="1"/>
  <c r="AB172" i="1"/>
  <c r="AB173" i="1" a="1"/>
  <c r="AB173" i="1" s="1"/>
  <c r="AB174" i="1" a="1"/>
  <c r="AB174" i="1" s="1"/>
  <c r="AB175" i="1" a="1"/>
  <c r="AB175" i="1" s="1"/>
  <c r="AB176" i="1" a="1"/>
  <c r="AB176" i="1" s="1"/>
  <c r="AB177" i="1" a="1"/>
  <c r="AB177" i="1" s="1"/>
  <c r="AB178" i="1" a="1"/>
  <c r="AB178" i="1" s="1"/>
  <c r="AB179" i="1" a="1"/>
  <c r="AB179" i="1" s="1"/>
  <c r="AB180" i="1" a="1"/>
  <c r="AB180" i="1"/>
  <c r="AB181" i="1" a="1"/>
  <c r="AB181" i="1" s="1"/>
  <c r="AB182" i="1" a="1"/>
  <c r="AB182" i="1" s="1"/>
  <c r="AB183" i="1" a="1"/>
  <c r="AB183" i="1" s="1"/>
  <c r="AB184" i="1" a="1"/>
  <c r="AB184" i="1" s="1"/>
  <c r="AB185" i="1" a="1"/>
  <c r="AB185" i="1" s="1"/>
  <c r="AB186" i="1" a="1"/>
  <c r="AB186" i="1" s="1"/>
  <c r="AB187" i="1" a="1"/>
  <c r="AB187" i="1" s="1"/>
  <c r="AB188" i="1" a="1"/>
  <c r="AB188" i="1"/>
  <c r="AB189" i="1" a="1"/>
  <c r="AB189" i="1" s="1"/>
  <c r="AB190" i="1" a="1"/>
  <c r="AB190" i="1" s="1"/>
  <c r="AB191" i="1" a="1"/>
  <c r="AB191" i="1" s="1"/>
  <c r="AB192" i="1" a="1"/>
  <c r="AB192" i="1" s="1"/>
  <c r="AB193" i="1" a="1"/>
  <c r="AB193" i="1" s="1"/>
  <c r="AB194" i="1" a="1"/>
  <c r="AB194" i="1" s="1"/>
  <c r="AB195" i="1" a="1"/>
  <c r="AB195" i="1" s="1"/>
  <c r="AB196" i="1" a="1"/>
  <c r="AB196" i="1"/>
  <c r="AB197" i="1" a="1"/>
  <c r="AB197" i="1" s="1"/>
  <c r="AB198" i="1" a="1"/>
  <c r="AB198" i="1" s="1"/>
  <c r="AB199" i="1" a="1"/>
  <c r="AB199" i="1" s="1"/>
  <c r="AB200" i="1" a="1"/>
  <c r="AB200" i="1"/>
  <c r="AB201" i="1" a="1"/>
  <c r="AB201" i="1" s="1"/>
  <c r="AB202" i="1" a="1"/>
  <c r="AB202" i="1" s="1"/>
  <c r="AB203" i="1" a="1"/>
  <c r="AB203" i="1" s="1"/>
  <c r="AB204" i="1" a="1"/>
  <c r="AB204" i="1"/>
  <c r="AB205" i="1" a="1"/>
  <c r="AB205" i="1" s="1"/>
  <c r="AB206" i="1" a="1"/>
  <c r="AB206" i="1" s="1"/>
  <c r="AB207" i="1" a="1"/>
  <c r="AB207" i="1" s="1"/>
  <c r="AB208" i="1" a="1"/>
  <c r="AB208" i="1"/>
  <c r="AB209" i="1" a="1"/>
  <c r="AB209" i="1" s="1"/>
  <c r="AB210" i="1" a="1"/>
  <c r="AB210" i="1" s="1"/>
  <c r="AB211" i="1" a="1"/>
  <c r="AB211" i="1" s="1"/>
  <c r="AB212" i="1" a="1"/>
  <c r="AB212" i="1"/>
  <c r="AB213" i="1" a="1"/>
  <c r="AB213" i="1" s="1"/>
  <c r="AB214" i="1" a="1"/>
  <c r="AB214" i="1" s="1"/>
  <c r="AB215" i="1" a="1"/>
  <c r="AB215" i="1" s="1"/>
  <c r="AB216" i="1" a="1"/>
  <c r="AB216" i="1" s="1"/>
  <c r="AB217" i="1" a="1"/>
  <c r="AB217" i="1" s="1"/>
  <c r="AB218" i="1" a="1"/>
  <c r="AB218" i="1" s="1"/>
  <c r="AB219" i="1" a="1"/>
  <c r="AB219" i="1" s="1"/>
  <c r="AB220" i="1" a="1"/>
  <c r="AB220" i="1"/>
  <c r="AB221" i="1" a="1"/>
  <c r="AB221" i="1" s="1"/>
  <c r="AB222" i="1" a="1"/>
  <c r="AB222" i="1" s="1"/>
  <c r="AB223" i="1" a="1"/>
  <c r="AB223" i="1" s="1"/>
  <c r="AB224" i="1" a="1"/>
  <c r="AB224" i="1" s="1"/>
  <c r="AB225" i="1" a="1"/>
  <c r="AB225" i="1" s="1"/>
  <c r="AB226" i="1" a="1"/>
  <c r="AB226" i="1" s="1"/>
  <c r="AB227" i="1" a="1"/>
  <c r="AB227" i="1" s="1"/>
  <c r="AB228" i="1" a="1"/>
  <c r="AB228" i="1"/>
  <c r="AB229" i="1" a="1"/>
  <c r="AB229" i="1" s="1"/>
  <c r="AB230" i="1" a="1"/>
  <c r="AB230" i="1" s="1"/>
  <c r="AB231" i="1" a="1"/>
  <c r="AB231" i="1" s="1"/>
  <c r="AB232" i="1" a="1"/>
  <c r="AB232" i="1" s="1"/>
  <c r="AB233" i="1" a="1"/>
  <c r="AB233" i="1" s="1"/>
  <c r="AB234" i="1" a="1"/>
  <c r="AB234" i="1" s="1"/>
  <c r="AB235" i="1" a="1"/>
  <c r="AB235" i="1" s="1"/>
  <c r="AB236" i="1" a="1"/>
  <c r="AB236" i="1"/>
  <c r="AB237" i="1" a="1"/>
  <c r="AB237" i="1" s="1"/>
  <c r="AB238" i="1" a="1"/>
  <c r="AB238" i="1" s="1"/>
  <c r="AB239" i="1" a="1"/>
  <c r="AB239" i="1" s="1"/>
  <c r="AB240" i="1" a="1"/>
  <c r="AB240" i="1" s="1"/>
  <c r="AB241" i="1" a="1"/>
  <c r="AB241" i="1" s="1"/>
  <c r="AB242" i="1" a="1"/>
  <c r="AB242" i="1" s="1"/>
  <c r="AB243" i="1" a="1"/>
  <c r="AB243" i="1" s="1"/>
  <c r="AB244" i="1" a="1"/>
  <c r="AB244" i="1"/>
  <c r="AB245" i="1" a="1"/>
  <c r="AB245" i="1" s="1"/>
  <c r="AB246" i="1" a="1"/>
  <c r="AB246" i="1" s="1"/>
  <c r="AB247" i="1" a="1"/>
  <c r="AB247" i="1" s="1"/>
  <c r="AB248" i="1" a="1"/>
  <c r="AB248" i="1" s="1"/>
  <c r="AB249" i="1" a="1"/>
  <c r="AB249" i="1" s="1"/>
  <c r="AB250" i="1" a="1"/>
  <c r="AB250" i="1" s="1"/>
  <c r="AB251" i="1" a="1"/>
  <c r="AB251" i="1" s="1"/>
  <c r="AB252" i="1" a="1"/>
  <c r="AB252" i="1"/>
  <c r="AB253" i="1" a="1"/>
  <c r="AB253" i="1" s="1"/>
  <c r="AB254" i="1" a="1"/>
  <c r="AB254" i="1" s="1"/>
  <c r="AB255" i="1" a="1"/>
  <c r="AB255" i="1" s="1"/>
  <c r="AB256" i="1" a="1"/>
  <c r="AB256" i="1" s="1"/>
  <c r="AB257" i="1" a="1"/>
  <c r="AB257" i="1" s="1"/>
  <c r="AB258" i="1" a="1"/>
  <c r="AB258" i="1" s="1"/>
  <c r="AB259" i="1" a="1"/>
  <c r="AB259" i="1" s="1"/>
  <c r="AB260" i="1" a="1"/>
  <c r="AB260" i="1"/>
  <c r="AB261" i="1" a="1"/>
  <c r="AB261" i="1" s="1"/>
  <c r="AB262" i="1" a="1"/>
  <c r="AB262" i="1" s="1"/>
  <c r="AB263" i="1" a="1"/>
  <c r="AB263" i="1" s="1"/>
  <c r="AB264" i="1" a="1"/>
  <c r="AB264" i="1" s="1"/>
  <c r="AB265" i="1" a="1"/>
  <c r="AB265" i="1" s="1"/>
  <c r="AB266" i="1" a="1"/>
  <c r="AB266" i="1" s="1"/>
  <c r="AB267" i="1" a="1"/>
  <c r="AB267" i="1" s="1"/>
  <c r="AB268" i="1" a="1"/>
  <c r="AB268" i="1"/>
  <c r="AB269" i="1" a="1"/>
  <c r="AB269" i="1" s="1"/>
  <c r="AB270" i="1" a="1"/>
  <c r="AB270" i="1" s="1"/>
  <c r="AB271" i="1" a="1"/>
  <c r="AB271" i="1" s="1"/>
  <c r="AB272" i="1" a="1"/>
  <c r="AB272" i="1" s="1"/>
  <c r="AB273" i="1" a="1"/>
  <c r="AB273" i="1" s="1"/>
  <c r="AB274" i="1" a="1"/>
  <c r="AB274" i="1" s="1"/>
  <c r="AB275" i="1" a="1"/>
  <c r="AB275" i="1" s="1"/>
  <c r="AB276" i="1" a="1"/>
  <c r="AB276" i="1"/>
  <c r="AB277" i="1" a="1"/>
  <c r="AB277" i="1" s="1"/>
  <c r="AB278" i="1" a="1"/>
  <c r="AB278" i="1" s="1"/>
  <c r="AB279" i="1" a="1"/>
  <c r="AB279" i="1" s="1"/>
  <c r="AB280" i="1" a="1"/>
  <c r="AB280" i="1" s="1"/>
  <c r="AB281" i="1" a="1"/>
  <c r="AB281" i="1" s="1"/>
  <c r="AB282" i="1" a="1"/>
  <c r="AB282" i="1" s="1"/>
  <c r="AB283" i="1" a="1"/>
  <c r="AB283" i="1" s="1"/>
  <c r="AB284" i="1" a="1"/>
  <c r="AB284" i="1"/>
  <c r="AB285" i="1" a="1"/>
  <c r="AB285" i="1" s="1"/>
  <c r="AB286" i="1" a="1"/>
  <c r="AB286" i="1" s="1"/>
  <c r="AB287" i="1" a="1"/>
  <c r="AB287" i="1" s="1"/>
  <c r="AB288" i="1" a="1"/>
  <c r="AB288" i="1"/>
  <c r="AB289" i="1" a="1"/>
  <c r="AB289" i="1" s="1"/>
  <c r="AB290" i="1" a="1"/>
  <c r="AB290" i="1"/>
  <c r="AB291" i="1" a="1"/>
  <c r="AB291" i="1" s="1"/>
  <c r="AB292" i="1" a="1"/>
  <c r="AB292" i="1"/>
  <c r="AB293" i="1" a="1"/>
  <c r="AB293" i="1" s="1"/>
  <c r="AB294" i="1" a="1"/>
  <c r="AB294" i="1" s="1"/>
  <c r="AB295" i="1" a="1"/>
  <c r="AB295" i="1" s="1"/>
  <c r="AB296" i="1" a="1"/>
  <c r="AB296" i="1"/>
  <c r="AB297" i="1" a="1"/>
  <c r="AB297" i="1" s="1"/>
  <c r="AB298" i="1" a="1"/>
  <c r="AB298" i="1"/>
  <c r="AB299" i="1" a="1"/>
  <c r="AB299" i="1" s="1"/>
  <c r="AB300" i="1" a="1"/>
  <c r="AB300" i="1"/>
  <c r="AB301" i="1" a="1"/>
  <c r="AB301" i="1" s="1"/>
  <c r="AB302" i="1" a="1"/>
  <c r="AB302" i="1"/>
  <c r="AB303" i="1" a="1"/>
  <c r="AB303" i="1" s="1"/>
  <c r="AB304" i="1" a="1"/>
  <c r="AB304" i="1"/>
  <c r="AB305" i="1" a="1"/>
  <c r="AB305" i="1" s="1"/>
  <c r="AB306" i="1" a="1"/>
  <c r="AB306" i="1"/>
  <c r="AB307" i="1" a="1"/>
  <c r="AB307" i="1" s="1"/>
  <c r="AB308" i="1" a="1"/>
  <c r="AB308" i="1"/>
  <c r="AB309" i="1" a="1"/>
  <c r="AB309" i="1" s="1"/>
  <c r="AB310" i="1" a="1"/>
  <c r="AB310" i="1"/>
  <c r="AB311" i="1" a="1"/>
  <c r="AB311" i="1" s="1"/>
  <c r="AB312" i="1" a="1"/>
  <c r="AB312" i="1"/>
  <c r="AB313" i="1" a="1"/>
  <c r="AB313" i="1" s="1"/>
  <c r="AB314" i="1" a="1"/>
  <c r="AB314" i="1"/>
  <c r="AB315" i="1" a="1"/>
  <c r="AB315" i="1" s="1"/>
  <c r="AB316" i="1" a="1"/>
  <c r="AB316" i="1"/>
  <c r="AB317" i="1" a="1"/>
  <c r="AB317" i="1" s="1"/>
  <c r="AB318" i="1" a="1"/>
  <c r="AB318" i="1"/>
  <c r="AB319" i="1" a="1"/>
  <c r="AB319" i="1" s="1"/>
  <c r="AB320" i="1" a="1"/>
  <c r="AB320" i="1"/>
  <c r="AB321" i="1" a="1"/>
  <c r="AB321" i="1" s="1"/>
  <c r="AB322" i="1" a="1"/>
  <c r="AB322" i="1"/>
  <c r="AB323" i="1" a="1"/>
  <c r="AB323" i="1" s="1"/>
  <c r="AB324" i="1" a="1"/>
  <c r="AB324" i="1"/>
  <c r="AB325" i="1" a="1"/>
  <c r="AB325" i="1" s="1"/>
  <c r="AB326" i="1" a="1"/>
  <c r="AB326" i="1"/>
  <c r="AB327" i="1" a="1"/>
  <c r="AB327" i="1" s="1"/>
  <c r="AB328" i="1" a="1"/>
  <c r="AB328" i="1"/>
  <c r="AB329" i="1" a="1"/>
  <c r="AB329" i="1" s="1"/>
  <c r="AB330" i="1" a="1"/>
  <c r="AB330" i="1"/>
  <c r="AB331" i="1" a="1"/>
  <c r="AB331" i="1" s="1"/>
  <c r="AB332" i="1" a="1"/>
  <c r="AB332" i="1"/>
  <c r="AB333" i="1" a="1"/>
  <c r="AB333" i="1" s="1"/>
  <c r="AB334" i="1" a="1"/>
  <c r="AB334" i="1"/>
  <c r="AB335" i="1" a="1"/>
  <c r="AB335" i="1" s="1"/>
  <c r="AB336" i="1" a="1"/>
  <c r="AB336" i="1"/>
  <c r="AB337" i="1" a="1"/>
  <c r="AB337" i="1" s="1"/>
  <c r="AB338" i="1" a="1"/>
  <c r="AB338" i="1"/>
  <c r="AB339" i="1" a="1"/>
  <c r="AB339" i="1" s="1"/>
  <c r="AB340" i="1" a="1"/>
  <c r="AB340" i="1"/>
  <c r="AB341" i="1" a="1"/>
  <c r="AB341" i="1" s="1"/>
  <c r="AB342" i="1" a="1"/>
  <c r="AB342" i="1"/>
  <c r="AB343" i="1" a="1"/>
  <c r="AB343" i="1" s="1"/>
  <c r="AB344" i="1" a="1"/>
  <c r="AB344" i="1"/>
  <c r="AB345" i="1" a="1"/>
  <c r="AB345" i="1" s="1"/>
  <c r="AB346" i="1" a="1"/>
  <c r="AB346" i="1"/>
  <c r="AB347" i="1" a="1"/>
  <c r="AB347" i="1" s="1"/>
  <c r="AB348" i="1" a="1"/>
  <c r="AB348" i="1"/>
  <c r="AB349" i="1" a="1"/>
  <c r="AB349" i="1" s="1"/>
  <c r="AB350" i="1" a="1"/>
  <c r="AB350" i="1"/>
  <c r="AB351" i="1" a="1"/>
  <c r="AB351" i="1" s="1"/>
  <c r="AB352" i="1" a="1"/>
  <c r="AB352" i="1" s="1"/>
  <c r="AB353" i="1" a="1"/>
  <c r="AB353" i="1"/>
  <c r="AB354" i="1" a="1"/>
  <c r="AB354" i="1" s="1"/>
  <c r="AB355" i="1" a="1"/>
  <c r="AB355" i="1" s="1"/>
  <c r="AB356" i="1" a="1"/>
  <c r="AB356" i="1" s="1"/>
  <c r="AB357" i="1" a="1"/>
  <c r="AB357" i="1"/>
  <c r="AB358" i="1" a="1"/>
  <c r="AB358" i="1" s="1"/>
  <c r="AB359" i="1" a="1"/>
  <c r="AB359" i="1" s="1"/>
  <c r="AB360" i="1" a="1"/>
  <c r="AB360" i="1" s="1"/>
  <c r="AB361" i="1" a="1"/>
  <c r="AB361" i="1"/>
  <c r="AB362" i="1" a="1"/>
  <c r="AB362" i="1" s="1"/>
  <c r="AB363" i="1" a="1"/>
  <c r="AB363" i="1" s="1"/>
  <c r="AB364" i="1" a="1"/>
  <c r="AB364" i="1" s="1"/>
  <c r="AB365" i="1" a="1"/>
  <c r="AB365" i="1"/>
  <c r="AB366" i="1" a="1"/>
  <c r="AB366" i="1" s="1"/>
  <c r="AB367" i="1" a="1"/>
  <c r="AB367" i="1" s="1"/>
  <c r="AB368" i="1" a="1"/>
  <c r="AB368" i="1" s="1"/>
  <c r="AB369" i="1" a="1"/>
  <c r="AB369" i="1"/>
  <c r="AB370" i="1" a="1"/>
  <c r="AB370" i="1" s="1"/>
  <c r="AB371" i="1" a="1"/>
  <c r="AB371" i="1" s="1"/>
  <c r="AB372" i="1" a="1"/>
  <c r="AB372" i="1" s="1"/>
  <c r="AB373" i="1" a="1"/>
  <c r="AB373" i="1"/>
  <c r="AB374" i="1" a="1"/>
  <c r="AB374" i="1" s="1"/>
  <c r="AB375" i="1" a="1"/>
  <c r="AB375" i="1" s="1"/>
  <c r="AB376" i="1" a="1"/>
  <c r="AB376" i="1" s="1"/>
  <c r="AB377" i="1" a="1"/>
  <c r="AB377" i="1"/>
  <c r="AB378" i="1" a="1"/>
  <c r="AB378" i="1" s="1"/>
  <c r="AB379" i="1" a="1"/>
  <c r="AB379" i="1" s="1"/>
  <c r="AB380" i="1" a="1"/>
  <c r="AB380" i="1" s="1"/>
  <c r="AB381" i="1" a="1"/>
  <c r="AB381" i="1"/>
  <c r="AB382" i="1" a="1"/>
  <c r="AB382" i="1" s="1"/>
  <c r="AB383" i="1" a="1"/>
  <c r="AB383" i="1" s="1"/>
  <c r="AB384" i="1" a="1"/>
  <c r="AB384" i="1" s="1"/>
  <c r="AB385" i="1" a="1"/>
  <c r="AB385" i="1"/>
  <c r="AB386" i="1" a="1"/>
  <c r="AB386" i="1" s="1"/>
  <c r="AB387" i="1" a="1"/>
  <c r="AB387" i="1" s="1"/>
  <c r="AB388" i="1" a="1"/>
  <c r="AB388" i="1" s="1"/>
  <c r="AB389" i="1" a="1"/>
  <c r="AB389" i="1"/>
  <c r="AB390" i="1" a="1"/>
  <c r="AB390" i="1" s="1"/>
  <c r="AB391" i="1" a="1"/>
  <c r="AB391" i="1" s="1"/>
  <c r="AB392" i="1" a="1"/>
  <c r="AB392" i="1" s="1"/>
  <c r="AB393" i="1" a="1"/>
  <c r="AB393" i="1"/>
  <c r="AB394" i="1" a="1"/>
  <c r="AB394" i="1" s="1"/>
  <c r="AB395" i="1" a="1"/>
  <c r="AB395" i="1" s="1"/>
  <c r="AB396" i="1" a="1"/>
  <c r="AB396" i="1" s="1"/>
  <c r="AB397" i="1" a="1"/>
  <c r="AB397" i="1"/>
  <c r="AB398" i="1" a="1"/>
  <c r="AB398" i="1" s="1"/>
  <c r="AB399" i="1" a="1"/>
  <c r="AB399" i="1" s="1"/>
  <c r="AB400" i="1" a="1"/>
  <c r="AB400" i="1" s="1"/>
  <c r="AB401" i="1" a="1"/>
  <c r="AB401" i="1"/>
  <c r="AB402" i="1" a="1"/>
  <c r="AB402" i="1" s="1"/>
  <c r="AB403" i="1" a="1"/>
  <c r="AB403" i="1" s="1"/>
  <c r="AB404" i="1" a="1"/>
  <c r="AB404" i="1" s="1"/>
  <c r="AB405" i="1" a="1"/>
  <c r="AB405" i="1"/>
  <c r="AB406" i="1" a="1"/>
  <c r="AB406" i="1" s="1"/>
  <c r="AB407" i="1" a="1"/>
  <c r="AB407" i="1" s="1"/>
  <c r="AB408" i="1" a="1"/>
  <c r="AB408" i="1" s="1"/>
  <c r="AB409" i="1" a="1"/>
  <c r="AB409" i="1"/>
  <c r="AB410" i="1" a="1"/>
  <c r="AB410" i="1" s="1"/>
  <c r="AB411" i="1" a="1"/>
  <c r="AB411" i="1" s="1"/>
  <c r="AB412" i="1" a="1"/>
  <c r="AB412" i="1" s="1"/>
  <c r="AB413" i="1" a="1"/>
  <c r="AB413" i="1"/>
  <c r="AB414" i="1" a="1"/>
  <c r="AB414" i="1" s="1"/>
  <c r="AB415" i="1" a="1"/>
  <c r="AB415" i="1" s="1"/>
  <c r="AB416" i="1" a="1"/>
  <c r="AB416" i="1" s="1"/>
  <c r="AB417" i="1" a="1"/>
  <c r="AB417" i="1"/>
  <c r="AB418" i="1" a="1"/>
  <c r="AB418" i="1" s="1"/>
  <c r="AB419" i="1" a="1"/>
  <c r="AB419" i="1" s="1"/>
  <c r="AB420" i="1" a="1"/>
  <c r="AB420" i="1" s="1"/>
  <c r="AB421" i="1" a="1"/>
  <c r="AB421" i="1"/>
  <c r="AB422" i="1" a="1"/>
  <c r="AB422" i="1" s="1"/>
  <c r="AB423" i="1" a="1"/>
  <c r="AB423" i="1" s="1"/>
  <c r="AB424" i="1" a="1"/>
  <c r="AB424" i="1" s="1"/>
  <c r="AB425" i="1" a="1"/>
  <c r="AB425" i="1"/>
  <c r="AB426" i="1" a="1"/>
  <c r="AB426" i="1" s="1"/>
  <c r="AB427" i="1" a="1"/>
  <c r="AB427" i="1" s="1"/>
  <c r="AB428" i="1" a="1"/>
  <c r="AB428" i="1" s="1"/>
  <c r="AB429" i="1" a="1"/>
  <c r="AB429" i="1"/>
  <c r="AB430" i="1" a="1"/>
  <c r="AB430" i="1" s="1"/>
  <c r="AB431" i="1" a="1"/>
  <c r="AB431" i="1" s="1"/>
  <c r="AB432" i="1" a="1"/>
  <c r="AB432" i="1" s="1"/>
  <c r="AB433" i="1" a="1"/>
  <c r="AB433" i="1"/>
  <c r="AB434" i="1" a="1"/>
  <c r="AB434" i="1" s="1"/>
  <c r="AB435" i="1" a="1"/>
  <c r="AB435" i="1" s="1"/>
  <c r="AB436" i="1" a="1"/>
  <c r="AB436" i="1" s="1"/>
  <c r="AB437" i="1" a="1"/>
  <c r="AB437" i="1"/>
  <c r="AB438" i="1" a="1"/>
  <c r="AB438" i="1" s="1"/>
  <c r="AB439" i="1" a="1"/>
  <c r="AB439" i="1" s="1"/>
  <c r="AB440" i="1" a="1"/>
  <c r="AB440" i="1" s="1"/>
  <c r="AB441" i="1" a="1"/>
  <c r="AB441" i="1"/>
  <c r="AB442" i="1" a="1"/>
  <c r="AB442" i="1" s="1"/>
  <c r="AB443" i="1" a="1"/>
  <c r="AB443" i="1" s="1"/>
  <c r="AB444" i="1" a="1"/>
  <c r="AB444" i="1" s="1"/>
  <c r="AB445" i="1" a="1"/>
  <c r="AB445" i="1"/>
  <c r="AB446" i="1" a="1"/>
  <c r="AB446" i="1" s="1"/>
  <c r="AB447" i="1" a="1"/>
  <c r="AB447" i="1" s="1"/>
  <c r="AB448" i="1" a="1"/>
  <c r="AB448" i="1" s="1"/>
  <c r="AB449" i="1" a="1"/>
  <c r="AB449" i="1"/>
  <c r="AB450" i="1" a="1"/>
  <c r="AB450" i="1" s="1"/>
  <c r="AB451" i="1" a="1"/>
  <c r="AB451" i="1" s="1"/>
  <c r="AB452" i="1" a="1"/>
  <c r="AB452" i="1" s="1"/>
  <c r="AB453" i="1" a="1"/>
  <c r="AB453" i="1"/>
  <c r="AB454" i="1" a="1"/>
  <c r="AB454" i="1" s="1"/>
  <c r="AB455" i="1" a="1"/>
  <c r="AB455" i="1" s="1"/>
  <c r="AB456" i="1" a="1"/>
  <c r="AB456" i="1" s="1"/>
  <c r="AB457" i="1" a="1"/>
  <c r="AB457" i="1"/>
  <c r="AB458" i="1" a="1"/>
  <c r="AB458" i="1" s="1"/>
  <c r="AB459" i="1" a="1"/>
  <c r="AB459" i="1" s="1"/>
  <c r="AB460" i="1" a="1"/>
  <c r="AB460" i="1" s="1"/>
  <c r="AB461" i="1" a="1"/>
  <c r="AB461" i="1"/>
  <c r="AB462" i="1" a="1"/>
  <c r="AB462" i="1" s="1"/>
  <c r="AB463" i="1" a="1"/>
  <c r="AB463" i="1" s="1"/>
  <c r="AB464" i="1" a="1"/>
  <c r="AB464" i="1" s="1"/>
  <c r="AB465" i="1" a="1"/>
  <c r="AB465" i="1"/>
  <c r="AB466" i="1" a="1"/>
  <c r="AB466" i="1" s="1"/>
  <c r="AB467" i="1" a="1"/>
  <c r="AB467" i="1" s="1"/>
  <c r="AB468" i="1" a="1"/>
  <c r="AB468" i="1" s="1"/>
  <c r="AB469" i="1" a="1"/>
  <c r="AB469" i="1"/>
  <c r="AB470" i="1" a="1"/>
  <c r="AB470" i="1" s="1"/>
  <c r="AB471" i="1" a="1"/>
  <c r="AB471" i="1" s="1"/>
  <c r="AB472" i="1" a="1"/>
  <c r="AB472" i="1" s="1"/>
  <c r="AB473" i="1" a="1"/>
  <c r="AB473" i="1"/>
  <c r="AB474" i="1" a="1"/>
  <c r="AB474" i="1" s="1"/>
  <c r="AB475" i="1" a="1"/>
  <c r="AB475" i="1" s="1"/>
  <c r="AB476" i="1" a="1"/>
  <c r="AB476" i="1" s="1"/>
  <c r="AB477" i="1" a="1"/>
  <c r="AB477" i="1"/>
  <c r="AB478" i="1" a="1"/>
  <c r="AB478" i="1" s="1"/>
  <c r="AB479" i="1" a="1"/>
  <c r="AB479" i="1" s="1"/>
  <c r="AB480" i="1" a="1"/>
  <c r="AB480" i="1" s="1"/>
  <c r="AB481" i="1" a="1"/>
  <c r="AB481" i="1"/>
  <c r="AB482" i="1" a="1"/>
  <c r="AB482" i="1" s="1"/>
  <c r="AB483" i="1" a="1"/>
  <c r="AB483" i="1" s="1"/>
  <c r="AB484" i="1" a="1"/>
  <c r="AB484" i="1" s="1"/>
  <c r="AB485" i="1" a="1"/>
  <c r="AB485" i="1"/>
  <c r="AB486" i="1" a="1"/>
  <c r="AB486" i="1" s="1"/>
  <c r="AB487" i="1" a="1"/>
  <c r="AB487" i="1" s="1"/>
  <c r="AB488" i="1" a="1"/>
  <c r="AB488" i="1" s="1"/>
  <c r="AB489" i="1" a="1"/>
  <c r="AB489" i="1"/>
  <c r="AB490" i="1" a="1"/>
  <c r="AB490" i="1" s="1"/>
  <c r="AB491" i="1" a="1"/>
  <c r="AB491" i="1" s="1"/>
  <c r="AB492" i="1" a="1"/>
  <c r="AB492" i="1" s="1"/>
  <c r="AB493" i="1" a="1"/>
  <c r="AB493" i="1"/>
  <c r="AB494" i="1" a="1"/>
  <c r="AB494" i="1" s="1"/>
  <c r="AB495" i="1" a="1"/>
  <c r="AB495" i="1" s="1"/>
  <c r="AB496" i="1" a="1"/>
  <c r="AB496" i="1" s="1"/>
  <c r="AB497" i="1" a="1"/>
  <c r="AB497" i="1"/>
  <c r="AB498" i="1" a="1"/>
  <c r="AB498" i="1" s="1"/>
  <c r="AB499" i="1" a="1"/>
  <c r="AB499" i="1" s="1"/>
  <c r="AB500" i="1" a="1"/>
  <c r="AB500" i="1" s="1"/>
  <c r="AB501" i="1" a="1"/>
  <c r="AB501" i="1"/>
  <c r="AB502" i="1" a="1"/>
  <c r="AB502" i="1" s="1"/>
  <c r="AB503" i="1" a="1"/>
  <c r="AB503" i="1" s="1"/>
  <c r="AB504" i="1" a="1"/>
  <c r="AB504" i="1" s="1"/>
  <c r="AB505" i="1" a="1"/>
  <c r="AB505" i="1"/>
  <c r="AB506" i="1" a="1"/>
  <c r="AB506" i="1" s="1"/>
  <c r="AB507" i="1" a="1"/>
  <c r="AB507" i="1" s="1"/>
  <c r="AB508" i="1" a="1"/>
  <c r="AB508" i="1" s="1"/>
  <c r="AB509" i="1" a="1"/>
  <c r="AB509" i="1"/>
  <c r="AB510" i="1" a="1"/>
  <c r="AB510" i="1" s="1"/>
  <c r="AB511" i="1" a="1"/>
  <c r="AB511" i="1" s="1"/>
  <c r="AB512" i="1" a="1"/>
  <c r="AB512" i="1" s="1"/>
  <c r="AB513" i="1" a="1"/>
  <c r="AB513" i="1"/>
  <c r="AB514" i="1" a="1"/>
  <c r="AB514" i="1" s="1"/>
  <c r="AB515" i="1" a="1"/>
  <c r="AB515" i="1" s="1"/>
  <c r="AB516" i="1" a="1"/>
  <c r="AB516" i="1" s="1"/>
  <c r="AB517" i="1" a="1"/>
  <c r="AB517" i="1"/>
  <c r="AB518" i="1" a="1"/>
  <c r="AB518" i="1" s="1"/>
  <c r="AB519" i="1" a="1"/>
  <c r="AB519" i="1" s="1"/>
  <c r="AB520" i="1" a="1"/>
  <c r="AB520" i="1" s="1"/>
  <c r="AB521" i="1" a="1"/>
  <c r="AB521" i="1"/>
  <c r="AB522" i="1" a="1"/>
  <c r="AB522" i="1"/>
  <c r="AB523" i="1" a="1"/>
  <c r="AB523" i="1"/>
  <c r="AB524" i="1" a="1"/>
  <c r="AB524" i="1" s="1"/>
  <c r="AB525" i="1" a="1"/>
  <c r="AB525" i="1"/>
  <c r="AB526" i="1" a="1"/>
  <c r="AB526" i="1" s="1"/>
  <c r="AB527" i="1" a="1"/>
  <c r="AB527" i="1"/>
  <c r="AB528" i="1" a="1"/>
  <c r="AB528" i="1" s="1"/>
  <c r="AB529" i="1" a="1"/>
  <c r="AB529" i="1"/>
  <c r="AB530" i="1" a="1"/>
  <c r="AB530" i="1" s="1"/>
  <c r="AB531" i="1" a="1"/>
  <c r="AB531" i="1"/>
  <c r="AB532" i="1" a="1"/>
  <c r="AB532" i="1" s="1"/>
  <c r="AB533" i="1" a="1"/>
  <c r="AB533" i="1"/>
  <c r="AB534" i="1" a="1"/>
  <c r="AB534" i="1" s="1"/>
  <c r="AB535" i="1" a="1"/>
  <c r="AB535" i="1"/>
  <c r="AB536" i="1" a="1"/>
  <c r="AB536" i="1" s="1"/>
  <c r="AB537" i="1" a="1"/>
  <c r="AB537" i="1"/>
  <c r="AB538" i="1" a="1"/>
  <c r="AB538" i="1" s="1"/>
  <c r="AB539" i="1" a="1"/>
  <c r="AB539" i="1"/>
  <c r="AB540" i="1" a="1"/>
  <c r="AB540" i="1" s="1"/>
  <c r="AB541" i="1" a="1"/>
  <c r="AB541" i="1"/>
  <c r="AB542" i="1" a="1"/>
  <c r="AB542" i="1" s="1"/>
  <c r="AB543" i="1" a="1"/>
  <c r="AB543" i="1"/>
  <c r="AB544" i="1" a="1"/>
  <c r="AB544" i="1" s="1"/>
  <c r="AB545" i="1" a="1"/>
  <c r="AB545" i="1"/>
  <c r="AB546" i="1" a="1"/>
  <c r="AB546" i="1" s="1"/>
  <c r="AB547" i="1" a="1"/>
  <c r="AB547" i="1"/>
  <c r="AB548" i="1" a="1"/>
  <c r="AB548" i="1" s="1"/>
  <c r="AB549" i="1" a="1"/>
  <c r="AB549" i="1"/>
  <c r="AB550" i="1" a="1"/>
  <c r="AB550" i="1" s="1"/>
  <c r="AB551" i="1" a="1"/>
  <c r="AB551" i="1"/>
  <c r="AB552" i="1" a="1"/>
  <c r="AB552" i="1" s="1"/>
  <c r="AB553" i="1" a="1"/>
  <c r="AB553" i="1"/>
  <c r="AB554" i="1" a="1"/>
  <c r="AB554" i="1" s="1"/>
  <c r="AB555" i="1" a="1"/>
  <c r="AB555" i="1"/>
  <c r="AB556" i="1" a="1"/>
  <c r="AB556" i="1" s="1"/>
  <c r="AB557" i="1" a="1"/>
  <c r="AB557" i="1"/>
  <c r="AB558" i="1" a="1"/>
  <c r="AB558" i="1" s="1"/>
  <c r="AB559" i="1" a="1"/>
  <c r="AB559" i="1"/>
  <c r="AB560" i="1" a="1"/>
  <c r="AB560" i="1" s="1"/>
  <c r="AB561" i="1" a="1"/>
  <c r="AB561" i="1"/>
  <c r="AB562" i="1" a="1"/>
  <c r="AB562" i="1" s="1"/>
  <c r="AB563" i="1" a="1"/>
  <c r="AB563" i="1"/>
  <c r="AB564" i="1" a="1"/>
  <c r="AB564" i="1" s="1"/>
  <c r="AB565" i="1" a="1"/>
  <c r="AB565" i="1"/>
  <c r="AB566" i="1" a="1"/>
  <c r="AB566" i="1" s="1"/>
  <c r="AB567" i="1" a="1"/>
  <c r="AB567" i="1"/>
  <c r="AB568" i="1" a="1"/>
  <c r="AB568" i="1" s="1"/>
  <c r="AB569" i="1" a="1"/>
  <c r="AB569" i="1"/>
  <c r="AB570" i="1" a="1"/>
  <c r="AB570" i="1" s="1"/>
  <c r="AB571" i="1" a="1"/>
  <c r="AB571" i="1"/>
  <c r="AB572" i="1" a="1"/>
  <c r="AB572" i="1" s="1"/>
  <c r="AB573" i="1" a="1"/>
  <c r="AB573" i="1"/>
  <c r="AB574" i="1" a="1"/>
  <c r="AB574" i="1" s="1"/>
  <c r="AB575" i="1" a="1"/>
  <c r="AB575" i="1"/>
  <c r="AB576" i="1" a="1"/>
  <c r="AB576" i="1" s="1"/>
  <c r="AB577" i="1" a="1"/>
  <c r="AB577" i="1"/>
  <c r="AB578" i="1" a="1"/>
  <c r="AB578" i="1" s="1"/>
  <c r="AB579" i="1" a="1"/>
  <c r="AB579" i="1"/>
  <c r="AB580" i="1" a="1"/>
  <c r="AB580" i="1" s="1"/>
  <c r="AB581" i="1" a="1"/>
  <c r="AB581" i="1"/>
  <c r="AB582" i="1" a="1"/>
  <c r="AB582" i="1" s="1"/>
  <c r="AB583" i="1" a="1"/>
  <c r="AB583" i="1"/>
  <c r="AB584" i="1" a="1"/>
  <c r="AB584" i="1" s="1"/>
  <c r="AB585" i="1" a="1"/>
  <c r="AB585" i="1"/>
  <c r="AB586" i="1" a="1"/>
  <c r="AB586" i="1" s="1"/>
  <c r="AB587" i="1" a="1"/>
  <c r="AB587" i="1"/>
  <c r="AB588" i="1" a="1"/>
  <c r="AB588" i="1" s="1"/>
  <c r="AB589" i="1" a="1"/>
  <c r="AB589" i="1"/>
  <c r="AB590" i="1" a="1"/>
  <c r="AB590" i="1" s="1"/>
  <c r="AB591" i="1" a="1"/>
  <c r="AB591" i="1"/>
  <c r="AB592" i="1" a="1"/>
  <c r="AB592" i="1" s="1"/>
  <c r="AB593" i="1" a="1"/>
  <c r="AB593" i="1"/>
  <c r="AB594" i="1" a="1"/>
  <c r="AB594" i="1" s="1"/>
  <c r="AB595" i="1" a="1"/>
  <c r="AB595" i="1"/>
  <c r="AB596" i="1" a="1"/>
  <c r="AB596" i="1" s="1"/>
  <c r="AB597" i="1" a="1"/>
  <c r="AB597" i="1"/>
  <c r="AB598" i="1" a="1"/>
  <c r="AB598" i="1" s="1"/>
  <c r="AB599" i="1" a="1"/>
  <c r="AB599" i="1"/>
  <c r="AB600" i="1" a="1"/>
  <c r="AB600" i="1" s="1"/>
  <c r="AB601" i="1" a="1"/>
  <c r="AB601" i="1"/>
  <c r="AB602" i="1" a="1"/>
  <c r="AB602" i="1" s="1"/>
  <c r="AB603" i="1" a="1"/>
  <c r="AB603" i="1"/>
  <c r="AB604" i="1" a="1"/>
  <c r="AB604" i="1" s="1"/>
  <c r="AB605" i="1" a="1"/>
  <c r="AB605" i="1"/>
  <c r="AB606" i="1" a="1"/>
  <c r="AB606" i="1" s="1"/>
  <c r="AB607" i="1" a="1"/>
  <c r="AB607" i="1"/>
  <c r="AB608" i="1" a="1"/>
  <c r="AB608" i="1" s="1"/>
  <c r="AB609" i="1" a="1"/>
  <c r="AB609" i="1"/>
  <c r="AB610" i="1" a="1"/>
  <c r="AB610" i="1" s="1"/>
  <c r="AB611" i="1" a="1"/>
  <c r="AB611" i="1"/>
  <c r="AB612" i="1" a="1"/>
  <c r="AB612" i="1" s="1"/>
  <c r="AB613" i="1" a="1"/>
  <c r="AB613" i="1"/>
  <c r="AB614" i="1" a="1"/>
  <c r="AB614" i="1" s="1"/>
  <c r="AB615" i="1" a="1"/>
  <c r="AB615" i="1"/>
  <c r="AB616" i="1" a="1"/>
  <c r="AB616" i="1" s="1"/>
  <c r="AB617" i="1" a="1"/>
  <c r="AB617" i="1" s="1"/>
  <c r="AB618" i="1" a="1"/>
  <c r="AB618" i="1" s="1"/>
  <c r="AB619" i="1" a="1"/>
  <c r="AB619" i="1" s="1"/>
  <c r="AB620" i="1" a="1"/>
  <c r="AB620" i="1" s="1"/>
  <c r="AB621" i="1" a="1"/>
  <c r="AB621" i="1" s="1"/>
  <c r="AB622" i="1" a="1"/>
  <c r="AB622" i="1" s="1"/>
  <c r="AB623" i="1" a="1"/>
  <c r="AB623" i="1" s="1"/>
  <c r="AB624" i="1" a="1"/>
  <c r="AB624" i="1" s="1"/>
  <c r="AB625" i="1" a="1"/>
  <c r="AB625" i="1" s="1"/>
  <c r="AB626" i="1" a="1"/>
  <c r="AB626" i="1" s="1"/>
  <c r="AB627" i="1" a="1"/>
  <c r="AB627" i="1" s="1"/>
  <c r="AB628" i="1" a="1"/>
  <c r="AB628" i="1" s="1"/>
  <c r="AB629" i="1" a="1"/>
  <c r="AB629" i="1" s="1"/>
  <c r="AB630" i="1" a="1"/>
  <c r="AB630" i="1" s="1"/>
  <c r="AB631" i="1" a="1"/>
  <c r="AB631" i="1" s="1"/>
  <c r="AB632" i="1" a="1"/>
  <c r="AB632" i="1" s="1"/>
  <c r="AB633" i="1" a="1"/>
  <c r="AB633" i="1" s="1"/>
  <c r="AH4" i="1"/>
  <c r="AH3" i="1"/>
  <c r="AH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2" i="1"/>
  <c r="P2" i="1"/>
  <c r="S2" i="1" s="1"/>
  <c r="P3" i="1"/>
  <c r="S3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P57" i="1"/>
  <c r="S57" i="1" s="1"/>
  <c r="P58" i="1"/>
  <c r="S58" i="1" s="1"/>
  <c r="P59" i="1"/>
  <c r="S59" i="1" s="1"/>
  <c r="P60" i="1"/>
  <c r="S60" i="1" s="1"/>
  <c r="P61" i="1"/>
  <c r="S61" i="1" s="1"/>
  <c r="P62" i="1"/>
  <c r="S62" i="1" s="1"/>
  <c r="P63" i="1"/>
  <c r="S63" i="1" s="1"/>
  <c r="P64" i="1"/>
  <c r="S64" i="1" s="1"/>
  <c r="P65" i="1"/>
  <c r="S65" i="1" s="1"/>
  <c r="P66" i="1"/>
  <c r="S66" i="1" s="1"/>
  <c r="P67" i="1"/>
  <c r="S6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85" i="1"/>
  <c r="S85" i="1" s="1"/>
  <c r="P86" i="1"/>
  <c r="S86" i="1" s="1"/>
  <c r="P87" i="1"/>
  <c r="S87" i="1" s="1"/>
  <c r="P88" i="1"/>
  <c r="S88" i="1" s="1"/>
  <c r="P89" i="1"/>
  <c r="S89" i="1" s="1"/>
  <c r="P90" i="1"/>
  <c r="S90" i="1" s="1"/>
  <c r="P91" i="1"/>
  <c r="S91" i="1" s="1"/>
  <c r="P92" i="1"/>
  <c r="S92" i="1" s="1"/>
  <c r="P93" i="1"/>
  <c r="S93" i="1" s="1"/>
  <c r="P94" i="1"/>
  <c r="S94" i="1" s="1"/>
  <c r="P95" i="1"/>
  <c r="S95" i="1" s="1"/>
  <c r="P96" i="1"/>
  <c r="S96" i="1" s="1"/>
  <c r="P97" i="1"/>
  <c r="S97" i="1" s="1"/>
  <c r="P98" i="1"/>
  <c r="S98" i="1" s="1"/>
  <c r="P99" i="1"/>
  <c r="S99" i="1" s="1"/>
  <c r="P100" i="1"/>
  <c r="S100" i="1" s="1"/>
  <c r="P101" i="1"/>
  <c r="S101" i="1" s="1"/>
  <c r="P102" i="1"/>
  <c r="S102" i="1" s="1"/>
  <c r="P103" i="1"/>
  <c r="S103" i="1" s="1"/>
  <c r="P104" i="1"/>
  <c r="S104" i="1" s="1"/>
  <c r="P105" i="1"/>
  <c r="S105" i="1" s="1"/>
  <c r="P106" i="1"/>
  <c r="S106" i="1" s="1"/>
  <c r="P107" i="1"/>
  <c r="S107" i="1" s="1"/>
  <c r="P108" i="1"/>
  <c r="S108" i="1" s="1"/>
  <c r="P109" i="1"/>
  <c r="S109" i="1" s="1"/>
  <c r="P110" i="1"/>
  <c r="S110" i="1" s="1"/>
  <c r="P111" i="1"/>
  <c r="S111" i="1" s="1"/>
  <c r="P112" i="1"/>
  <c r="S112" i="1" s="1"/>
  <c r="P113" i="1"/>
  <c r="S113" i="1" s="1"/>
  <c r="P114" i="1"/>
  <c r="S114" i="1" s="1"/>
  <c r="P115" i="1"/>
  <c r="S115" i="1" s="1"/>
  <c r="P116" i="1"/>
  <c r="S116" i="1" s="1"/>
  <c r="P117" i="1"/>
  <c r="S117" i="1" s="1"/>
  <c r="P118" i="1"/>
  <c r="S118" i="1" s="1"/>
  <c r="P119" i="1"/>
  <c r="S119" i="1" s="1"/>
  <c r="P120" i="1"/>
  <c r="S120" i="1" s="1"/>
  <c r="P121" i="1"/>
  <c r="S121" i="1" s="1"/>
  <c r="P122" i="1"/>
  <c r="S122" i="1" s="1"/>
  <c r="P123" i="1"/>
  <c r="S123" i="1" s="1"/>
  <c r="P124" i="1"/>
  <c r="S124" i="1" s="1"/>
  <c r="P125" i="1"/>
  <c r="S125" i="1" s="1"/>
  <c r="P126" i="1"/>
  <c r="S126" i="1" s="1"/>
  <c r="P127" i="1"/>
  <c r="S127" i="1" s="1"/>
  <c r="P128" i="1"/>
  <c r="S128" i="1" s="1"/>
  <c r="P129" i="1"/>
  <c r="S129" i="1" s="1"/>
  <c r="P130" i="1"/>
  <c r="S130" i="1" s="1"/>
  <c r="P131" i="1"/>
  <c r="S131" i="1" s="1"/>
  <c r="P132" i="1"/>
  <c r="S132" i="1" s="1"/>
  <c r="P133" i="1"/>
  <c r="S133" i="1" s="1"/>
  <c r="P134" i="1"/>
  <c r="S134" i="1" s="1"/>
  <c r="P135" i="1"/>
  <c r="S135" i="1" s="1"/>
  <c r="P136" i="1"/>
  <c r="S136" i="1" s="1"/>
  <c r="P137" i="1"/>
  <c r="S137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P145" i="1"/>
  <c r="S145" i="1" s="1"/>
  <c r="P146" i="1"/>
  <c r="S146" i="1" s="1"/>
  <c r="P147" i="1"/>
  <c r="S147" i="1" s="1"/>
  <c r="P148" i="1"/>
  <c r="S148" i="1" s="1"/>
  <c r="P149" i="1"/>
  <c r="S149" i="1" s="1"/>
  <c r="P150" i="1"/>
  <c r="S150" i="1" s="1"/>
  <c r="P151" i="1"/>
  <c r="S151" i="1" s="1"/>
  <c r="P152" i="1"/>
  <c r="S152" i="1" s="1"/>
  <c r="P153" i="1"/>
  <c r="S153" i="1" s="1"/>
  <c r="P154" i="1"/>
  <c r="S154" i="1" s="1"/>
  <c r="P155" i="1"/>
  <c r="S155" i="1" s="1"/>
  <c r="P156" i="1"/>
  <c r="S156" i="1" s="1"/>
  <c r="P157" i="1"/>
  <c r="S157" i="1" s="1"/>
  <c r="P158" i="1"/>
  <c r="S158" i="1" s="1"/>
  <c r="P159" i="1"/>
  <c r="S159" i="1" s="1"/>
  <c r="P160" i="1"/>
  <c r="S160" i="1" s="1"/>
  <c r="P161" i="1"/>
  <c r="S161" i="1" s="1"/>
  <c r="P162" i="1"/>
  <c r="S162" i="1" s="1"/>
  <c r="P163" i="1"/>
  <c r="S163" i="1" s="1"/>
  <c r="P164" i="1"/>
  <c r="S164" i="1" s="1"/>
  <c r="P165" i="1"/>
  <c r="S165" i="1" s="1"/>
  <c r="P166" i="1"/>
  <c r="S166" i="1" s="1"/>
  <c r="P167" i="1"/>
  <c r="S167" i="1" s="1"/>
  <c r="P168" i="1"/>
  <c r="S168" i="1" s="1"/>
  <c r="P169" i="1"/>
  <c r="S169" i="1" s="1"/>
  <c r="P170" i="1"/>
  <c r="S170" i="1" s="1"/>
  <c r="P171" i="1"/>
  <c r="S171" i="1" s="1"/>
  <c r="P172" i="1"/>
  <c r="S172" i="1" s="1"/>
  <c r="P173" i="1"/>
  <c r="S173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P181" i="1"/>
  <c r="S181" i="1" s="1"/>
  <c r="P182" i="1"/>
  <c r="S182" i="1" s="1"/>
  <c r="P183" i="1"/>
  <c r="S183" i="1" s="1"/>
  <c r="P184" i="1"/>
  <c r="S184" i="1" s="1"/>
  <c r="P185" i="1"/>
  <c r="S185" i="1" s="1"/>
  <c r="P186" i="1"/>
  <c r="S186" i="1" s="1"/>
  <c r="P187" i="1"/>
  <c r="S187" i="1" s="1"/>
  <c r="P188" i="1"/>
  <c r="S188" i="1" s="1"/>
  <c r="P189" i="1"/>
  <c r="S189" i="1" s="1"/>
  <c r="P190" i="1"/>
  <c r="S190" i="1" s="1"/>
  <c r="P191" i="1"/>
  <c r="S191" i="1" s="1"/>
  <c r="P192" i="1"/>
  <c r="S192" i="1" s="1"/>
  <c r="P193" i="1"/>
  <c r="S193" i="1" s="1"/>
  <c r="P194" i="1"/>
  <c r="S194" i="1" s="1"/>
  <c r="P195" i="1"/>
  <c r="S195" i="1" s="1"/>
  <c r="P196" i="1"/>
  <c r="S196" i="1" s="1"/>
  <c r="P197" i="1"/>
  <c r="S197" i="1" s="1"/>
  <c r="P198" i="1"/>
  <c r="S198" i="1" s="1"/>
  <c r="P199" i="1"/>
  <c r="S199" i="1" s="1"/>
  <c r="P200" i="1"/>
  <c r="S200" i="1" s="1"/>
  <c r="P201" i="1"/>
  <c r="S201" i="1" s="1"/>
  <c r="P202" i="1"/>
  <c r="S202" i="1" s="1"/>
  <c r="P203" i="1"/>
  <c r="S203" i="1" s="1"/>
  <c r="P204" i="1"/>
  <c r="S204" i="1" s="1"/>
  <c r="P205" i="1"/>
  <c r="S205" i="1" s="1"/>
  <c r="P206" i="1"/>
  <c r="S206" i="1" s="1"/>
  <c r="P207" i="1"/>
  <c r="S207" i="1" s="1"/>
  <c r="P208" i="1"/>
  <c r="S208" i="1" s="1"/>
  <c r="P209" i="1"/>
  <c r="S209" i="1" s="1"/>
  <c r="P210" i="1"/>
  <c r="S210" i="1" s="1"/>
  <c r="P211" i="1"/>
  <c r="S211" i="1" s="1"/>
  <c r="P212" i="1"/>
  <c r="S212" i="1" s="1"/>
  <c r="P213" i="1"/>
  <c r="S213" i="1" s="1"/>
  <c r="P214" i="1"/>
  <c r="S214" i="1" s="1"/>
  <c r="P215" i="1"/>
  <c r="S215" i="1" s="1"/>
  <c r="P216" i="1"/>
  <c r="S216" i="1" s="1"/>
  <c r="P217" i="1"/>
  <c r="S217" i="1" s="1"/>
  <c r="P218" i="1"/>
  <c r="S218" i="1" s="1"/>
  <c r="P219" i="1"/>
  <c r="S219" i="1" s="1"/>
  <c r="P220" i="1"/>
  <c r="S220" i="1" s="1"/>
  <c r="P221" i="1"/>
  <c r="S221" i="1" s="1"/>
  <c r="P222" i="1"/>
  <c r="S222" i="1" s="1"/>
  <c r="P223" i="1"/>
  <c r="S223" i="1" s="1"/>
  <c r="P224" i="1"/>
  <c r="S224" i="1" s="1"/>
  <c r="P225" i="1"/>
  <c r="S225" i="1" s="1"/>
  <c r="P226" i="1"/>
  <c r="S226" i="1" s="1"/>
  <c r="P227" i="1"/>
  <c r="S227" i="1" s="1"/>
  <c r="P228" i="1"/>
  <c r="S228" i="1" s="1"/>
  <c r="P229" i="1"/>
  <c r="S229" i="1" s="1"/>
  <c r="P230" i="1"/>
  <c r="S230" i="1" s="1"/>
  <c r="P231" i="1"/>
  <c r="S231" i="1" s="1"/>
  <c r="P232" i="1"/>
  <c r="S232" i="1" s="1"/>
  <c r="P233" i="1"/>
  <c r="S233" i="1" s="1"/>
  <c r="P234" i="1"/>
  <c r="S234" i="1" s="1"/>
  <c r="P235" i="1"/>
  <c r="S235" i="1" s="1"/>
  <c r="P236" i="1"/>
  <c r="S236" i="1" s="1"/>
  <c r="P237" i="1"/>
  <c r="S237" i="1" s="1"/>
  <c r="P238" i="1"/>
  <c r="S238" i="1" s="1"/>
  <c r="P239" i="1"/>
  <c r="S239" i="1" s="1"/>
  <c r="P240" i="1"/>
  <c r="S240" i="1" s="1"/>
  <c r="P241" i="1"/>
  <c r="S241" i="1" s="1"/>
  <c r="P242" i="1"/>
  <c r="S242" i="1" s="1"/>
  <c r="P243" i="1"/>
  <c r="S243" i="1" s="1"/>
  <c r="P244" i="1"/>
  <c r="S244" i="1" s="1"/>
  <c r="P245" i="1"/>
  <c r="S245" i="1" s="1"/>
  <c r="P246" i="1"/>
  <c r="S246" i="1" s="1"/>
  <c r="P247" i="1"/>
  <c r="S247" i="1" s="1"/>
  <c r="P248" i="1"/>
  <c r="S248" i="1" s="1"/>
  <c r="P249" i="1"/>
  <c r="S249" i="1" s="1"/>
  <c r="P250" i="1"/>
  <c r="S250" i="1" s="1"/>
  <c r="P251" i="1"/>
  <c r="S251" i="1" s="1"/>
  <c r="P252" i="1"/>
  <c r="S252" i="1" s="1"/>
  <c r="P253" i="1"/>
  <c r="S253" i="1" s="1"/>
  <c r="P254" i="1"/>
  <c r="S254" i="1" s="1"/>
  <c r="P255" i="1"/>
  <c r="S255" i="1" s="1"/>
  <c r="P256" i="1"/>
  <c r="S256" i="1" s="1"/>
  <c r="P257" i="1"/>
  <c r="S257" i="1" s="1"/>
  <c r="P258" i="1"/>
  <c r="S258" i="1" s="1"/>
  <c r="P259" i="1"/>
  <c r="S259" i="1" s="1"/>
  <c r="P260" i="1"/>
  <c r="S260" i="1" s="1"/>
  <c r="P261" i="1"/>
  <c r="S261" i="1" s="1"/>
  <c r="P262" i="1"/>
  <c r="S262" i="1" s="1"/>
  <c r="P263" i="1"/>
  <c r="S263" i="1" s="1"/>
  <c r="P264" i="1"/>
  <c r="S264" i="1" s="1"/>
  <c r="P265" i="1"/>
  <c r="S265" i="1" s="1"/>
  <c r="P266" i="1"/>
  <c r="S266" i="1" s="1"/>
  <c r="P267" i="1"/>
  <c r="S267" i="1" s="1"/>
  <c r="P268" i="1"/>
  <c r="S268" i="1" s="1"/>
  <c r="P269" i="1"/>
  <c r="S269" i="1" s="1"/>
  <c r="P270" i="1"/>
  <c r="S270" i="1" s="1"/>
  <c r="P271" i="1"/>
  <c r="S271" i="1" s="1"/>
  <c r="P272" i="1"/>
  <c r="S272" i="1" s="1"/>
  <c r="P273" i="1"/>
  <c r="S273" i="1" s="1"/>
  <c r="P274" i="1"/>
  <c r="S274" i="1" s="1"/>
  <c r="P275" i="1"/>
  <c r="S275" i="1" s="1"/>
  <c r="P276" i="1"/>
  <c r="S276" i="1" s="1"/>
  <c r="P277" i="1"/>
  <c r="S277" i="1" s="1"/>
  <c r="P278" i="1"/>
  <c r="S278" i="1" s="1"/>
  <c r="P279" i="1"/>
  <c r="S279" i="1" s="1"/>
  <c r="P280" i="1"/>
  <c r="S280" i="1" s="1"/>
  <c r="P281" i="1"/>
  <c r="S281" i="1" s="1"/>
  <c r="P282" i="1"/>
  <c r="S282" i="1" s="1"/>
  <c r="P283" i="1"/>
  <c r="S283" i="1" s="1"/>
  <c r="P284" i="1"/>
  <c r="S284" i="1" s="1"/>
  <c r="P285" i="1"/>
  <c r="S285" i="1" s="1"/>
  <c r="P286" i="1"/>
  <c r="S286" i="1" s="1"/>
  <c r="P287" i="1"/>
  <c r="S287" i="1" s="1"/>
  <c r="P288" i="1"/>
  <c r="S288" i="1" s="1"/>
  <c r="P289" i="1"/>
  <c r="S289" i="1" s="1"/>
  <c r="P290" i="1"/>
  <c r="S290" i="1" s="1"/>
  <c r="P291" i="1"/>
  <c r="S291" i="1" s="1"/>
  <c r="P292" i="1"/>
  <c r="S292" i="1" s="1"/>
  <c r="P293" i="1"/>
  <c r="S293" i="1" s="1"/>
  <c r="P294" i="1"/>
  <c r="S294" i="1" s="1"/>
  <c r="P295" i="1"/>
  <c r="S295" i="1" s="1"/>
  <c r="P296" i="1"/>
  <c r="S296" i="1" s="1"/>
  <c r="P297" i="1"/>
  <c r="S297" i="1" s="1"/>
  <c r="P298" i="1"/>
  <c r="S298" i="1" s="1"/>
  <c r="P299" i="1"/>
  <c r="S299" i="1" s="1"/>
  <c r="P300" i="1"/>
  <c r="S300" i="1" s="1"/>
  <c r="P301" i="1"/>
  <c r="S301" i="1" s="1"/>
  <c r="P302" i="1"/>
  <c r="S302" i="1" s="1"/>
  <c r="P303" i="1"/>
  <c r="S303" i="1" s="1"/>
  <c r="P304" i="1"/>
  <c r="S304" i="1" s="1"/>
  <c r="P305" i="1"/>
  <c r="S305" i="1" s="1"/>
  <c r="P306" i="1"/>
  <c r="S306" i="1" s="1"/>
  <c r="P307" i="1"/>
  <c r="S307" i="1" s="1"/>
  <c r="P308" i="1"/>
  <c r="S308" i="1" s="1"/>
  <c r="P309" i="1"/>
  <c r="S309" i="1" s="1"/>
  <c r="P310" i="1"/>
  <c r="S310" i="1" s="1"/>
  <c r="P311" i="1"/>
  <c r="S311" i="1" s="1"/>
  <c r="P312" i="1"/>
  <c r="S312" i="1" s="1"/>
  <c r="P313" i="1"/>
  <c r="S313" i="1" s="1"/>
  <c r="P314" i="1"/>
  <c r="S314" i="1" s="1"/>
  <c r="P315" i="1"/>
  <c r="S315" i="1" s="1"/>
  <c r="P316" i="1"/>
  <c r="S316" i="1" s="1"/>
  <c r="P317" i="1"/>
  <c r="S317" i="1" s="1"/>
  <c r="P318" i="1"/>
  <c r="S318" i="1" s="1"/>
  <c r="P319" i="1"/>
  <c r="S319" i="1" s="1"/>
  <c r="P320" i="1"/>
  <c r="S320" i="1" s="1"/>
  <c r="P321" i="1"/>
  <c r="S321" i="1" s="1"/>
  <c r="P322" i="1"/>
  <c r="S322" i="1" s="1"/>
  <c r="P323" i="1"/>
  <c r="S323" i="1" s="1"/>
  <c r="P324" i="1"/>
  <c r="S324" i="1" s="1"/>
  <c r="P325" i="1"/>
  <c r="S325" i="1" s="1"/>
  <c r="P326" i="1"/>
  <c r="S326" i="1" s="1"/>
  <c r="P327" i="1"/>
  <c r="S327" i="1" s="1"/>
  <c r="P328" i="1"/>
  <c r="S328" i="1" s="1"/>
  <c r="P329" i="1"/>
  <c r="S329" i="1" s="1"/>
  <c r="P330" i="1"/>
  <c r="S330" i="1" s="1"/>
  <c r="P331" i="1"/>
  <c r="S331" i="1" s="1"/>
  <c r="P332" i="1"/>
  <c r="S332" i="1" s="1"/>
  <c r="P333" i="1"/>
  <c r="S333" i="1" s="1"/>
  <c r="P334" i="1"/>
  <c r="S334" i="1" s="1"/>
  <c r="P335" i="1"/>
  <c r="S335" i="1" s="1"/>
  <c r="P336" i="1"/>
  <c r="S336" i="1" s="1"/>
  <c r="P337" i="1"/>
  <c r="S337" i="1" s="1"/>
  <c r="P338" i="1"/>
  <c r="S338" i="1" s="1"/>
  <c r="P339" i="1"/>
  <c r="S339" i="1" s="1"/>
  <c r="P340" i="1"/>
  <c r="S340" i="1" s="1"/>
  <c r="P341" i="1"/>
  <c r="S341" i="1" s="1"/>
  <c r="P342" i="1"/>
  <c r="S342" i="1" s="1"/>
  <c r="P343" i="1"/>
  <c r="S343" i="1" s="1"/>
  <c r="P344" i="1"/>
  <c r="S344" i="1" s="1"/>
  <c r="P345" i="1"/>
  <c r="S345" i="1" s="1"/>
  <c r="P346" i="1"/>
  <c r="S346" i="1" s="1"/>
  <c r="P347" i="1"/>
  <c r="S347" i="1" s="1"/>
  <c r="P348" i="1"/>
  <c r="S348" i="1" s="1"/>
  <c r="P349" i="1"/>
  <c r="S349" i="1" s="1"/>
  <c r="P350" i="1"/>
  <c r="S350" i="1" s="1"/>
  <c r="P351" i="1"/>
  <c r="S351" i="1" s="1"/>
  <c r="P352" i="1"/>
  <c r="S352" i="1" s="1"/>
  <c r="P353" i="1"/>
  <c r="S353" i="1" s="1"/>
  <c r="P354" i="1"/>
  <c r="S354" i="1" s="1"/>
  <c r="P355" i="1"/>
  <c r="S355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S363" i="1" s="1"/>
  <c r="P364" i="1"/>
  <c r="S364" i="1" s="1"/>
  <c r="P365" i="1"/>
  <c r="S365" i="1" s="1"/>
  <c r="P366" i="1"/>
  <c r="S366" i="1" s="1"/>
  <c r="P367" i="1"/>
  <c r="S367" i="1" s="1"/>
  <c r="P368" i="1"/>
  <c r="S368" i="1" s="1"/>
  <c r="P369" i="1"/>
  <c r="S369" i="1" s="1"/>
  <c r="P370" i="1"/>
  <c r="S370" i="1" s="1"/>
  <c r="P371" i="1"/>
  <c r="S371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382" i="1"/>
  <c r="S382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390" i="1"/>
  <c r="S390" i="1" s="1"/>
  <c r="P391" i="1"/>
  <c r="S391" i="1" s="1"/>
  <c r="P392" i="1"/>
  <c r="S392" i="1" s="1"/>
  <c r="P393" i="1"/>
  <c r="S393" i="1" s="1"/>
  <c r="P394" i="1"/>
  <c r="S394" i="1" s="1"/>
  <c r="P395" i="1"/>
  <c r="S395" i="1" s="1"/>
  <c r="P396" i="1"/>
  <c r="S396" i="1" s="1"/>
  <c r="P397" i="1"/>
  <c r="S397" i="1" s="1"/>
  <c r="P398" i="1"/>
  <c r="S398" i="1" s="1"/>
  <c r="P399" i="1"/>
  <c r="S399" i="1" s="1"/>
  <c r="P400" i="1"/>
  <c r="S400" i="1" s="1"/>
  <c r="P401" i="1"/>
  <c r="S401" i="1" s="1"/>
  <c r="P402" i="1"/>
  <c r="S402" i="1" s="1"/>
  <c r="P403" i="1"/>
  <c r="S403" i="1" s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415" i="1"/>
  <c r="S415" i="1" s="1"/>
  <c r="P416" i="1"/>
  <c r="S416" i="1" s="1"/>
  <c r="P417" i="1"/>
  <c r="S417" i="1" s="1"/>
  <c r="P418" i="1"/>
  <c r="S418" i="1" s="1"/>
  <c r="P419" i="1"/>
  <c r="S419" i="1" s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28" i="1"/>
  <c r="S428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35" i="1"/>
  <c r="S435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449" i="1"/>
  <c r="S449" i="1" s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463" i="1"/>
  <c r="S463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P482" i="1"/>
  <c r="S482" i="1" s="1"/>
  <c r="P483" i="1"/>
  <c r="S483" i="1" s="1"/>
  <c r="P484" i="1"/>
  <c r="S484" i="1" s="1"/>
  <c r="P485" i="1"/>
  <c r="S485" i="1" s="1"/>
  <c r="P486" i="1"/>
  <c r="S486" i="1" s="1"/>
  <c r="P487" i="1"/>
  <c r="S487" i="1" s="1"/>
  <c r="P488" i="1"/>
  <c r="S488" i="1" s="1"/>
  <c r="P489" i="1"/>
  <c r="S489" i="1" s="1"/>
  <c r="P490" i="1"/>
  <c r="S490" i="1" s="1"/>
  <c r="P491" i="1"/>
  <c r="S491" i="1" s="1"/>
  <c r="P492" i="1"/>
  <c r="S492" i="1" s="1"/>
  <c r="P493" i="1"/>
  <c r="S493" i="1" s="1"/>
  <c r="P494" i="1"/>
  <c r="S494" i="1" s="1"/>
  <c r="P495" i="1"/>
  <c r="S495" i="1" s="1"/>
  <c r="P496" i="1"/>
  <c r="S496" i="1" s="1"/>
  <c r="P497" i="1"/>
  <c r="S497" i="1" s="1"/>
  <c r="P498" i="1"/>
  <c r="S498" i="1" s="1"/>
  <c r="P499" i="1"/>
  <c r="S499" i="1" s="1"/>
  <c r="P500" i="1"/>
  <c r="S500" i="1" s="1"/>
  <c r="P501" i="1"/>
  <c r="S501" i="1" s="1"/>
  <c r="P502" i="1"/>
  <c r="S502" i="1" s="1"/>
  <c r="P503" i="1"/>
  <c r="S503" i="1" s="1"/>
  <c r="P504" i="1"/>
  <c r="S504" i="1" s="1"/>
  <c r="P505" i="1"/>
  <c r="S505" i="1" s="1"/>
  <c r="P506" i="1"/>
  <c r="S506" i="1" s="1"/>
  <c r="P507" i="1"/>
  <c r="S507" i="1" s="1"/>
  <c r="P508" i="1"/>
  <c r="S508" i="1" s="1"/>
  <c r="P509" i="1"/>
  <c r="S509" i="1" s="1"/>
  <c r="P510" i="1"/>
  <c r="S510" i="1" s="1"/>
  <c r="P511" i="1"/>
  <c r="S511" i="1" s="1"/>
  <c r="P512" i="1"/>
  <c r="S512" i="1" s="1"/>
  <c r="P513" i="1"/>
  <c r="S513" i="1" s="1"/>
  <c r="P514" i="1"/>
  <c r="S514" i="1" s="1"/>
  <c r="P515" i="1"/>
  <c r="S515" i="1" s="1"/>
  <c r="P516" i="1"/>
  <c r="S516" i="1" s="1"/>
  <c r="P517" i="1"/>
  <c r="S517" i="1" s="1"/>
  <c r="P518" i="1"/>
  <c r="S518" i="1" s="1"/>
  <c r="P519" i="1"/>
  <c r="S519" i="1" s="1"/>
  <c r="P520" i="1"/>
  <c r="S520" i="1" s="1"/>
  <c r="P521" i="1"/>
  <c r="S521" i="1" s="1"/>
  <c r="P522" i="1"/>
  <c r="S522" i="1" s="1"/>
  <c r="P523" i="1"/>
  <c r="S523" i="1" s="1"/>
  <c r="P524" i="1"/>
  <c r="S524" i="1" s="1"/>
  <c r="P525" i="1"/>
  <c r="S525" i="1" s="1"/>
  <c r="P526" i="1"/>
  <c r="S526" i="1" s="1"/>
  <c r="P527" i="1"/>
  <c r="S527" i="1" s="1"/>
  <c r="P528" i="1"/>
  <c r="S528" i="1" s="1"/>
  <c r="P529" i="1"/>
  <c r="S529" i="1" s="1"/>
  <c r="P530" i="1"/>
  <c r="S530" i="1" s="1"/>
  <c r="P531" i="1"/>
  <c r="S531" i="1" s="1"/>
  <c r="P532" i="1"/>
  <c r="S532" i="1" s="1"/>
  <c r="P533" i="1"/>
  <c r="S533" i="1" s="1"/>
  <c r="P534" i="1"/>
  <c r="S534" i="1" s="1"/>
  <c r="P535" i="1"/>
  <c r="S535" i="1" s="1"/>
  <c r="P536" i="1"/>
  <c r="S536" i="1" s="1"/>
  <c r="P537" i="1"/>
  <c r="S537" i="1" s="1"/>
  <c r="P538" i="1"/>
  <c r="S538" i="1" s="1"/>
  <c r="P539" i="1"/>
  <c r="S539" i="1" s="1"/>
  <c r="P540" i="1"/>
  <c r="S540" i="1" s="1"/>
  <c r="P541" i="1"/>
  <c r="S541" i="1" s="1"/>
  <c r="P542" i="1"/>
  <c r="S542" i="1" s="1"/>
  <c r="P543" i="1"/>
  <c r="S543" i="1" s="1"/>
  <c r="P544" i="1"/>
  <c r="S544" i="1" s="1"/>
  <c r="P545" i="1"/>
  <c r="S545" i="1" s="1"/>
  <c r="P546" i="1"/>
  <c r="S546" i="1" s="1"/>
  <c r="P547" i="1"/>
  <c r="S547" i="1" s="1"/>
  <c r="P548" i="1"/>
  <c r="S548" i="1" s="1"/>
  <c r="P549" i="1"/>
  <c r="S549" i="1" s="1"/>
  <c r="P550" i="1"/>
  <c r="S550" i="1" s="1"/>
  <c r="P551" i="1"/>
  <c r="S551" i="1" s="1"/>
  <c r="P552" i="1"/>
  <c r="S552" i="1" s="1"/>
  <c r="P553" i="1"/>
  <c r="S553" i="1" s="1"/>
  <c r="P554" i="1"/>
  <c r="S554" i="1" s="1"/>
  <c r="P555" i="1"/>
  <c r="S555" i="1" s="1"/>
  <c r="P556" i="1"/>
  <c r="S556" i="1" s="1"/>
  <c r="P557" i="1"/>
  <c r="S557" i="1" s="1"/>
  <c r="P558" i="1"/>
  <c r="S558" i="1" s="1"/>
  <c r="P559" i="1"/>
  <c r="S559" i="1" s="1"/>
  <c r="P560" i="1"/>
  <c r="S560" i="1" s="1"/>
  <c r="P561" i="1"/>
  <c r="S561" i="1" s="1"/>
  <c r="P562" i="1"/>
  <c r="S562" i="1" s="1"/>
  <c r="P563" i="1"/>
  <c r="S563" i="1" s="1"/>
  <c r="P564" i="1"/>
  <c r="S564" i="1" s="1"/>
  <c r="P565" i="1"/>
  <c r="S565" i="1" s="1"/>
  <c r="P566" i="1"/>
  <c r="S566" i="1" s="1"/>
  <c r="P567" i="1"/>
  <c r="S567" i="1" s="1"/>
  <c r="P568" i="1"/>
  <c r="S568" i="1" s="1"/>
  <c r="P569" i="1"/>
  <c r="S569" i="1" s="1"/>
  <c r="P570" i="1"/>
  <c r="S570" i="1" s="1"/>
  <c r="P571" i="1"/>
  <c r="S571" i="1" s="1"/>
  <c r="P572" i="1"/>
  <c r="S572" i="1" s="1"/>
  <c r="P573" i="1"/>
  <c r="S573" i="1" s="1"/>
  <c r="P574" i="1"/>
  <c r="S574" i="1" s="1"/>
  <c r="P575" i="1"/>
  <c r="S575" i="1" s="1"/>
  <c r="P576" i="1"/>
  <c r="S576" i="1" s="1"/>
  <c r="P577" i="1"/>
  <c r="S577" i="1" s="1"/>
  <c r="P578" i="1"/>
  <c r="S578" i="1" s="1"/>
  <c r="P579" i="1"/>
  <c r="S579" i="1" s="1"/>
  <c r="P580" i="1"/>
  <c r="S580" i="1" s="1"/>
  <c r="P581" i="1"/>
  <c r="S581" i="1" s="1"/>
  <c r="P582" i="1"/>
  <c r="S582" i="1" s="1"/>
  <c r="P583" i="1"/>
  <c r="S583" i="1" s="1"/>
  <c r="P584" i="1"/>
  <c r="S584" i="1" s="1"/>
  <c r="P585" i="1"/>
  <c r="S585" i="1" s="1"/>
  <c r="P586" i="1"/>
  <c r="S586" i="1" s="1"/>
  <c r="P587" i="1"/>
  <c r="S587" i="1" s="1"/>
  <c r="P588" i="1"/>
  <c r="S588" i="1" s="1"/>
  <c r="P589" i="1"/>
  <c r="S589" i="1" s="1"/>
  <c r="P590" i="1"/>
  <c r="S590" i="1" s="1"/>
  <c r="P591" i="1"/>
  <c r="S591" i="1" s="1"/>
  <c r="P592" i="1"/>
  <c r="S592" i="1" s="1"/>
  <c r="P593" i="1"/>
  <c r="S593" i="1" s="1"/>
  <c r="P594" i="1"/>
  <c r="S594" i="1" s="1"/>
  <c r="P595" i="1"/>
  <c r="S595" i="1" s="1"/>
  <c r="P596" i="1"/>
  <c r="S596" i="1" s="1"/>
  <c r="P597" i="1"/>
  <c r="S597" i="1" s="1"/>
  <c r="P598" i="1"/>
  <c r="S598" i="1" s="1"/>
  <c r="P599" i="1"/>
  <c r="S599" i="1" s="1"/>
  <c r="P600" i="1"/>
  <c r="S600" i="1" s="1"/>
  <c r="P601" i="1"/>
  <c r="S601" i="1" s="1"/>
  <c r="P602" i="1"/>
  <c r="S602" i="1" s="1"/>
  <c r="P603" i="1"/>
  <c r="S603" i="1" s="1"/>
  <c r="P604" i="1"/>
  <c r="S604" i="1" s="1"/>
  <c r="P605" i="1"/>
  <c r="S605" i="1" s="1"/>
  <c r="P606" i="1"/>
  <c r="S606" i="1" s="1"/>
  <c r="P607" i="1"/>
  <c r="S607" i="1" s="1"/>
  <c r="P608" i="1"/>
  <c r="S608" i="1" s="1"/>
  <c r="P609" i="1"/>
  <c r="S609" i="1" s="1"/>
  <c r="P610" i="1"/>
  <c r="S610" i="1" s="1"/>
  <c r="P611" i="1"/>
  <c r="S611" i="1" s="1"/>
  <c r="P612" i="1"/>
  <c r="S612" i="1" s="1"/>
  <c r="P613" i="1"/>
  <c r="S613" i="1" s="1"/>
  <c r="P614" i="1"/>
  <c r="S614" i="1" s="1"/>
  <c r="P615" i="1"/>
  <c r="S615" i="1" s="1"/>
  <c r="P616" i="1"/>
  <c r="S616" i="1" s="1"/>
  <c r="P617" i="1"/>
  <c r="S617" i="1" s="1"/>
  <c r="P618" i="1"/>
  <c r="S618" i="1" s="1"/>
  <c r="P619" i="1"/>
  <c r="S619" i="1" s="1"/>
  <c r="P620" i="1"/>
  <c r="S620" i="1" s="1"/>
  <c r="P621" i="1"/>
  <c r="S621" i="1" s="1"/>
  <c r="P622" i="1"/>
  <c r="S622" i="1" s="1"/>
  <c r="P623" i="1"/>
  <c r="S623" i="1" s="1"/>
  <c r="P624" i="1"/>
  <c r="S624" i="1" s="1"/>
  <c r="P625" i="1"/>
  <c r="S625" i="1" s="1"/>
  <c r="P626" i="1"/>
  <c r="S626" i="1" s="1"/>
  <c r="P627" i="1"/>
  <c r="S627" i="1" s="1"/>
  <c r="P628" i="1"/>
  <c r="S628" i="1" s="1"/>
  <c r="P629" i="1"/>
  <c r="S629" i="1" s="1"/>
  <c r="P630" i="1"/>
  <c r="S630" i="1" s="1"/>
  <c r="P631" i="1"/>
  <c r="S631" i="1" s="1"/>
  <c r="P632" i="1"/>
  <c r="S632" i="1" s="1"/>
  <c r="P633" i="1"/>
  <c r="S633" i="1" s="1"/>
  <c r="R2" i="1"/>
  <c r="T2" i="1" s="1"/>
  <c r="R3" i="1"/>
  <c r="T3" i="1" s="1"/>
  <c r="R4" i="1"/>
  <c r="T4" i="1" s="1"/>
  <c r="V4" i="1" s="1"/>
  <c r="W4" i="1" s="1"/>
  <c r="R5" i="1"/>
  <c r="T5" i="1" s="1"/>
  <c r="R6" i="1"/>
  <c r="T6" i="1" s="1"/>
  <c r="R7" i="1"/>
  <c r="T7" i="1" s="1"/>
  <c r="R8" i="1"/>
  <c r="T8" i="1" s="1"/>
  <c r="V8" i="1" s="1"/>
  <c r="W8" i="1" s="1"/>
  <c r="R9" i="1"/>
  <c r="T9" i="1" s="1"/>
  <c r="R10" i="1"/>
  <c r="T10" i="1" s="1"/>
  <c r="R11" i="1"/>
  <c r="T11" i="1" s="1"/>
  <c r="R12" i="1"/>
  <c r="T12" i="1" s="1"/>
  <c r="V12" i="1" s="1"/>
  <c r="W12" i="1" s="1"/>
  <c r="R13" i="1"/>
  <c r="T13" i="1" s="1"/>
  <c r="R14" i="1"/>
  <c r="T14" i="1" s="1"/>
  <c r="R15" i="1"/>
  <c r="T15" i="1" s="1"/>
  <c r="R16" i="1"/>
  <c r="T16" i="1" s="1"/>
  <c r="V16" i="1" s="1"/>
  <c r="W16" i="1" s="1"/>
  <c r="R17" i="1"/>
  <c r="T17" i="1" s="1"/>
  <c r="R18" i="1"/>
  <c r="T18" i="1" s="1"/>
  <c r="R19" i="1"/>
  <c r="T19" i="1" s="1"/>
  <c r="R20" i="1"/>
  <c r="T20" i="1" s="1"/>
  <c r="V20" i="1" s="1"/>
  <c r="W20" i="1" s="1"/>
  <c r="R21" i="1"/>
  <c r="T21" i="1" s="1"/>
  <c r="R22" i="1"/>
  <c r="T22" i="1" s="1"/>
  <c r="R23" i="1"/>
  <c r="T23" i="1" s="1"/>
  <c r="R24" i="1"/>
  <c r="T24" i="1" s="1"/>
  <c r="V24" i="1" s="1"/>
  <c r="W24" i="1" s="1"/>
  <c r="R25" i="1"/>
  <c r="T25" i="1" s="1"/>
  <c r="R26" i="1"/>
  <c r="T26" i="1" s="1"/>
  <c r="R27" i="1"/>
  <c r="T27" i="1" s="1"/>
  <c r="R28" i="1"/>
  <c r="T28" i="1" s="1"/>
  <c r="V28" i="1" s="1"/>
  <c r="W28" i="1" s="1"/>
  <c r="R29" i="1"/>
  <c r="T29" i="1" s="1"/>
  <c r="R30" i="1"/>
  <c r="T30" i="1" s="1"/>
  <c r="R31" i="1"/>
  <c r="T31" i="1" s="1"/>
  <c r="R32" i="1"/>
  <c r="T32" i="1" s="1"/>
  <c r="V32" i="1" s="1"/>
  <c r="W32" i="1" s="1"/>
  <c r="R33" i="1"/>
  <c r="T33" i="1" s="1"/>
  <c r="R34" i="1"/>
  <c r="T34" i="1" s="1"/>
  <c r="R35" i="1"/>
  <c r="T35" i="1" s="1"/>
  <c r="R36" i="1"/>
  <c r="T36" i="1" s="1"/>
  <c r="V36" i="1" s="1"/>
  <c r="W36" i="1" s="1"/>
  <c r="R37" i="1"/>
  <c r="T37" i="1" s="1"/>
  <c r="R38" i="1"/>
  <c r="T38" i="1" s="1"/>
  <c r="R39" i="1"/>
  <c r="T39" i="1" s="1"/>
  <c r="R40" i="1"/>
  <c r="T40" i="1" s="1"/>
  <c r="V40" i="1" s="1"/>
  <c r="W40" i="1" s="1"/>
  <c r="R41" i="1"/>
  <c r="T41" i="1" s="1"/>
  <c r="R42" i="1"/>
  <c r="T42" i="1" s="1"/>
  <c r="R43" i="1"/>
  <c r="T43" i="1" s="1"/>
  <c r="R44" i="1"/>
  <c r="T44" i="1" s="1"/>
  <c r="V44" i="1" s="1"/>
  <c r="W44" i="1" s="1"/>
  <c r="R45" i="1"/>
  <c r="T45" i="1" s="1"/>
  <c r="R46" i="1"/>
  <c r="T46" i="1" s="1"/>
  <c r="R47" i="1"/>
  <c r="T47" i="1" s="1"/>
  <c r="R48" i="1"/>
  <c r="T48" i="1" s="1"/>
  <c r="V48" i="1" s="1"/>
  <c r="W48" i="1" s="1"/>
  <c r="R49" i="1"/>
  <c r="T49" i="1" s="1"/>
  <c r="R50" i="1"/>
  <c r="T50" i="1" s="1"/>
  <c r="R51" i="1"/>
  <c r="T51" i="1" s="1"/>
  <c r="R52" i="1"/>
  <c r="T52" i="1" s="1"/>
  <c r="V52" i="1" s="1"/>
  <c r="W52" i="1" s="1"/>
  <c r="R53" i="1"/>
  <c r="T53" i="1" s="1"/>
  <c r="R54" i="1"/>
  <c r="T54" i="1" s="1"/>
  <c r="R55" i="1"/>
  <c r="T55" i="1" s="1"/>
  <c r="R56" i="1"/>
  <c r="T56" i="1" s="1"/>
  <c r="V56" i="1" s="1"/>
  <c r="W56" i="1" s="1"/>
  <c r="R57" i="1"/>
  <c r="T57" i="1" s="1"/>
  <c r="R58" i="1"/>
  <c r="T58" i="1" s="1"/>
  <c r="R59" i="1"/>
  <c r="T59" i="1" s="1"/>
  <c r="R60" i="1"/>
  <c r="T60" i="1" s="1"/>
  <c r="V60" i="1" s="1"/>
  <c r="W60" i="1" s="1"/>
  <c r="R61" i="1"/>
  <c r="T61" i="1" s="1"/>
  <c r="R62" i="1"/>
  <c r="T62" i="1" s="1"/>
  <c r="R63" i="1"/>
  <c r="T63" i="1" s="1"/>
  <c r="R64" i="1"/>
  <c r="T64" i="1" s="1"/>
  <c r="V64" i="1" s="1"/>
  <c r="W64" i="1" s="1"/>
  <c r="R65" i="1"/>
  <c r="T65" i="1" s="1"/>
  <c r="R66" i="1"/>
  <c r="T66" i="1" s="1"/>
  <c r="R67" i="1"/>
  <c r="T67" i="1" s="1"/>
  <c r="R68" i="1"/>
  <c r="T68" i="1" s="1"/>
  <c r="V68" i="1" s="1"/>
  <c r="W68" i="1" s="1"/>
  <c r="R69" i="1"/>
  <c r="T69" i="1" s="1"/>
  <c r="R70" i="1"/>
  <c r="T70" i="1" s="1"/>
  <c r="R71" i="1"/>
  <c r="T71" i="1" s="1"/>
  <c r="R72" i="1"/>
  <c r="T72" i="1" s="1"/>
  <c r="V72" i="1" s="1"/>
  <c r="W72" i="1" s="1"/>
  <c r="R73" i="1"/>
  <c r="T73" i="1" s="1"/>
  <c r="R74" i="1"/>
  <c r="T74" i="1" s="1"/>
  <c r="R75" i="1"/>
  <c r="T75" i="1" s="1"/>
  <c r="R76" i="1"/>
  <c r="T76" i="1" s="1"/>
  <c r="V76" i="1" s="1"/>
  <c r="W76" i="1" s="1"/>
  <c r="R77" i="1"/>
  <c r="T77" i="1" s="1"/>
  <c r="R78" i="1"/>
  <c r="T78" i="1" s="1"/>
  <c r="R79" i="1"/>
  <c r="T79" i="1" s="1"/>
  <c r="R80" i="1"/>
  <c r="T80" i="1" s="1"/>
  <c r="V80" i="1" s="1"/>
  <c r="W80" i="1" s="1"/>
  <c r="R81" i="1"/>
  <c r="T81" i="1" s="1"/>
  <c r="R82" i="1"/>
  <c r="T82" i="1" s="1"/>
  <c r="R83" i="1"/>
  <c r="T83" i="1" s="1"/>
  <c r="R84" i="1"/>
  <c r="T84" i="1" s="1"/>
  <c r="V84" i="1" s="1"/>
  <c r="W84" i="1" s="1"/>
  <c r="R85" i="1"/>
  <c r="T85" i="1" s="1"/>
  <c r="R86" i="1"/>
  <c r="T86" i="1" s="1"/>
  <c r="R87" i="1"/>
  <c r="T87" i="1" s="1"/>
  <c r="R88" i="1"/>
  <c r="T88" i="1" s="1"/>
  <c r="V88" i="1" s="1"/>
  <c r="W88" i="1" s="1"/>
  <c r="R89" i="1"/>
  <c r="T89" i="1" s="1"/>
  <c r="R90" i="1"/>
  <c r="T90" i="1" s="1"/>
  <c r="R91" i="1"/>
  <c r="T91" i="1" s="1"/>
  <c r="R92" i="1"/>
  <c r="T92" i="1" s="1"/>
  <c r="V92" i="1" s="1"/>
  <c r="W92" i="1" s="1"/>
  <c r="R93" i="1"/>
  <c r="T93" i="1" s="1"/>
  <c r="R94" i="1"/>
  <c r="T94" i="1" s="1"/>
  <c r="R95" i="1"/>
  <c r="T95" i="1" s="1"/>
  <c r="R96" i="1"/>
  <c r="T96" i="1" s="1"/>
  <c r="V96" i="1" s="1"/>
  <c r="W96" i="1" s="1"/>
  <c r="R97" i="1"/>
  <c r="T97" i="1" s="1"/>
  <c r="R98" i="1"/>
  <c r="T98" i="1" s="1"/>
  <c r="R99" i="1"/>
  <c r="T99" i="1" s="1"/>
  <c r="R100" i="1"/>
  <c r="T100" i="1" s="1"/>
  <c r="V100" i="1" s="1"/>
  <c r="W100" i="1" s="1"/>
  <c r="R101" i="1"/>
  <c r="T101" i="1" s="1"/>
  <c r="R102" i="1"/>
  <c r="T102" i="1" s="1"/>
  <c r="R103" i="1"/>
  <c r="T103" i="1" s="1"/>
  <c r="R104" i="1"/>
  <c r="T104" i="1" s="1"/>
  <c r="V104" i="1" s="1"/>
  <c r="W104" i="1" s="1"/>
  <c r="R105" i="1"/>
  <c r="T105" i="1" s="1"/>
  <c r="R106" i="1"/>
  <c r="T106" i="1" s="1"/>
  <c r="R107" i="1"/>
  <c r="T107" i="1" s="1"/>
  <c r="R108" i="1"/>
  <c r="T108" i="1" s="1"/>
  <c r="V108" i="1" s="1"/>
  <c r="W108" i="1" s="1"/>
  <c r="R109" i="1"/>
  <c r="T109" i="1" s="1"/>
  <c r="R110" i="1"/>
  <c r="T110" i="1" s="1"/>
  <c r="R111" i="1"/>
  <c r="T111" i="1" s="1"/>
  <c r="R112" i="1"/>
  <c r="T112" i="1" s="1"/>
  <c r="V112" i="1" s="1"/>
  <c r="W112" i="1" s="1"/>
  <c r="R113" i="1"/>
  <c r="T113" i="1" s="1"/>
  <c r="R114" i="1"/>
  <c r="T114" i="1" s="1"/>
  <c r="R115" i="1"/>
  <c r="T115" i="1" s="1"/>
  <c r="R116" i="1"/>
  <c r="T116" i="1" s="1"/>
  <c r="V116" i="1" s="1"/>
  <c r="W116" i="1" s="1"/>
  <c r="R117" i="1"/>
  <c r="T117" i="1" s="1"/>
  <c r="R118" i="1"/>
  <c r="T118" i="1" s="1"/>
  <c r="R119" i="1"/>
  <c r="T119" i="1" s="1"/>
  <c r="R120" i="1"/>
  <c r="T120" i="1" s="1"/>
  <c r="V120" i="1" s="1"/>
  <c r="W120" i="1" s="1"/>
  <c r="R121" i="1"/>
  <c r="T121" i="1" s="1"/>
  <c r="R122" i="1"/>
  <c r="T122" i="1" s="1"/>
  <c r="R123" i="1"/>
  <c r="T123" i="1" s="1"/>
  <c r="R124" i="1"/>
  <c r="T124" i="1" s="1"/>
  <c r="V124" i="1" s="1"/>
  <c r="W124" i="1" s="1"/>
  <c r="R125" i="1"/>
  <c r="T125" i="1" s="1"/>
  <c r="R126" i="1"/>
  <c r="T126" i="1" s="1"/>
  <c r="R127" i="1"/>
  <c r="T127" i="1" s="1"/>
  <c r="R128" i="1"/>
  <c r="T128" i="1" s="1"/>
  <c r="V128" i="1" s="1"/>
  <c r="W128" i="1" s="1"/>
  <c r="R129" i="1"/>
  <c r="T129" i="1" s="1"/>
  <c r="R130" i="1"/>
  <c r="T130" i="1" s="1"/>
  <c r="R131" i="1"/>
  <c r="T131" i="1" s="1"/>
  <c r="R132" i="1"/>
  <c r="T132" i="1" s="1"/>
  <c r="V132" i="1" s="1"/>
  <c r="W132" i="1" s="1"/>
  <c r="R133" i="1"/>
  <c r="T133" i="1" s="1"/>
  <c r="R134" i="1"/>
  <c r="T134" i="1" s="1"/>
  <c r="R135" i="1"/>
  <c r="T135" i="1" s="1"/>
  <c r="R136" i="1"/>
  <c r="T136" i="1" s="1"/>
  <c r="V136" i="1" s="1"/>
  <c r="W136" i="1" s="1"/>
  <c r="R137" i="1"/>
  <c r="T137" i="1" s="1"/>
  <c r="R138" i="1"/>
  <c r="T138" i="1" s="1"/>
  <c r="R139" i="1"/>
  <c r="T139" i="1" s="1"/>
  <c r="R140" i="1"/>
  <c r="T140" i="1" s="1"/>
  <c r="V140" i="1" s="1"/>
  <c r="W140" i="1" s="1"/>
  <c r="R141" i="1"/>
  <c r="T141" i="1" s="1"/>
  <c r="R142" i="1"/>
  <c r="T142" i="1" s="1"/>
  <c r="R143" i="1"/>
  <c r="T143" i="1" s="1"/>
  <c r="R144" i="1"/>
  <c r="T144" i="1" s="1"/>
  <c r="V144" i="1" s="1"/>
  <c r="W144" i="1" s="1"/>
  <c r="R145" i="1"/>
  <c r="T145" i="1" s="1"/>
  <c r="R146" i="1"/>
  <c r="T146" i="1" s="1"/>
  <c r="R147" i="1"/>
  <c r="T147" i="1" s="1"/>
  <c r="R148" i="1"/>
  <c r="T148" i="1" s="1"/>
  <c r="V148" i="1" s="1"/>
  <c r="W148" i="1" s="1"/>
  <c r="R149" i="1"/>
  <c r="T149" i="1" s="1"/>
  <c r="R150" i="1"/>
  <c r="T150" i="1" s="1"/>
  <c r="R151" i="1"/>
  <c r="T151" i="1" s="1"/>
  <c r="R152" i="1"/>
  <c r="T152" i="1" s="1"/>
  <c r="V152" i="1" s="1"/>
  <c r="W152" i="1" s="1"/>
  <c r="R153" i="1"/>
  <c r="T153" i="1" s="1"/>
  <c r="R154" i="1"/>
  <c r="T154" i="1" s="1"/>
  <c r="R155" i="1"/>
  <c r="T155" i="1" s="1"/>
  <c r="R156" i="1"/>
  <c r="T156" i="1" s="1"/>
  <c r="V156" i="1" s="1"/>
  <c r="W156" i="1" s="1"/>
  <c r="R157" i="1"/>
  <c r="T157" i="1" s="1"/>
  <c r="R158" i="1"/>
  <c r="T158" i="1" s="1"/>
  <c r="R159" i="1"/>
  <c r="T159" i="1" s="1"/>
  <c r="R160" i="1"/>
  <c r="T160" i="1" s="1"/>
  <c r="V160" i="1" s="1"/>
  <c r="W160" i="1" s="1"/>
  <c r="R161" i="1"/>
  <c r="T161" i="1" s="1"/>
  <c r="R162" i="1"/>
  <c r="T162" i="1" s="1"/>
  <c r="R163" i="1"/>
  <c r="T163" i="1" s="1"/>
  <c r="R164" i="1"/>
  <c r="T164" i="1" s="1"/>
  <c r="V164" i="1" s="1"/>
  <c r="W164" i="1" s="1"/>
  <c r="R165" i="1"/>
  <c r="T165" i="1" s="1"/>
  <c r="R166" i="1"/>
  <c r="T166" i="1" s="1"/>
  <c r="R167" i="1"/>
  <c r="T167" i="1" s="1"/>
  <c r="R168" i="1"/>
  <c r="T168" i="1" s="1"/>
  <c r="V168" i="1" s="1"/>
  <c r="W168" i="1" s="1"/>
  <c r="R169" i="1"/>
  <c r="T169" i="1" s="1"/>
  <c r="R170" i="1"/>
  <c r="T170" i="1" s="1"/>
  <c r="R171" i="1"/>
  <c r="T171" i="1" s="1"/>
  <c r="R172" i="1"/>
  <c r="T172" i="1" s="1"/>
  <c r="V172" i="1" s="1"/>
  <c r="W172" i="1" s="1"/>
  <c r="R173" i="1"/>
  <c r="T173" i="1" s="1"/>
  <c r="R174" i="1"/>
  <c r="T174" i="1" s="1"/>
  <c r="R175" i="1"/>
  <c r="T175" i="1" s="1"/>
  <c r="R176" i="1"/>
  <c r="T176" i="1" s="1"/>
  <c r="V176" i="1" s="1"/>
  <c r="W176" i="1" s="1"/>
  <c r="R177" i="1"/>
  <c r="T177" i="1" s="1"/>
  <c r="R178" i="1"/>
  <c r="T178" i="1" s="1"/>
  <c r="R179" i="1"/>
  <c r="T179" i="1" s="1"/>
  <c r="R180" i="1"/>
  <c r="T180" i="1" s="1"/>
  <c r="V180" i="1" s="1"/>
  <c r="W180" i="1" s="1"/>
  <c r="R181" i="1"/>
  <c r="T181" i="1" s="1"/>
  <c r="R182" i="1"/>
  <c r="T182" i="1" s="1"/>
  <c r="R183" i="1"/>
  <c r="T183" i="1" s="1"/>
  <c r="R184" i="1"/>
  <c r="T184" i="1" s="1"/>
  <c r="V184" i="1" s="1"/>
  <c r="W184" i="1" s="1"/>
  <c r="R185" i="1"/>
  <c r="T185" i="1" s="1"/>
  <c r="R186" i="1"/>
  <c r="T186" i="1" s="1"/>
  <c r="R187" i="1"/>
  <c r="T187" i="1" s="1"/>
  <c r="R188" i="1"/>
  <c r="T188" i="1" s="1"/>
  <c r="V188" i="1" s="1"/>
  <c r="W188" i="1" s="1"/>
  <c r="R189" i="1"/>
  <c r="T189" i="1" s="1"/>
  <c r="R190" i="1"/>
  <c r="T190" i="1" s="1"/>
  <c r="R191" i="1"/>
  <c r="T191" i="1" s="1"/>
  <c r="R192" i="1"/>
  <c r="T192" i="1" s="1"/>
  <c r="V192" i="1" s="1"/>
  <c r="W192" i="1" s="1"/>
  <c r="R193" i="1"/>
  <c r="T193" i="1" s="1"/>
  <c r="R194" i="1"/>
  <c r="T194" i="1" s="1"/>
  <c r="R195" i="1"/>
  <c r="T195" i="1" s="1"/>
  <c r="R196" i="1"/>
  <c r="T196" i="1" s="1"/>
  <c r="V196" i="1" s="1"/>
  <c r="W196" i="1" s="1"/>
  <c r="R197" i="1"/>
  <c r="T197" i="1" s="1"/>
  <c r="R198" i="1"/>
  <c r="T198" i="1" s="1"/>
  <c r="R199" i="1"/>
  <c r="T199" i="1" s="1"/>
  <c r="R200" i="1"/>
  <c r="T200" i="1" s="1"/>
  <c r="V200" i="1" s="1"/>
  <c r="W200" i="1" s="1"/>
  <c r="R201" i="1"/>
  <c r="T201" i="1" s="1"/>
  <c r="R202" i="1"/>
  <c r="T202" i="1" s="1"/>
  <c r="R203" i="1"/>
  <c r="T203" i="1" s="1"/>
  <c r="R204" i="1"/>
  <c r="T204" i="1" s="1"/>
  <c r="V204" i="1" s="1"/>
  <c r="W204" i="1" s="1"/>
  <c r="R205" i="1"/>
  <c r="T205" i="1" s="1"/>
  <c r="R206" i="1"/>
  <c r="T206" i="1" s="1"/>
  <c r="R207" i="1"/>
  <c r="T207" i="1" s="1"/>
  <c r="R208" i="1"/>
  <c r="T208" i="1" s="1"/>
  <c r="V208" i="1" s="1"/>
  <c r="W208" i="1" s="1"/>
  <c r="R209" i="1"/>
  <c r="T209" i="1" s="1"/>
  <c r="R210" i="1"/>
  <c r="T210" i="1" s="1"/>
  <c r="R211" i="1"/>
  <c r="T211" i="1" s="1"/>
  <c r="R212" i="1"/>
  <c r="T212" i="1" s="1"/>
  <c r="V212" i="1" s="1"/>
  <c r="W212" i="1" s="1"/>
  <c r="R213" i="1"/>
  <c r="T213" i="1" s="1"/>
  <c r="R214" i="1"/>
  <c r="T214" i="1" s="1"/>
  <c r="R215" i="1"/>
  <c r="T215" i="1" s="1"/>
  <c r="R216" i="1"/>
  <c r="T216" i="1" s="1"/>
  <c r="V216" i="1" s="1"/>
  <c r="W216" i="1" s="1"/>
  <c r="R217" i="1"/>
  <c r="T217" i="1" s="1"/>
  <c r="R218" i="1"/>
  <c r="T218" i="1" s="1"/>
  <c r="R219" i="1"/>
  <c r="T219" i="1" s="1"/>
  <c r="R220" i="1"/>
  <c r="T220" i="1" s="1"/>
  <c r="V220" i="1" s="1"/>
  <c r="W220" i="1" s="1"/>
  <c r="R221" i="1"/>
  <c r="T221" i="1" s="1"/>
  <c r="R222" i="1"/>
  <c r="T222" i="1" s="1"/>
  <c r="R223" i="1"/>
  <c r="T223" i="1" s="1"/>
  <c r="R224" i="1"/>
  <c r="T224" i="1" s="1"/>
  <c r="V224" i="1" s="1"/>
  <c r="W224" i="1" s="1"/>
  <c r="R225" i="1"/>
  <c r="T225" i="1" s="1"/>
  <c r="R226" i="1"/>
  <c r="T226" i="1" s="1"/>
  <c r="R227" i="1"/>
  <c r="T227" i="1" s="1"/>
  <c r="R228" i="1"/>
  <c r="T228" i="1" s="1"/>
  <c r="V228" i="1" s="1"/>
  <c r="W228" i="1" s="1"/>
  <c r="R229" i="1"/>
  <c r="T229" i="1" s="1"/>
  <c r="R230" i="1"/>
  <c r="T230" i="1" s="1"/>
  <c r="R231" i="1"/>
  <c r="T231" i="1" s="1"/>
  <c r="R232" i="1"/>
  <c r="T232" i="1" s="1"/>
  <c r="V232" i="1" s="1"/>
  <c r="W232" i="1" s="1"/>
  <c r="R233" i="1"/>
  <c r="T233" i="1" s="1"/>
  <c r="R234" i="1"/>
  <c r="T234" i="1" s="1"/>
  <c r="R235" i="1"/>
  <c r="T235" i="1" s="1"/>
  <c r="R236" i="1"/>
  <c r="T236" i="1" s="1"/>
  <c r="V236" i="1" s="1"/>
  <c r="W236" i="1" s="1"/>
  <c r="R237" i="1"/>
  <c r="T237" i="1" s="1"/>
  <c r="R238" i="1"/>
  <c r="T238" i="1" s="1"/>
  <c r="R239" i="1"/>
  <c r="T239" i="1" s="1"/>
  <c r="R240" i="1"/>
  <c r="T240" i="1" s="1"/>
  <c r="V240" i="1" s="1"/>
  <c r="W240" i="1" s="1"/>
  <c r="R241" i="1"/>
  <c r="T241" i="1" s="1"/>
  <c r="R242" i="1"/>
  <c r="T242" i="1" s="1"/>
  <c r="R243" i="1"/>
  <c r="T243" i="1" s="1"/>
  <c r="R244" i="1"/>
  <c r="T244" i="1" s="1"/>
  <c r="V244" i="1" s="1"/>
  <c r="W244" i="1" s="1"/>
  <c r="R245" i="1"/>
  <c r="T245" i="1" s="1"/>
  <c r="R246" i="1"/>
  <c r="T246" i="1" s="1"/>
  <c r="R247" i="1"/>
  <c r="T247" i="1" s="1"/>
  <c r="R248" i="1"/>
  <c r="T248" i="1" s="1"/>
  <c r="V248" i="1" s="1"/>
  <c r="W248" i="1" s="1"/>
  <c r="R249" i="1"/>
  <c r="T249" i="1" s="1"/>
  <c r="R250" i="1"/>
  <c r="T250" i="1" s="1"/>
  <c r="R251" i="1"/>
  <c r="T251" i="1" s="1"/>
  <c r="R252" i="1"/>
  <c r="T252" i="1" s="1"/>
  <c r="V252" i="1" s="1"/>
  <c r="W252" i="1" s="1"/>
  <c r="R253" i="1"/>
  <c r="T253" i="1" s="1"/>
  <c r="R254" i="1"/>
  <c r="T254" i="1" s="1"/>
  <c r="R255" i="1"/>
  <c r="T255" i="1" s="1"/>
  <c r="R256" i="1"/>
  <c r="T256" i="1" s="1"/>
  <c r="V256" i="1" s="1"/>
  <c r="W256" i="1" s="1"/>
  <c r="R257" i="1"/>
  <c r="T257" i="1" s="1"/>
  <c r="R258" i="1"/>
  <c r="T258" i="1" s="1"/>
  <c r="R259" i="1"/>
  <c r="T259" i="1" s="1"/>
  <c r="R260" i="1"/>
  <c r="T260" i="1" s="1"/>
  <c r="V260" i="1" s="1"/>
  <c r="W260" i="1" s="1"/>
  <c r="R261" i="1"/>
  <c r="T261" i="1" s="1"/>
  <c r="R262" i="1"/>
  <c r="T262" i="1" s="1"/>
  <c r="R263" i="1"/>
  <c r="T263" i="1" s="1"/>
  <c r="R264" i="1"/>
  <c r="T264" i="1" s="1"/>
  <c r="V264" i="1" s="1"/>
  <c r="W264" i="1" s="1"/>
  <c r="R265" i="1"/>
  <c r="T265" i="1" s="1"/>
  <c r="R266" i="1"/>
  <c r="T266" i="1" s="1"/>
  <c r="R267" i="1"/>
  <c r="T267" i="1" s="1"/>
  <c r="R268" i="1"/>
  <c r="T268" i="1" s="1"/>
  <c r="V268" i="1" s="1"/>
  <c r="W268" i="1" s="1"/>
  <c r="R269" i="1"/>
  <c r="T269" i="1" s="1"/>
  <c r="R270" i="1"/>
  <c r="T270" i="1" s="1"/>
  <c r="R271" i="1"/>
  <c r="T271" i="1" s="1"/>
  <c r="R272" i="1"/>
  <c r="T272" i="1" s="1"/>
  <c r="V272" i="1" s="1"/>
  <c r="W272" i="1" s="1"/>
  <c r="R273" i="1"/>
  <c r="T273" i="1" s="1"/>
  <c r="R274" i="1"/>
  <c r="T274" i="1" s="1"/>
  <c r="R275" i="1"/>
  <c r="T275" i="1" s="1"/>
  <c r="R276" i="1"/>
  <c r="T276" i="1" s="1"/>
  <c r="V276" i="1" s="1"/>
  <c r="W276" i="1" s="1"/>
  <c r="R277" i="1"/>
  <c r="T277" i="1" s="1"/>
  <c r="R278" i="1"/>
  <c r="T278" i="1" s="1"/>
  <c r="R279" i="1"/>
  <c r="T279" i="1" s="1"/>
  <c r="R280" i="1"/>
  <c r="T280" i="1" s="1"/>
  <c r="V280" i="1" s="1"/>
  <c r="W280" i="1" s="1"/>
  <c r="R281" i="1"/>
  <c r="T281" i="1" s="1"/>
  <c r="R282" i="1"/>
  <c r="T282" i="1" s="1"/>
  <c r="R283" i="1"/>
  <c r="T283" i="1" s="1"/>
  <c r="R284" i="1"/>
  <c r="T284" i="1" s="1"/>
  <c r="V284" i="1" s="1"/>
  <c r="W284" i="1" s="1"/>
  <c r="R285" i="1"/>
  <c r="T285" i="1" s="1"/>
  <c r="R286" i="1"/>
  <c r="T286" i="1" s="1"/>
  <c r="R287" i="1"/>
  <c r="T287" i="1" s="1"/>
  <c r="R288" i="1"/>
  <c r="T288" i="1" s="1"/>
  <c r="V288" i="1" s="1"/>
  <c r="W288" i="1" s="1"/>
  <c r="R289" i="1"/>
  <c r="T289" i="1" s="1"/>
  <c r="R290" i="1"/>
  <c r="T290" i="1" s="1"/>
  <c r="R291" i="1"/>
  <c r="T291" i="1" s="1"/>
  <c r="R292" i="1"/>
  <c r="T292" i="1" s="1"/>
  <c r="V292" i="1" s="1"/>
  <c r="W292" i="1" s="1"/>
  <c r="R293" i="1"/>
  <c r="T293" i="1" s="1"/>
  <c r="R294" i="1"/>
  <c r="T294" i="1" s="1"/>
  <c r="R295" i="1"/>
  <c r="T295" i="1" s="1"/>
  <c r="R296" i="1"/>
  <c r="T296" i="1" s="1"/>
  <c r="V296" i="1" s="1"/>
  <c r="W296" i="1" s="1"/>
  <c r="R297" i="1"/>
  <c r="T297" i="1" s="1"/>
  <c r="R298" i="1"/>
  <c r="T298" i="1" s="1"/>
  <c r="R299" i="1"/>
  <c r="T299" i="1" s="1"/>
  <c r="R300" i="1"/>
  <c r="T300" i="1" s="1"/>
  <c r="V300" i="1" s="1"/>
  <c r="W300" i="1" s="1"/>
  <c r="R301" i="1"/>
  <c r="T301" i="1" s="1"/>
  <c r="R302" i="1"/>
  <c r="T302" i="1" s="1"/>
  <c r="R303" i="1"/>
  <c r="T303" i="1" s="1"/>
  <c r="R304" i="1"/>
  <c r="T304" i="1" s="1"/>
  <c r="V304" i="1" s="1"/>
  <c r="W304" i="1" s="1"/>
  <c r="R305" i="1"/>
  <c r="T305" i="1" s="1"/>
  <c r="R306" i="1"/>
  <c r="T306" i="1" s="1"/>
  <c r="R307" i="1"/>
  <c r="T307" i="1" s="1"/>
  <c r="R308" i="1"/>
  <c r="T308" i="1" s="1"/>
  <c r="V308" i="1" s="1"/>
  <c r="W308" i="1" s="1"/>
  <c r="R309" i="1"/>
  <c r="T309" i="1" s="1"/>
  <c r="R310" i="1"/>
  <c r="T310" i="1" s="1"/>
  <c r="R311" i="1"/>
  <c r="T311" i="1" s="1"/>
  <c r="R312" i="1"/>
  <c r="T312" i="1" s="1"/>
  <c r="V312" i="1" s="1"/>
  <c r="W312" i="1" s="1"/>
  <c r="R313" i="1"/>
  <c r="T313" i="1" s="1"/>
  <c r="R314" i="1"/>
  <c r="T314" i="1" s="1"/>
  <c r="R315" i="1"/>
  <c r="T315" i="1" s="1"/>
  <c r="R316" i="1"/>
  <c r="T316" i="1" s="1"/>
  <c r="V316" i="1" s="1"/>
  <c r="W316" i="1" s="1"/>
  <c r="R317" i="1"/>
  <c r="T317" i="1" s="1"/>
  <c r="R318" i="1"/>
  <c r="T318" i="1" s="1"/>
  <c r="R319" i="1"/>
  <c r="T319" i="1" s="1"/>
  <c r="R320" i="1"/>
  <c r="T320" i="1" s="1"/>
  <c r="V320" i="1" s="1"/>
  <c r="W320" i="1" s="1"/>
  <c r="R321" i="1"/>
  <c r="T321" i="1" s="1"/>
  <c r="R322" i="1"/>
  <c r="T322" i="1" s="1"/>
  <c r="R323" i="1"/>
  <c r="T323" i="1" s="1"/>
  <c r="R324" i="1"/>
  <c r="T324" i="1" s="1"/>
  <c r="V324" i="1" s="1"/>
  <c r="W324" i="1" s="1"/>
  <c r="R325" i="1"/>
  <c r="T325" i="1" s="1"/>
  <c r="R326" i="1"/>
  <c r="T326" i="1" s="1"/>
  <c r="R327" i="1"/>
  <c r="T327" i="1" s="1"/>
  <c r="R328" i="1"/>
  <c r="T328" i="1" s="1"/>
  <c r="V328" i="1" s="1"/>
  <c r="W328" i="1" s="1"/>
  <c r="R329" i="1"/>
  <c r="T329" i="1" s="1"/>
  <c r="R330" i="1"/>
  <c r="T330" i="1" s="1"/>
  <c r="R331" i="1"/>
  <c r="T331" i="1" s="1"/>
  <c r="R332" i="1"/>
  <c r="T332" i="1" s="1"/>
  <c r="V332" i="1" s="1"/>
  <c r="W332" i="1" s="1"/>
  <c r="R333" i="1"/>
  <c r="T333" i="1" s="1"/>
  <c r="R334" i="1"/>
  <c r="T334" i="1" s="1"/>
  <c r="R335" i="1"/>
  <c r="T335" i="1" s="1"/>
  <c r="R336" i="1"/>
  <c r="T336" i="1" s="1"/>
  <c r="V336" i="1" s="1"/>
  <c r="W336" i="1" s="1"/>
  <c r="R337" i="1"/>
  <c r="T337" i="1" s="1"/>
  <c r="V337" i="1" s="1"/>
  <c r="W337" i="1" s="1"/>
  <c r="R338" i="1"/>
  <c r="T338" i="1" s="1"/>
  <c r="R339" i="1"/>
  <c r="T339" i="1" s="1"/>
  <c r="V339" i="1" s="1"/>
  <c r="W339" i="1" s="1"/>
  <c r="R340" i="1"/>
  <c r="T340" i="1" s="1"/>
  <c r="V340" i="1" s="1"/>
  <c r="W340" i="1" s="1"/>
  <c r="R341" i="1"/>
  <c r="T341" i="1" s="1"/>
  <c r="V341" i="1" s="1"/>
  <c r="W341" i="1" s="1"/>
  <c r="R342" i="1"/>
  <c r="T342" i="1" s="1"/>
  <c r="R343" i="1"/>
  <c r="T343" i="1" s="1"/>
  <c r="V343" i="1" s="1"/>
  <c r="W343" i="1" s="1"/>
  <c r="R344" i="1"/>
  <c r="T344" i="1" s="1"/>
  <c r="V344" i="1" s="1"/>
  <c r="W344" i="1" s="1"/>
  <c r="R345" i="1"/>
  <c r="T345" i="1" s="1"/>
  <c r="V345" i="1" s="1"/>
  <c r="W345" i="1" s="1"/>
  <c r="R346" i="1"/>
  <c r="T346" i="1" s="1"/>
  <c r="R347" i="1"/>
  <c r="T347" i="1" s="1"/>
  <c r="V347" i="1" s="1"/>
  <c r="W347" i="1" s="1"/>
  <c r="R348" i="1"/>
  <c r="T348" i="1" s="1"/>
  <c r="V348" i="1" s="1"/>
  <c r="W348" i="1" s="1"/>
  <c r="R349" i="1"/>
  <c r="T349" i="1" s="1"/>
  <c r="V349" i="1" s="1"/>
  <c r="W349" i="1" s="1"/>
  <c r="R350" i="1"/>
  <c r="T350" i="1" s="1"/>
  <c r="R351" i="1"/>
  <c r="T351" i="1" s="1"/>
  <c r="V351" i="1" s="1"/>
  <c r="W351" i="1" s="1"/>
  <c r="R352" i="1"/>
  <c r="T352" i="1" s="1"/>
  <c r="V352" i="1" s="1"/>
  <c r="W352" i="1" s="1"/>
  <c r="R353" i="1"/>
  <c r="T353" i="1" s="1"/>
  <c r="V353" i="1" s="1"/>
  <c r="W353" i="1" s="1"/>
  <c r="R354" i="1"/>
  <c r="T354" i="1" s="1"/>
  <c r="R355" i="1"/>
  <c r="T355" i="1" s="1"/>
  <c r="V355" i="1" s="1"/>
  <c r="W355" i="1" s="1"/>
  <c r="R356" i="1"/>
  <c r="T356" i="1" s="1"/>
  <c r="V356" i="1" s="1"/>
  <c r="W356" i="1" s="1"/>
  <c r="R357" i="1"/>
  <c r="T357" i="1" s="1"/>
  <c r="V357" i="1" s="1"/>
  <c r="W357" i="1" s="1"/>
  <c r="R358" i="1"/>
  <c r="T358" i="1" s="1"/>
  <c r="R359" i="1"/>
  <c r="T359" i="1" s="1"/>
  <c r="V359" i="1" s="1"/>
  <c r="W359" i="1" s="1"/>
  <c r="R360" i="1"/>
  <c r="T360" i="1" s="1"/>
  <c r="V360" i="1" s="1"/>
  <c r="W360" i="1" s="1"/>
  <c r="R361" i="1"/>
  <c r="T361" i="1" s="1"/>
  <c r="V361" i="1" s="1"/>
  <c r="W361" i="1" s="1"/>
  <c r="R362" i="1"/>
  <c r="T362" i="1" s="1"/>
  <c r="R363" i="1"/>
  <c r="T363" i="1" s="1"/>
  <c r="V363" i="1" s="1"/>
  <c r="W363" i="1" s="1"/>
  <c r="R364" i="1"/>
  <c r="T364" i="1" s="1"/>
  <c r="V364" i="1" s="1"/>
  <c r="W364" i="1" s="1"/>
  <c r="R365" i="1"/>
  <c r="T365" i="1" s="1"/>
  <c r="V365" i="1" s="1"/>
  <c r="W365" i="1" s="1"/>
  <c r="R366" i="1"/>
  <c r="T366" i="1" s="1"/>
  <c r="R367" i="1"/>
  <c r="T367" i="1" s="1"/>
  <c r="V367" i="1" s="1"/>
  <c r="W367" i="1" s="1"/>
  <c r="R368" i="1"/>
  <c r="T368" i="1" s="1"/>
  <c r="V368" i="1" s="1"/>
  <c r="W368" i="1" s="1"/>
  <c r="R369" i="1"/>
  <c r="T369" i="1" s="1"/>
  <c r="V369" i="1" s="1"/>
  <c r="W369" i="1" s="1"/>
  <c r="R370" i="1"/>
  <c r="T370" i="1" s="1"/>
  <c r="R371" i="1"/>
  <c r="T371" i="1" s="1"/>
  <c r="V371" i="1" s="1"/>
  <c r="W371" i="1" s="1"/>
  <c r="R372" i="1"/>
  <c r="T372" i="1" s="1"/>
  <c r="V372" i="1" s="1"/>
  <c r="W372" i="1" s="1"/>
  <c r="R373" i="1"/>
  <c r="T373" i="1" s="1"/>
  <c r="V373" i="1" s="1"/>
  <c r="W373" i="1" s="1"/>
  <c r="R374" i="1"/>
  <c r="T374" i="1" s="1"/>
  <c r="R375" i="1"/>
  <c r="T375" i="1" s="1"/>
  <c r="V375" i="1" s="1"/>
  <c r="W375" i="1" s="1"/>
  <c r="R376" i="1"/>
  <c r="T376" i="1" s="1"/>
  <c r="V376" i="1" s="1"/>
  <c r="W376" i="1" s="1"/>
  <c r="R377" i="1"/>
  <c r="T377" i="1" s="1"/>
  <c r="V377" i="1" s="1"/>
  <c r="W377" i="1" s="1"/>
  <c r="R378" i="1"/>
  <c r="T378" i="1" s="1"/>
  <c r="R379" i="1"/>
  <c r="T379" i="1" s="1"/>
  <c r="V379" i="1" s="1"/>
  <c r="W379" i="1" s="1"/>
  <c r="R380" i="1"/>
  <c r="T380" i="1" s="1"/>
  <c r="V380" i="1" s="1"/>
  <c r="W380" i="1" s="1"/>
  <c r="R381" i="1"/>
  <c r="T381" i="1" s="1"/>
  <c r="V381" i="1" s="1"/>
  <c r="W381" i="1" s="1"/>
  <c r="R382" i="1"/>
  <c r="T382" i="1" s="1"/>
  <c r="R383" i="1"/>
  <c r="T383" i="1" s="1"/>
  <c r="V383" i="1" s="1"/>
  <c r="W383" i="1" s="1"/>
  <c r="R384" i="1"/>
  <c r="T384" i="1" s="1"/>
  <c r="V384" i="1" s="1"/>
  <c r="W384" i="1" s="1"/>
  <c r="R385" i="1"/>
  <c r="T385" i="1" s="1"/>
  <c r="V385" i="1" s="1"/>
  <c r="W385" i="1" s="1"/>
  <c r="R386" i="1"/>
  <c r="T386" i="1" s="1"/>
  <c r="R387" i="1"/>
  <c r="T387" i="1" s="1"/>
  <c r="V387" i="1" s="1"/>
  <c r="W387" i="1" s="1"/>
  <c r="R388" i="1"/>
  <c r="T388" i="1" s="1"/>
  <c r="V388" i="1" s="1"/>
  <c r="W388" i="1" s="1"/>
  <c r="R389" i="1"/>
  <c r="T389" i="1" s="1"/>
  <c r="V389" i="1" s="1"/>
  <c r="W389" i="1" s="1"/>
  <c r="R390" i="1"/>
  <c r="T390" i="1" s="1"/>
  <c r="R391" i="1"/>
  <c r="T391" i="1" s="1"/>
  <c r="V391" i="1" s="1"/>
  <c r="W391" i="1" s="1"/>
  <c r="R392" i="1"/>
  <c r="T392" i="1" s="1"/>
  <c r="V392" i="1" s="1"/>
  <c r="W392" i="1" s="1"/>
  <c r="R393" i="1"/>
  <c r="T393" i="1" s="1"/>
  <c r="V393" i="1" s="1"/>
  <c r="W393" i="1" s="1"/>
  <c r="R394" i="1"/>
  <c r="T394" i="1" s="1"/>
  <c r="R395" i="1"/>
  <c r="T395" i="1" s="1"/>
  <c r="V395" i="1" s="1"/>
  <c r="W395" i="1" s="1"/>
  <c r="R396" i="1"/>
  <c r="T396" i="1" s="1"/>
  <c r="V396" i="1" s="1"/>
  <c r="W396" i="1" s="1"/>
  <c r="R397" i="1"/>
  <c r="T397" i="1" s="1"/>
  <c r="V397" i="1" s="1"/>
  <c r="W397" i="1" s="1"/>
  <c r="R398" i="1"/>
  <c r="T398" i="1" s="1"/>
  <c r="R399" i="1"/>
  <c r="T399" i="1" s="1"/>
  <c r="V399" i="1" s="1"/>
  <c r="W399" i="1" s="1"/>
  <c r="R400" i="1"/>
  <c r="T400" i="1" s="1"/>
  <c r="V400" i="1" s="1"/>
  <c r="W400" i="1" s="1"/>
  <c r="R401" i="1"/>
  <c r="T401" i="1" s="1"/>
  <c r="V401" i="1" s="1"/>
  <c r="W401" i="1" s="1"/>
  <c r="R402" i="1"/>
  <c r="T402" i="1" s="1"/>
  <c r="R403" i="1"/>
  <c r="T403" i="1" s="1"/>
  <c r="V403" i="1" s="1"/>
  <c r="W403" i="1" s="1"/>
  <c r="R404" i="1"/>
  <c r="T404" i="1" s="1"/>
  <c r="V404" i="1" s="1"/>
  <c r="W404" i="1" s="1"/>
  <c r="R405" i="1"/>
  <c r="T405" i="1" s="1"/>
  <c r="V405" i="1" s="1"/>
  <c r="W405" i="1" s="1"/>
  <c r="R406" i="1"/>
  <c r="T406" i="1" s="1"/>
  <c r="R407" i="1"/>
  <c r="T407" i="1" s="1"/>
  <c r="V407" i="1" s="1"/>
  <c r="W407" i="1" s="1"/>
  <c r="R408" i="1"/>
  <c r="T408" i="1" s="1"/>
  <c r="V408" i="1" s="1"/>
  <c r="W408" i="1" s="1"/>
  <c r="R409" i="1"/>
  <c r="T409" i="1" s="1"/>
  <c r="V409" i="1" s="1"/>
  <c r="W409" i="1" s="1"/>
  <c r="R410" i="1"/>
  <c r="T410" i="1" s="1"/>
  <c r="R411" i="1"/>
  <c r="T411" i="1" s="1"/>
  <c r="V411" i="1" s="1"/>
  <c r="W411" i="1" s="1"/>
  <c r="R412" i="1"/>
  <c r="T412" i="1" s="1"/>
  <c r="V412" i="1" s="1"/>
  <c r="W412" i="1" s="1"/>
  <c r="R413" i="1"/>
  <c r="T413" i="1" s="1"/>
  <c r="V413" i="1" s="1"/>
  <c r="W413" i="1" s="1"/>
  <c r="R414" i="1"/>
  <c r="T414" i="1" s="1"/>
  <c r="R415" i="1"/>
  <c r="T415" i="1" s="1"/>
  <c r="V415" i="1" s="1"/>
  <c r="W415" i="1" s="1"/>
  <c r="R416" i="1"/>
  <c r="T416" i="1" s="1"/>
  <c r="V416" i="1" s="1"/>
  <c r="W416" i="1" s="1"/>
  <c r="R417" i="1"/>
  <c r="T417" i="1" s="1"/>
  <c r="V417" i="1" s="1"/>
  <c r="W417" i="1" s="1"/>
  <c r="R418" i="1"/>
  <c r="T418" i="1" s="1"/>
  <c r="R419" i="1"/>
  <c r="T419" i="1" s="1"/>
  <c r="V419" i="1" s="1"/>
  <c r="W419" i="1" s="1"/>
  <c r="R420" i="1"/>
  <c r="T420" i="1" s="1"/>
  <c r="V420" i="1" s="1"/>
  <c r="W420" i="1" s="1"/>
  <c r="R421" i="1"/>
  <c r="T421" i="1" s="1"/>
  <c r="V421" i="1" s="1"/>
  <c r="W421" i="1" s="1"/>
  <c r="R422" i="1"/>
  <c r="T422" i="1" s="1"/>
  <c r="R423" i="1"/>
  <c r="T423" i="1" s="1"/>
  <c r="V423" i="1" s="1"/>
  <c r="W423" i="1" s="1"/>
  <c r="R424" i="1"/>
  <c r="T424" i="1" s="1"/>
  <c r="V424" i="1" s="1"/>
  <c r="W424" i="1" s="1"/>
  <c r="R425" i="1"/>
  <c r="T425" i="1" s="1"/>
  <c r="V425" i="1" s="1"/>
  <c r="W425" i="1" s="1"/>
  <c r="R426" i="1"/>
  <c r="T426" i="1" s="1"/>
  <c r="R427" i="1"/>
  <c r="T427" i="1" s="1"/>
  <c r="V427" i="1" s="1"/>
  <c r="W427" i="1" s="1"/>
  <c r="R428" i="1"/>
  <c r="T428" i="1" s="1"/>
  <c r="V428" i="1" s="1"/>
  <c r="W428" i="1" s="1"/>
  <c r="R429" i="1"/>
  <c r="T429" i="1" s="1"/>
  <c r="V429" i="1" s="1"/>
  <c r="W429" i="1" s="1"/>
  <c r="R430" i="1"/>
  <c r="T430" i="1" s="1"/>
  <c r="R431" i="1"/>
  <c r="T431" i="1" s="1"/>
  <c r="V431" i="1" s="1"/>
  <c r="W431" i="1" s="1"/>
  <c r="R432" i="1"/>
  <c r="T432" i="1" s="1"/>
  <c r="V432" i="1" s="1"/>
  <c r="W432" i="1" s="1"/>
  <c r="R433" i="1"/>
  <c r="T433" i="1" s="1"/>
  <c r="V433" i="1" s="1"/>
  <c r="W433" i="1" s="1"/>
  <c r="R434" i="1"/>
  <c r="T434" i="1" s="1"/>
  <c r="R435" i="1"/>
  <c r="T435" i="1" s="1"/>
  <c r="V435" i="1" s="1"/>
  <c r="W435" i="1" s="1"/>
  <c r="R436" i="1"/>
  <c r="T436" i="1" s="1"/>
  <c r="V436" i="1" s="1"/>
  <c r="W436" i="1" s="1"/>
  <c r="R437" i="1"/>
  <c r="T437" i="1" s="1"/>
  <c r="V437" i="1" s="1"/>
  <c r="W437" i="1" s="1"/>
  <c r="R438" i="1"/>
  <c r="T438" i="1" s="1"/>
  <c r="R439" i="1"/>
  <c r="T439" i="1" s="1"/>
  <c r="V439" i="1" s="1"/>
  <c r="W439" i="1" s="1"/>
  <c r="R440" i="1"/>
  <c r="T440" i="1" s="1"/>
  <c r="V440" i="1" s="1"/>
  <c r="W440" i="1" s="1"/>
  <c r="R441" i="1"/>
  <c r="T441" i="1" s="1"/>
  <c r="V441" i="1" s="1"/>
  <c r="W441" i="1" s="1"/>
  <c r="R442" i="1"/>
  <c r="T442" i="1" s="1"/>
  <c r="R443" i="1"/>
  <c r="T443" i="1" s="1"/>
  <c r="V443" i="1" s="1"/>
  <c r="W443" i="1" s="1"/>
  <c r="R444" i="1"/>
  <c r="T444" i="1" s="1"/>
  <c r="V444" i="1" s="1"/>
  <c r="W444" i="1" s="1"/>
  <c r="R445" i="1"/>
  <c r="T445" i="1" s="1"/>
  <c r="V445" i="1" s="1"/>
  <c r="W445" i="1" s="1"/>
  <c r="R446" i="1"/>
  <c r="T446" i="1" s="1"/>
  <c r="R447" i="1"/>
  <c r="T447" i="1" s="1"/>
  <c r="V447" i="1" s="1"/>
  <c r="W447" i="1" s="1"/>
  <c r="R448" i="1"/>
  <c r="T448" i="1" s="1"/>
  <c r="V448" i="1" s="1"/>
  <c r="W448" i="1" s="1"/>
  <c r="R449" i="1"/>
  <c r="T449" i="1" s="1"/>
  <c r="V449" i="1" s="1"/>
  <c r="W449" i="1" s="1"/>
  <c r="R450" i="1"/>
  <c r="T450" i="1" s="1"/>
  <c r="R451" i="1"/>
  <c r="T451" i="1" s="1"/>
  <c r="V451" i="1" s="1"/>
  <c r="W451" i="1" s="1"/>
  <c r="R452" i="1"/>
  <c r="T452" i="1" s="1"/>
  <c r="V452" i="1" s="1"/>
  <c r="W452" i="1" s="1"/>
  <c r="R453" i="1"/>
  <c r="T453" i="1" s="1"/>
  <c r="V453" i="1" s="1"/>
  <c r="W453" i="1" s="1"/>
  <c r="R454" i="1"/>
  <c r="T454" i="1" s="1"/>
  <c r="R455" i="1"/>
  <c r="T455" i="1" s="1"/>
  <c r="V455" i="1" s="1"/>
  <c r="W455" i="1" s="1"/>
  <c r="R456" i="1"/>
  <c r="T456" i="1" s="1"/>
  <c r="V456" i="1" s="1"/>
  <c r="W456" i="1" s="1"/>
  <c r="R457" i="1"/>
  <c r="T457" i="1" s="1"/>
  <c r="V457" i="1" s="1"/>
  <c r="W457" i="1" s="1"/>
  <c r="R458" i="1"/>
  <c r="T458" i="1" s="1"/>
  <c r="R459" i="1"/>
  <c r="T459" i="1" s="1"/>
  <c r="V459" i="1" s="1"/>
  <c r="W459" i="1" s="1"/>
  <c r="R460" i="1"/>
  <c r="T460" i="1" s="1"/>
  <c r="V460" i="1" s="1"/>
  <c r="W460" i="1" s="1"/>
  <c r="R461" i="1"/>
  <c r="T461" i="1" s="1"/>
  <c r="V461" i="1" s="1"/>
  <c r="W461" i="1" s="1"/>
  <c r="R462" i="1"/>
  <c r="T462" i="1" s="1"/>
  <c r="R463" i="1"/>
  <c r="T463" i="1" s="1"/>
  <c r="V463" i="1" s="1"/>
  <c r="W463" i="1" s="1"/>
  <c r="R464" i="1"/>
  <c r="T464" i="1" s="1"/>
  <c r="V464" i="1" s="1"/>
  <c r="W464" i="1" s="1"/>
  <c r="R465" i="1"/>
  <c r="T465" i="1" s="1"/>
  <c r="V465" i="1" s="1"/>
  <c r="W465" i="1" s="1"/>
  <c r="R466" i="1"/>
  <c r="T466" i="1" s="1"/>
  <c r="R467" i="1"/>
  <c r="T467" i="1" s="1"/>
  <c r="V467" i="1" s="1"/>
  <c r="W467" i="1" s="1"/>
  <c r="R468" i="1"/>
  <c r="T468" i="1" s="1"/>
  <c r="V468" i="1" s="1"/>
  <c r="W468" i="1" s="1"/>
  <c r="R469" i="1"/>
  <c r="T469" i="1" s="1"/>
  <c r="V469" i="1" s="1"/>
  <c r="W469" i="1" s="1"/>
  <c r="R470" i="1"/>
  <c r="T470" i="1" s="1"/>
  <c r="R471" i="1"/>
  <c r="T471" i="1" s="1"/>
  <c r="V471" i="1" s="1"/>
  <c r="W471" i="1" s="1"/>
  <c r="R472" i="1"/>
  <c r="T472" i="1" s="1"/>
  <c r="V472" i="1" s="1"/>
  <c r="W472" i="1" s="1"/>
  <c r="R473" i="1"/>
  <c r="T473" i="1" s="1"/>
  <c r="V473" i="1" s="1"/>
  <c r="W473" i="1" s="1"/>
  <c r="R474" i="1"/>
  <c r="T474" i="1" s="1"/>
  <c r="R475" i="1"/>
  <c r="T475" i="1" s="1"/>
  <c r="V475" i="1" s="1"/>
  <c r="W475" i="1" s="1"/>
  <c r="R476" i="1"/>
  <c r="T476" i="1" s="1"/>
  <c r="V476" i="1" s="1"/>
  <c r="W476" i="1" s="1"/>
  <c r="R477" i="1"/>
  <c r="T477" i="1" s="1"/>
  <c r="V477" i="1" s="1"/>
  <c r="W477" i="1" s="1"/>
  <c r="R478" i="1"/>
  <c r="T478" i="1" s="1"/>
  <c r="R479" i="1"/>
  <c r="T479" i="1" s="1"/>
  <c r="V479" i="1" s="1"/>
  <c r="W479" i="1" s="1"/>
  <c r="R480" i="1"/>
  <c r="T480" i="1" s="1"/>
  <c r="V480" i="1" s="1"/>
  <c r="W480" i="1" s="1"/>
  <c r="R481" i="1"/>
  <c r="T481" i="1" s="1"/>
  <c r="V481" i="1" s="1"/>
  <c r="W481" i="1" s="1"/>
  <c r="R482" i="1"/>
  <c r="T482" i="1" s="1"/>
  <c r="R483" i="1"/>
  <c r="T483" i="1" s="1"/>
  <c r="V483" i="1" s="1"/>
  <c r="W483" i="1" s="1"/>
  <c r="R484" i="1"/>
  <c r="T484" i="1" s="1"/>
  <c r="V484" i="1" s="1"/>
  <c r="W484" i="1" s="1"/>
  <c r="R485" i="1"/>
  <c r="T485" i="1" s="1"/>
  <c r="V485" i="1" s="1"/>
  <c r="W485" i="1" s="1"/>
  <c r="R486" i="1"/>
  <c r="T486" i="1" s="1"/>
  <c r="R487" i="1"/>
  <c r="T487" i="1" s="1"/>
  <c r="V487" i="1" s="1"/>
  <c r="W487" i="1" s="1"/>
  <c r="R488" i="1"/>
  <c r="T488" i="1" s="1"/>
  <c r="V488" i="1" s="1"/>
  <c r="W488" i="1" s="1"/>
  <c r="R489" i="1"/>
  <c r="T489" i="1" s="1"/>
  <c r="V489" i="1" s="1"/>
  <c r="W489" i="1" s="1"/>
  <c r="R490" i="1"/>
  <c r="T490" i="1" s="1"/>
  <c r="R491" i="1"/>
  <c r="T491" i="1" s="1"/>
  <c r="V491" i="1" s="1"/>
  <c r="W491" i="1" s="1"/>
  <c r="R492" i="1"/>
  <c r="T492" i="1" s="1"/>
  <c r="V492" i="1" s="1"/>
  <c r="W492" i="1" s="1"/>
  <c r="R493" i="1"/>
  <c r="T493" i="1" s="1"/>
  <c r="V493" i="1" s="1"/>
  <c r="W493" i="1" s="1"/>
  <c r="R494" i="1"/>
  <c r="T494" i="1" s="1"/>
  <c r="R495" i="1"/>
  <c r="T495" i="1" s="1"/>
  <c r="V495" i="1" s="1"/>
  <c r="W495" i="1" s="1"/>
  <c r="R496" i="1"/>
  <c r="T496" i="1" s="1"/>
  <c r="V496" i="1" s="1"/>
  <c r="W496" i="1" s="1"/>
  <c r="R497" i="1"/>
  <c r="T497" i="1" s="1"/>
  <c r="V497" i="1" s="1"/>
  <c r="W497" i="1" s="1"/>
  <c r="R498" i="1"/>
  <c r="T498" i="1" s="1"/>
  <c r="R499" i="1"/>
  <c r="T499" i="1" s="1"/>
  <c r="V499" i="1" s="1"/>
  <c r="W499" i="1" s="1"/>
  <c r="R500" i="1"/>
  <c r="T500" i="1" s="1"/>
  <c r="V500" i="1" s="1"/>
  <c r="W500" i="1" s="1"/>
  <c r="R501" i="1"/>
  <c r="T501" i="1" s="1"/>
  <c r="V501" i="1" s="1"/>
  <c r="W501" i="1" s="1"/>
  <c r="R502" i="1"/>
  <c r="T502" i="1" s="1"/>
  <c r="R503" i="1"/>
  <c r="T503" i="1" s="1"/>
  <c r="V503" i="1" s="1"/>
  <c r="W503" i="1" s="1"/>
  <c r="R504" i="1"/>
  <c r="T504" i="1" s="1"/>
  <c r="V504" i="1" s="1"/>
  <c r="W504" i="1" s="1"/>
  <c r="R505" i="1"/>
  <c r="T505" i="1" s="1"/>
  <c r="V505" i="1" s="1"/>
  <c r="W505" i="1" s="1"/>
  <c r="R506" i="1"/>
  <c r="T506" i="1" s="1"/>
  <c r="R507" i="1"/>
  <c r="T507" i="1" s="1"/>
  <c r="V507" i="1" s="1"/>
  <c r="W507" i="1" s="1"/>
  <c r="R508" i="1"/>
  <c r="T508" i="1" s="1"/>
  <c r="V508" i="1" s="1"/>
  <c r="W508" i="1" s="1"/>
  <c r="R509" i="1"/>
  <c r="T509" i="1" s="1"/>
  <c r="V509" i="1" s="1"/>
  <c r="W509" i="1" s="1"/>
  <c r="R510" i="1"/>
  <c r="T510" i="1" s="1"/>
  <c r="R511" i="1"/>
  <c r="T511" i="1" s="1"/>
  <c r="V511" i="1" s="1"/>
  <c r="W511" i="1" s="1"/>
  <c r="R512" i="1"/>
  <c r="T512" i="1" s="1"/>
  <c r="V512" i="1" s="1"/>
  <c r="W512" i="1" s="1"/>
  <c r="R513" i="1"/>
  <c r="T513" i="1" s="1"/>
  <c r="V513" i="1" s="1"/>
  <c r="W513" i="1" s="1"/>
  <c r="R514" i="1"/>
  <c r="T514" i="1" s="1"/>
  <c r="R515" i="1"/>
  <c r="T515" i="1" s="1"/>
  <c r="V515" i="1" s="1"/>
  <c r="W515" i="1" s="1"/>
  <c r="R516" i="1"/>
  <c r="T516" i="1" s="1"/>
  <c r="V516" i="1" s="1"/>
  <c r="W516" i="1" s="1"/>
  <c r="R517" i="1"/>
  <c r="T517" i="1" s="1"/>
  <c r="V517" i="1" s="1"/>
  <c r="W517" i="1" s="1"/>
  <c r="R518" i="1"/>
  <c r="T518" i="1" s="1"/>
  <c r="R519" i="1"/>
  <c r="T519" i="1" s="1"/>
  <c r="V519" i="1" s="1"/>
  <c r="W519" i="1" s="1"/>
  <c r="R520" i="1"/>
  <c r="T520" i="1" s="1"/>
  <c r="V520" i="1" s="1"/>
  <c r="W520" i="1" s="1"/>
  <c r="R521" i="1"/>
  <c r="T521" i="1" s="1"/>
  <c r="V521" i="1" s="1"/>
  <c r="W521" i="1" s="1"/>
  <c r="R522" i="1"/>
  <c r="T522" i="1" s="1"/>
  <c r="R523" i="1"/>
  <c r="T523" i="1" s="1"/>
  <c r="V523" i="1" s="1"/>
  <c r="W523" i="1" s="1"/>
  <c r="R524" i="1"/>
  <c r="T524" i="1" s="1"/>
  <c r="V524" i="1" s="1"/>
  <c r="W524" i="1" s="1"/>
  <c r="R525" i="1"/>
  <c r="T525" i="1" s="1"/>
  <c r="V525" i="1" s="1"/>
  <c r="W525" i="1" s="1"/>
  <c r="R526" i="1"/>
  <c r="T526" i="1" s="1"/>
  <c r="R527" i="1"/>
  <c r="T527" i="1" s="1"/>
  <c r="V527" i="1" s="1"/>
  <c r="W527" i="1" s="1"/>
  <c r="R528" i="1"/>
  <c r="T528" i="1" s="1"/>
  <c r="V528" i="1" s="1"/>
  <c r="W528" i="1" s="1"/>
  <c r="R529" i="1"/>
  <c r="T529" i="1" s="1"/>
  <c r="V529" i="1" s="1"/>
  <c r="W529" i="1" s="1"/>
  <c r="R530" i="1"/>
  <c r="T530" i="1" s="1"/>
  <c r="R531" i="1"/>
  <c r="T531" i="1" s="1"/>
  <c r="V531" i="1" s="1"/>
  <c r="W531" i="1" s="1"/>
  <c r="R532" i="1"/>
  <c r="T532" i="1" s="1"/>
  <c r="V532" i="1" s="1"/>
  <c r="W532" i="1" s="1"/>
  <c r="R533" i="1"/>
  <c r="T533" i="1" s="1"/>
  <c r="V533" i="1" s="1"/>
  <c r="W533" i="1" s="1"/>
  <c r="R534" i="1"/>
  <c r="T534" i="1" s="1"/>
  <c r="R535" i="1"/>
  <c r="T535" i="1" s="1"/>
  <c r="V535" i="1" s="1"/>
  <c r="W535" i="1" s="1"/>
  <c r="R536" i="1"/>
  <c r="T536" i="1" s="1"/>
  <c r="V536" i="1" s="1"/>
  <c r="W536" i="1" s="1"/>
  <c r="R537" i="1"/>
  <c r="T537" i="1" s="1"/>
  <c r="V537" i="1" s="1"/>
  <c r="W537" i="1" s="1"/>
  <c r="R538" i="1"/>
  <c r="T538" i="1" s="1"/>
  <c r="R539" i="1"/>
  <c r="T539" i="1" s="1"/>
  <c r="V539" i="1" s="1"/>
  <c r="W539" i="1" s="1"/>
  <c r="R540" i="1"/>
  <c r="T540" i="1" s="1"/>
  <c r="V540" i="1" s="1"/>
  <c r="W540" i="1" s="1"/>
  <c r="R541" i="1"/>
  <c r="T541" i="1" s="1"/>
  <c r="V541" i="1" s="1"/>
  <c r="W541" i="1" s="1"/>
  <c r="R542" i="1"/>
  <c r="T542" i="1" s="1"/>
  <c r="R543" i="1"/>
  <c r="T543" i="1" s="1"/>
  <c r="V543" i="1" s="1"/>
  <c r="W543" i="1" s="1"/>
  <c r="R544" i="1"/>
  <c r="T544" i="1" s="1"/>
  <c r="V544" i="1" s="1"/>
  <c r="W544" i="1" s="1"/>
  <c r="R545" i="1"/>
  <c r="T545" i="1" s="1"/>
  <c r="V545" i="1" s="1"/>
  <c r="W545" i="1" s="1"/>
  <c r="R546" i="1"/>
  <c r="T546" i="1" s="1"/>
  <c r="R547" i="1"/>
  <c r="T547" i="1" s="1"/>
  <c r="V547" i="1" s="1"/>
  <c r="W547" i="1" s="1"/>
  <c r="R548" i="1"/>
  <c r="T548" i="1" s="1"/>
  <c r="V548" i="1" s="1"/>
  <c r="W548" i="1" s="1"/>
  <c r="R549" i="1"/>
  <c r="T549" i="1" s="1"/>
  <c r="V549" i="1" s="1"/>
  <c r="W549" i="1" s="1"/>
  <c r="R550" i="1"/>
  <c r="T550" i="1" s="1"/>
  <c r="R551" i="1"/>
  <c r="T551" i="1" s="1"/>
  <c r="V551" i="1" s="1"/>
  <c r="W551" i="1" s="1"/>
  <c r="R552" i="1"/>
  <c r="T552" i="1" s="1"/>
  <c r="V552" i="1" s="1"/>
  <c r="W552" i="1" s="1"/>
  <c r="R553" i="1"/>
  <c r="T553" i="1" s="1"/>
  <c r="V553" i="1" s="1"/>
  <c r="W553" i="1" s="1"/>
  <c r="R554" i="1"/>
  <c r="T554" i="1" s="1"/>
  <c r="R555" i="1"/>
  <c r="T555" i="1" s="1"/>
  <c r="V555" i="1" s="1"/>
  <c r="W555" i="1" s="1"/>
  <c r="R556" i="1"/>
  <c r="T556" i="1" s="1"/>
  <c r="V556" i="1" s="1"/>
  <c r="W556" i="1" s="1"/>
  <c r="R557" i="1"/>
  <c r="T557" i="1" s="1"/>
  <c r="V557" i="1" s="1"/>
  <c r="W557" i="1" s="1"/>
  <c r="R558" i="1"/>
  <c r="T558" i="1" s="1"/>
  <c r="R559" i="1"/>
  <c r="T559" i="1" s="1"/>
  <c r="V559" i="1" s="1"/>
  <c r="W559" i="1" s="1"/>
  <c r="R560" i="1"/>
  <c r="T560" i="1" s="1"/>
  <c r="V560" i="1" s="1"/>
  <c r="W560" i="1" s="1"/>
  <c r="R561" i="1"/>
  <c r="T561" i="1" s="1"/>
  <c r="V561" i="1" s="1"/>
  <c r="W561" i="1" s="1"/>
  <c r="R562" i="1"/>
  <c r="T562" i="1" s="1"/>
  <c r="R563" i="1"/>
  <c r="T563" i="1" s="1"/>
  <c r="V563" i="1" s="1"/>
  <c r="W563" i="1" s="1"/>
  <c r="R564" i="1"/>
  <c r="T564" i="1" s="1"/>
  <c r="V564" i="1" s="1"/>
  <c r="W564" i="1" s="1"/>
  <c r="R565" i="1"/>
  <c r="T565" i="1" s="1"/>
  <c r="V565" i="1" s="1"/>
  <c r="W565" i="1" s="1"/>
  <c r="R566" i="1"/>
  <c r="T566" i="1" s="1"/>
  <c r="R567" i="1"/>
  <c r="T567" i="1" s="1"/>
  <c r="V567" i="1" s="1"/>
  <c r="W567" i="1" s="1"/>
  <c r="R568" i="1"/>
  <c r="T568" i="1" s="1"/>
  <c r="V568" i="1" s="1"/>
  <c r="W568" i="1" s="1"/>
  <c r="R569" i="1"/>
  <c r="T569" i="1" s="1"/>
  <c r="V569" i="1" s="1"/>
  <c r="W569" i="1" s="1"/>
  <c r="R570" i="1"/>
  <c r="T570" i="1" s="1"/>
  <c r="R571" i="1"/>
  <c r="T571" i="1" s="1"/>
  <c r="V571" i="1" s="1"/>
  <c r="W571" i="1" s="1"/>
  <c r="R572" i="1"/>
  <c r="T572" i="1" s="1"/>
  <c r="V572" i="1" s="1"/>
  <c r="W572" i="1" s="1"/>
  <c r="R573" i="1"/>
  <c r="T573" i="1" s="1"/>
  <c r="V573" i="1" s="1"/>
  <c r="W573" i="1" s="1"/>
  <c r="R574" i="1"/>
  <c r="T574" i="1" s="1"/>
  <c r="R575" i="1"/>
  <c r="T575" i="1" s="1"/>
  <c r="V575" i="1" s="1"/>
  <c r="W575" i="1" s="1"/>
  <c r="R576" i="1"/>
  <c r="T576" i="1" s="1"/>
  <c r="V576" i="1" s="1"/>
  <c r="W576" i="1" s="1"/>
  <c r="R577" i="1"/>
  <c r="T577" i="1" s="1"/>
  <c r="V577" i="1" s="1"/>
  <c r="W577" i="1" s="1"/>
  <c r="R578" i="1"/>
  <c r="T578" i="1" s="1"/>
  <c r="R579" i="1"/>
  <c r="T579" i="1" s="1"/>
  <c r="V579" i="1" s="1"/>
  <c r="W579" i="1" s="1"/>
  <c r="R580" i="1"/>
  <c r="T580" i="1" s="1"/>
  <c r="V580" i="1" s="1"/>
  <c r="W580" i="1" s="1"/>
  <c r="R581" i="1"/>
  <c r="T581" i="1" s="1"/>
  <c r="V581" i="1" s="1"/>
  <c r="W581" i="1" s="1"/>
  <c r="R582" i="1"/>
  <c r="T582" i="1" s="1"/>
  <c r="R583" i="1"/>
  <c r="T583" i="1" s="1"/>
  <c r="V583" i="1" s="1"/>
  <c r="W583" i="1" s="1"/>
  <c r="R584" i="1"/>
  <c r="T584" i="1" s="1"/>
  <c r="V584" i="1" s="1"/>
  <c r="W584" i="1" s="1"/>
  <c r="R585" i="1"/>
  <c r="T585" i="1" s="1"/>
  <c r="V585" i="1" s="1"/>
  <c r="W585" i="1" s="1"/>
  <c r="R586" i="1"/>
  <c r="T586" i="1" s="1"/>
  <c r="R587" i="1"/>
  <c r="T587" i="1" s="1"/>
  <c r="V587" i="1" s="1"/>
  <c r="W587" i="1" s="1"/>
  <c r="R588" i="1"/>
  <c r="T588" i="1" s="1"/>
  <c r="V588" i="1" s="1"/>
  <c r="W588" i="1" s="1"/>
  <c r="R589" i="1"/>
  <c r="T589" i="1" s="1"/>
  <c r="V589" i="1" s="1"/>
  <c r="W589" i="1" s="1"/>
  <c r="R590" i="1"/>
  <c r="T590" i="1" s="1"/>
  <c r="R591" i="1"/>
  <c r="T591" i="1" s="1"/>
  <c r="V591" i="1" s="1"/>
  <c r="W591" i="1" s="1"/>
  <c r="R592" i="1"/>
  <c r="T592" i="1" s="1"/>
  <c r="V592" i="1" s="1"/>
  <c r="W592" i="1" s="1"/>
  <c r="R593" i="1"/>
  <c r="T593" i="1" s="1"/>
  <c r="V593" i="1" s="1"/>
  <c r="W593" i="1" s="1"/>
  <c r="R594" i="1"/>
  <c r="T594" i="1" s="1"/>
  <c r="R595" i="1"/>
  <c r="T595" i="1" s="1"/>
  <c r="V595" i="1" s="1"/>
  <c r="W595" i="1" s="1"/>
  <c r="R596" i="1"/>
  <c r="T596" i="1" s="1"/>
  <c r="V596" i="1" s="1"/>
  <c r="W596" i="1" s="1"/>
  <c r="R597" i="1"/>
  <c r="T597" i="1" s="1"/>
  <c r="V597" i="1" s="1"/>
  <c r="W597" i="1" s="1"/>
  <c r="R598" i="1"/>
  <c r="T598" i="1" s="1"/>
  <c r="R599" i="1"/>
  <c r="T599" i="1" s="1"/>
  <c r="V599" i="1" s="1"/>
  <c r="W599" i="1" s="1"/>
  <c r="R600" i="1"/>
  <c r="T600" i="1" s="1"/>
  <c r="V600" i="1" s="1"/>
  <c r="W600" i="1" s="1"/>
  <c r="R601" i="1"/>
  <c r="T601" i="1" s="1"/>
  <c r="V601" i="1" s="1"/>
  <c r="W601" i="1" s="1"/>
  <c r="R602" i="1"/>
  <c r="T602" i="1" s="1"/>
  <c r="R603" i="1"/>
  <c r="T603" i="1" s="1"/>
  <c r="V603" i="1" s="1"/>
  <c r="W603" i="1" s="1"/>
  <c r="R604" i="1"/>
  <c r="T604" i="1" s="1"/>
  <c r="V604" i="1" s="1"/>
  <c r="W604" i="1" s="1"/>
  <c r="R605" i="1"/>
  <c r="T605" i="1" s="1"/>
  <c r="V605" i="1" s="1"/>
  <c r="W605" i="1" s="1"/>
  <c r="R606" i="1"/>
  <c r="T606" i="1" s="1"/>
  <c r="R607" i="1"/>
  <c r="T607" i="1" s="1"/>
  <c r="V607" i="1" s="1"/>
  <c r="W607" i="1" s="1"/>
  <c r="R608" i="1"/>
  <c r="T608" i="1" s="1"/>
  <c r="V608" i="1" s="1"/>
  <c r="W608" i="1" s="1"/>
  <c r="R609" i="1"/>
  <c r="T609" i="1" s="1"/>
  <c r="V609" i="1" s="1"/>
  <c r="W609" i="1" s="1"/>
  <c r="R610" i="1"/>
  <c r="T610" i="1" s="1"/>
  <c r="R611" i="1"/>
  <c r="T611" i="1" s="1"/>
  <c r="V611" i="1" s="1"/>
  <c r="W611" i="1" s="1"/>
  <c r="R612" i="1"/>
  <c r="T612" i="1" s="1"/>
  <c r="V612" i="1" s="1"/>
  <c r="W612" i="1" s="1"/>
  <c r="R613" i="1"/>
  <c r="T613" i="1" s="1"/>
  <c r="V613" i="1" s="1"/>
  <c r="W613" i="1" s="1"/>
  <c r="R614" i="1"/>
  <c r="T614" i="1" s="1"/>
  <c r="R615" i="1"/>
  <c r="T615" i="1" s="1"/>
  <c r="V615" i="1" s="1"/>
  <c r="W615" i="1" s="1"/>
  <c r="R616" i="1"/>
  <c r="T616" i="1" s="1"/>
  <c r="V616" i="1" s="1"/>
  <c r="W616" i="1" s="1"/>
  <c r="R617" i="1"/>
  <c r="T617" i="1" s="1"/>
  <c r="V617" i="1" s="1"/>
  <c r="W617" i="1" s="1"/>
  <c r="R618" i="1"/>
  <c r="T618" i="1" s="1"/>
  <c r="R619" i="1"/>
  <c r="T619" i="1" s="1"/>
  <c r="V619" i="1" s="1"/>
  <c r="W619" i="1" s="1"/>
  <c r="R620" i="1"/>
  <c r="T620" i="1" s="1"/>
  <c r="V620" i="1" s="1"/>
  <c r="W620" i="1" s="1"/>
  <c r="R621" i="1"/>
  <c r="T621" i="1" s="1"/>
  <c r="V621" i="1" s="1"/>
  <c r="W621" i="1" s="1"/>
  <c r="R622" i="1"/>
  <c r="T622" i="1" s="1"/>
  <c r="R623" i="1"/>
  <c r="T623" i="1" s="1"/>
  <c r="V623" i="1" s="1"/>
  <c r="W623" i="1" s="1"/>
  <c r="R624" i="1"/>
  <c r="T624" i="1" s="1"/>
  <c r="V624" i="1" s="1"/>
  <c r="W624" i="1" s="1"/>
  <c r="R625" i="1"/>
  <c r="T625" i="1" s="1"/>
  <c r="V625" i="1" s="1"/>
  <c r="W625" i="1" s="1"/>
  <c r="R626" i="1"/>
  <c r="T626" i="1" s="1"/>
  <c r="R627" i="1"/>
  <c r="T627" i="1" s="1"/>
  <c r="V627" i="1" s="1"/>
  <c r="W627" i="1" s="1"/>
  <c r="R628" i="1"/>
  <c r="T628" i="1" s="1"/>
  <c r="V628" i="1" s="1"/>
  <c r="W628" i="1" s="1"/>
  <c r="R629" i="1"/>
  <c r="T629" i="1" s="1"/>
  <c r="V629" i="1" s="1"/>
  <c r="W629" i="1" s="1"/>
  <c r="R630" i="1"/>
  <c r="T630" i="1" s="1"/>
  <c r="R631" i="1"/>
  <c r="T631" i="1" s="1"/>
  <c r="V631" i="1" s="1"/>
  <c r="W631" i="1" s="1"/>
  <c r="R632" i="1"/>
  <c r="T632" i="1" s="1"/>
  <c r="V632" i="1" s="1"/>
  <c r="W632" i="1" s="1"/>
  <c r="R633" i="1"/>
  <c r="T633" i="1" s="1"/>
  <c r="V633" i="1" s="1"/>
  <c r="W633" i="1" s="1"/>
  <c r="V630" i="1" l="1"/>
  <c r="W630" i="1" s="1"/>
  <c r="V626" i="1"/>
  <c r="W626" i="1" s="1"/>
  <c r="V622" i="1"/>
  <c r="W622" i="1" s="1"/>
  <c r="V618" i="1"/>
  <c r="W618" i="1" s="1"/>
  <c r="V614" i="1"/>
  <c r="W614" i="1" s="1"/>
  <c r="V610" i="1"/>
  <c r="W610" i="1" s="1"/>
  <c r="V606" i="1"/>
  <c r="W606" i="1" s="1"/>
  <c r="V602" i="1"/>
  <c r="W602" i="1" s="1"/>
  <c r="V598" i="1"/>
  <c r="W598" i="1" s="1"/>
  <c r="V594" i="1"/>
  <c r="W594" i="1" s="1"/>
  <c r="V590" i="1"/>
  <c r="W590" i="1" s="1"/>
  <c r="V586" i="1"/>
  <c r="W586" i="1" s="1"/>
  <c r="V582" i="1"/>
  <c r="W582" i="1" s="1"/>
  <c r="V578" i="1"/>
  <c r="W578" i="1" s="1"/>
  <c r="V574" i="1"/>
  <c r="W574" i="1" s="1"/>
  <c r="V570" i="1"/>
  <c r="W570" i="1" s="1"/>
  <c r="V566" i="1"/>
  <c r="W566" i="1" s="1"/>
  <c r="V562" i="1"/>
  <c r="W562" i="1" s="1"/>
  <c r="V558" i="1"/>
  <c r="W558" i="1" s="1"/>
  <c r="V554" i="1"/>
  <c r="W554" i="1" s="1"/>
  <c r="V550" i="1"/>
  <c r="W550" i="1" s="1"/>
  <c r="V546" i="1"/>
  <c r="W546" i="1" s="1"/>
  <c r="V542" i="1"/>
  <c r="W542" i="1" s="1"/>
  <c r="V538" i="1"/>
  <c r="W538" i="1" s="1"/>
  <c r="V534" i="1"/>
  <c r="W534" i="1" s="1"/>
  <c r="V530" i="1"/>
  <c r="W530" i="1" s="1"/>
  <c r="V526" i="1"/>
  <c r="W526" i="1" s="1"/>
  <c r="V522" i="1"/>
  <c r="W522" i="1" s="1"/>
  <c r="V518" i="1"/>
  <c r="W518" i="1" s="1"/>
  <c r="V514" i="1"/>
  <c r="W514" i="1" s="1"/>
  <c r="V510" i="1"/>
  <c r="W510" i="1" s="1"/>
  <c r="V506" i="1"/>
  <c r="W506" i="1" s="1"/>
  <c r="V502" i="1"/>
  <c r="W502" i="1" s="1"/>
  <c r="V498" i="1"/>
  <c r="W498" i="1" s="1"/>
  <c r="V494" i="1"/>
  <c r="W494" i="1" s="1"/>
  <c r="V490" i="1"/>
  <c r="W490" i="1" s="1"/>
  <c r="V486" i="1"/>
  <c r="W486" i="1" s="1"/>
  <c r="V482" i="1"/>
  <c r="W482" i="1" s="1"/>
  <c r="V478" i="1"/>
  <c r="W478" i="1" s="1"/>
  <c r="V474" i="1"/>
  <c r="W474" i="1" s="1"/>
  <c r="V470" i="1"/>
  <c r="W470" i="1" s="1"/>
  <c r="V466" i="1"/>
  <c r="W466" i="1" s="1"/>
  <c r="V462" i="1"/>
  <c r="W462" i="1" s="1"/>
  <c r="V458" i="1"/>
  <c r="W458" i="1" s="1"/>
  <c r="V454" i="1"/>
  <c r="W454" i="1" s="1"/>
  <c r="V450" i="1"/>
  <c r="W450" i="1" s="1"/>
  <c r="V446" i="1"/>
  <c r="W446" i="1" s="1"/>
  <c r="V442" i="1"/>
  <c r="W442" i="1" s="1"/>
  <c r="V438" i="1"/>
  <c r="W438" i="1" s="1"/>
  <c r="V434" i="1"/>
  <c r="W434" i="1" s="1"/>
  <c r="V430" i="1"/>
  <c r="W430" i="1" s="1"/>
  <c r="V426" i="1"/>
  <c r="W426" i="1" s="1"/>
  <c r="V422" i="1"/>
  <c r="W422" i="1" s="1"/>
  <c r="V418" i="1"/>
  <c r="W418" i="1" s="1"/>
  <c r="V414" i="1"/>
  <c r="W414" i="1" s="1"/>
  <c r="V410" i="1"/>
  <c r="W410" i="1" s="1"/>
  <c r="V406" i="1"/>
  <c r="W406" i="1" s="1"/>
  <c r="V402" i="1"/>
  <c r="W402" i="1" s="1"/>
  <c r="V398" i="1"/>
  <c r="W398" i="1" s="1"/>
  <c r="V394" i="1"/>
  <c r="W394" i="1" s="1"/>
  <c r="V390" i="1"/>
  <c r="W390" i="1" s="1"/>
  <c r="V386" i="1"/>
  <c r="W386" i="1" s="1"/>
  <c r="V382" i="1"/>
  <c r="W382" i="1" s="1"/>
  <c r="V378" i="1"/>
  <c r="W378" i="1" s="1"/>
  <c r="V374" i="1"/>
  <c r="W374" i="1" s="1"/>
  <c r="V370" i="1"/>
  <c r="W370" i="1" s="1"/>
  <c r="V366" i="1"/>
  <c r="W366" i="1" s="1"/>
  <c r="V362" i="1"/>
  <c r="W362" i="1" s="1"/>
  <c r="V358" i="1"/>
  <c r="W358" i="1" s="1"/>
  <c r="V354" i="1"/>
  <c r="W354" i="1" s="1"/>
  <c r="V350" i="1"/>
  <c r="W350" i="1" s="1"/>
  <c r="V346" i="1"/>
  <c r="W346" i="1" s="1"/>
  <c r="V342" i="1"/>
  <c r="W342" i="1" s="1"/>
  <c r="V338" i="1"/>
  <c r="W338" i="1" s="1"/>
  <c r="V334" i="1"/>
  <c r="W334" i="1" s="1"/>
  <c r="V330" i="1"/>
  <c r="W330" i="1" s="1"/>
  <c r="V326" i="1"/>
  <c r="W326" i="1" s="1"/>
  <c r="V322" i="1"/>
  <c r="W322" i="1" s="1"/>
  <c r="V318" i="1"/>
  <c r="W318" i="1" s="1"/>
  <c r="V314" i="1"/>
  <c r="W314" i="1" s="1"/>
  <c r="V310" i="1"/>
  <c r="W310" i="1" s="1"/>
  <c r="V306" i="1"/>
  <c r="W306" i="1" s="1"/>
  <c r="V302" i="1"/>
  <c r="W302" i="1" s="1"/>
  <c r="V298" i="1"/>
  <c r="W298" i="1" s="1"/>
  <c r="V294" i="1"/>
  <c r="W294" i="1" s="1"/>
  <c r="V290" i="1"/>
  <c r="W290" i="1" s="1"/>
  <c r="V286" i="1"/>
  <c r="W286" i="1" s="1"/>
  <c r="V282" i="1"/>
  <c r="W282" i="1" s="1"/>
  <c r="V278" i="1"/>
  <c r="W278" i="1" s="1"/>
  <c r="V274" i="1"/>
  <c r="W274" i="1" s="1"/>
  <c r="V270" i="1"/>
  <c r="W270" i="1" s="1"/>
  <c r="V266" i="1"/>
  <c r="W266" i="1" s="1"/>
  <c r="V262" i="1"/>
  <c r="W262" i="1" s="1"/>
  <c r="V258" i="1"/>
  <c r="W258" i="1" s="1"/>
  <c r="V254" i="1"/>
  <c r="W254" i="1" s="1"/>
  <c r="V250" i="1"/>
  <c r="W250" i="1" s="1"/>
  <c r="V246" i="1"/>
  <c r="W246" i="1" s="1"/>
  <c r="V242" i="1"/>
  <c r="W242" i="1" s="1"/>
  <c r="V238" i="1"/>
  <c r="W238" i="1" s="1"/>
  <c r="V234" i="1"/>
  <c r="W234" i="1" s="1"/>
  <c r="V230" i="1"/>
  <c r="W230" i="1" s="1"/>
  <c r="V226" i="1"/>
  <c r="W226" i="1" s="1"/>
  <c r="V222" i="1"/>
  <c r="W222" i="1" s="1"/>
  <c r="V218" i="1"/>
  <c r="W218" i="1" s="1"/>
  <c r="V214" i="1"/>
  <c r="W214" i="1" s="1"/>
  <c r="V210" i="1"/>
  <c r="W210" i="1" s="1"/>
  <c r="V206" i="1"/>
  <c r="W206" i="1" s="1"/>
  <c r="V202" i="1"/>
  <c r="W202" i="1" s="1"/>
  <c r="V198" i="1"/>
  <c r="W198" i="1" s="1"/>
  <c r="V194" i="1"/>
  <c r="W194" i="1" s="1"/>
  <c r="V190" i="1"/>
  <c r="W190" i="1" s="1"/>
  <c r="V186" i="1"/>
  <c r="W186" i="1" s="1"/>
  <c r="V182" i="1"/>
  <c r="W182" i="1" s="1"/>
  <c r="V178" i="1"/>
  <c r="W178" i="1" s="1"/>
  <c r="V174" i="1"/>
  <c r="W174" i="1" s="1"/>
  <c r="V170" i="1"/>
  <c r="W170" i="1" s="1"/>
  <c r="V166" i="1"/>
  <c r="W166" i="1" s="1"/>
  <c r="V162" i="1"/>
  <c r="W162" i="1" s="1"/>
  <c r="V158" i="1"/>
  <c r="W158" i="1" s="1"/>
  <c r="V154" i="1"/>
  <c r="W154" i="1" s="1"/>
  <c r="V150" i="1"/>
  <c r="W150" i="1" s="1"/>
  <c r="V146" i="1"/>
  <c r="W146" i="1" s="1"/>
  <c r="V142" i="1"/>
  <c r="W142" i="1" s="1"/>
  <c r="V138" i="1"/>
  <c r="W138" i="1" s="1"/>
  <c r="V134" i="1"/>
  <c r="W134" i="1" s="1"/>
  <c r="V130" i="1"/>
  <c r="W130" i="1" s="1"/>
  <c r="V126" i="1"/>
  <c r="W126" i="1" s="1"/>
  <c r="V122" i="1"/>
  <c r="W122" i="1" s="1"/>
  <c r="V118" i="1"/>
  <c r="W118" i="1" s="1"/>
  <c r="V114" i="1"/>
  <c r="W114" i="1" s="1"/>
  <c r="V110" i="1"/>
  <c r="W110" i="1" s="1"/>
  <c r="V106" i="1"/>
  <c r="W106" i="1" s="1"/>
  <c r="V102" i="1"/>
  <c r="W102" i="1" s="1"/>
  <c r="V98" i="1"/>
  <c r="W98" i="1" s="1"/>
  <c r="V94" i="1"/>
  <c r="W94" i="1" s="1"/>
  <c r="V90" i="1"/>
  <c r="W90" i="1" s="1"/>
  <c r="V86" i="1"/>
  <c r="W86" i="1" s="1"/>
  <c r="V82" i="1"/>
  <c r="W82" i="1" s="1"/>
  <c r="V78" i="1"/>
  <c r="W78" i="1" s="1"/>
  <c r="V74" i="1"/>
  <c r="W74" i="1" s="1"/>
  <c r="V70" i="1"/>
  <c r="W70" i="1" s="1"/>
  <c r="V66" i="1"/>
  <c r="W66" i="1" s="1"/>
  <c r="V62" i="1"/>
  <c r="W62" i="1" s="1"/>
  <c r="V58" i="1"/>
  <c r="W58" i="1" s="1"/>
  <c r="V54" i="1"/>
  <c r="W54" i="1" s="1"/>
  <c r="V50" i="1"/>
  <c r="W50" i="1" s="1"/>
  <c r="V46" i="1"/>
  <c r="W46" i="1" s="1"/>
  <c r="V42" i="1"/>
  <c r="W42" i="1" s="1"/>
  <c r="V38" i="1"/>
  <c r="W38" i="1" s="1"/>
  <c r="V34" i="1"/>
  <c r="W34" i="1" s="1"/>
  <c r="V30" i="1"/>
  <c r="W30" i="1" s="1"/>
  <c r="V26" i="1"/>
  <c r="W26" i="1" s="1"/>
  <c r="V22" i="1"/>
  <c r="W22" i="1" s="1"/>
  <c r="V18" i="1"/>
  <c r="W18" i="1" s="1"/>
  <c r="V14" i="1"/>
  <c r="W14" i="1" s="1"/>
  <c r="V10" i="1"/>
  <c r="W10" i="1" s="1"/>
  <c r="V6" i="1"/>
  <c r="W6" i="1" s="1"/>
  <c r="V2" i="1"/>
  <c r="W2" i="1" s="1"/>
  <c r="V335" i="1"/>
  <c r="W335" i="1" s="1"/>
  <c r="V331" i="1"/>
  <c r="W331" i="1" s="1"/>
  <c r="V327" i="1"/>
  <c r="W327" i="1" s="1"/>
  <c r="V323" i="1"/>
  <c r="W323" i="1" s="1"/>
  <c r="V319" i="1"/>
  <c r="W319" i="1" s="1"/>
  <c r="V315" i="1"/>
  <c r="W315" i="1" s="1"/>
  <c r="V311" i="1"/>
  <c r="W311" i="1" s="1"/>
  <c r="V307" i="1"/>
  <c r="W307" i="1" s="1"/>
  <c r="V303" i="1"/>
  <c r="W303" i="1" s="1"/>
  <c r="V299" i="1"/>
  <c r="W299" i="1" s="1"/>
  <c r="V295" i="1"/>
  <c r="W295" i="1" s="1"/>
  <c r="V291" i="1"/>
  <c r="W291" i="1" s="1"/>
  <c r="V287" i="1"/>
  <c r="W287" i="1" s="1"/>
  <c r="V283" i="1"/>
  <c r="W283" i="1" s="1"/>
  <c r="V279" i="1"/>
  <c r="W279" i="1" s="1"/>
  <c r="V275" i="1"/>
  <c r="W275" i="1" s="1"/>
  <c r="V271" i="1"/>
  <c r="W271" i="1" s="1"/>
  <c r="V267" i="1"/>
  <c r="W267" i="1" s="1"/>
  <c r="V263" i="1"/>
  <c r="W263" i="1" s="1"/>
  <c r="V259" i="1"/>
  <c r="W259" i="1" s="1"/>
  <c r="V255" i="1"/>
  <c r="W255" i="1" s="1"/>
  <c r="V251" i="1"/>
  <c r="W251" i="1" s="1"/>
  <c r="V247" i="1"/>
  <c r="W247" i="1" s="1"/>
  <c r="V243" i="1"/>
  <c r="W243" i="1" s="1"/>
  <c r="V239" i="1"/>
  <c r="W239" i="1" s="1"/>
  <c r="V235" i="1"/>
  <c r="W235" i="1" s="1"/>
  <c r="V231" i="1"/>
  <c r="W231" i="1" s="1"/>
  <c r="V227" i="1"/>
  <c r="W227" i="1" s="1"/>
  <c r="V223" i="1"/>
  <c r="W223" i="1" s="1"/>
  <c r="V219" i="1"/>
  <c r="W219" i="1" s="1"/>
  <c r="V215" i="1"/>
  <c r="W215" i="1" s="1"/>
  <c r="V211" i="1"/>
  <c r="W211" i="1" s="1"/>
  <c r="V207" i="1"/>
  <c r="W207" i="1" s="1"/>
  <c r="V203" i="1"/>
  <c r="W203" i="1" s="1"/>
  <c r="V199" i="1"/>
  <c r="W199" i="1" s="1"/>
  <c r="V195" i="1"/>
  <c r="W195" i="1" s="1"/>
  <c r="V191" i="1"/>
  <c r="W191" i="1" s="1"/>
  <c r="V187" i="1"/>
  <c r="W187" i="1" s="1"/>
  <c r="V183" i="1"/>
  <c r="W183" i="1" s="1"/>
  <c r="V179" i="1"/>
  <c r="W179" i="1" s="1"/>
  <c r="V175" i="1"/>
  <c r="W175" i="1" s="1"/>
  <c r="V171" i="1"/>
  <c r="W171" i="1" s="1"/>
  <c r="V167" i="1"/>
  <c r="W167" i="1" s="1"/>
  <c r="V163" i="1"/>
  <c r="W163" i="1" s="1"/>
  <c r="V159" i="1"/>
  <c r="W159" i="1" s="1"/>
  <c r="V155" i="1"/>
  <c r="W155" i="1" s="1"/>
  <c r="V151" i="1"/>
  <c r="W151" i="1" s="1"/>
  <c r="V147" i="1"/>
  <c r="W147" i="1" s="1"/>
  <c r="V143" i="1"/>
  <c r="W143" i="1" s="1"/>
  <c r="V139" i="1"/>
  <c r="W139" i="1" s="1"/>
  <c r="V135" i="1"/>
  <c r="W135" i="1" s="1"/>
  <c r="V131" i="1"/>
  <c r="W131" i="1" s="1"/>
  <c r="V127" i="1"/>
  <c r="W127" i="1" s="1"/>
  <c r="V123" i="1"/>
  <c r="W123" i="1" s="1"/>
  <c r="V119" i="1"/>
  <c r="W119" i="1" s="1"/>
  <c r="V115" i="1"/>
  <c r="W115" i="1" s="1"/>
  <c r="V111" i="1"/>
  <c r="W111" i="1" s="1"/>
  <c r="V107" i="1"/>
  <c r="W107" i="1" s="1"/>
  <c r="V103" i="1"/>
  <c r="W103" i="1" s="1"/>
  <c r="V99" i="1"/>
  <c r="W99" i="1" s="1"/>
  <c r="V95" i="1"/>
  <c r="W95" i="1" s="1"/>
  <c r="V91" i="1"/>
  <c r="W91" i="1" s="1"/>
  <c r="V87" i="1"/>
  <c r="W87" i="1" s="1"/>
  <c r="V83" i="1"/>
  <c r="W83" i="1" s="1"/>
  <c r="V79" i="1"/>
  <c r="W79" i="1" s="1"/>
  <c r="V75" i="1"/>
  <c r="W75" i="1" s="1"/>
  <c r="V71" i="1"/>
  <c r="W71" i="1" s="1"/>
  <c r="V67" i="1"/>
  <c r="W67" i="1" s="1"/>
  <c r="V63" i="1"/>
  <c r="W63" i="1" s="1"/>
  <c r="V59" i="1"/>
  <c r="W59" i="1" s="1"/>
  <c r="V55" i="1"/>
  <c r="W55" i="1" s="1"/>
  <c r="V51" i="1"/>
  <c r="W51" i="1" s="1"/>
  <c r="V47" i="1"/>
  <c r="W47" i="1" s="1"/>
  <c r="V43" i="1"/>
  <c r="W43" i="1" s="1"/>
  <c r="V39" i="1"/>
  <c r="W39" i="1" s="1"/>
  <c r="V35" i="1"/>
  <c r="W35" i="1" s="1"/>
  <c r="V31" i="1"/>
  <c r="W31" i="1" s="1"/>
  <c r="V27" i="1"/>
  <c r="W27" i="1" s="1"/>
  <c r="V23" i="1"/>
  <c r="W23" i="1" s="1"/>
  <c r="V19" i="1"/>
  <c r="W19" i="1" s="1"/>
  <c r="V15" i="1"/>
  <c r="W15" i="1" s="1"/>
  <c r="V11" i="1"/>
  <c r="W11" i="1" s="1"/>
  <c r="V7" i="1"/>
  <c r="W7" i="1" s="1"/>
  <c r="V3" i="1"/>
  <c r="W3" i="1" s="1"/>
  <c r="V333" i="1"/>
  <c r="W333" i="1" s="1"/>
  <c r="V329" i="1"/>
  <c r="W329" i="1" s="1"/>
  <c r="V325" i="1"/>
  <c r="W325" i="1" s="1"/>
  <c r="V321" i="1"/>
  <c r="W321" i="1" s="1"/>
  <c r="V317" i="1"/>
  <c r="W317" i="1" s="1"/>
  <c r="V313" i="1"/>
  <c r="W313" i="1" s="1"/>
  <c r="V309" i="1"/>
  <c r="W309" i="1" s="1"/>
  <c r="V305" i="1"/>
  <c r="W305" i="1" s="1"/>
  <c r="V301" i="1"/>
  <c r="W301" i="1" s="1"/>
  <c r="V297" i="1"/>
  <c r="W297" i="1" s="1"/>
  <c r="V293" i="1"/>
  <c r="W293" i="1" s="1"/>
  <c r="V289" i="1"/>
  <c r="W289" i="1" s="1"/>
  <c r="V285" i="1"/>
  <c r="W285" i="1" s="1"/>
  <c r="V281" i="1"/>
  <c r="W281" i="1" s="1"/>
  <c r="V277" i="1"/>
  <c r="W277" i="1" s="1"/>
  <c r="V273" i="1"/>
  <c r="W273" i="1" s="1"/>
  <c r="V269" i="1"/>
  <c r="W269" i="1" s="1"/>
  <c r="V265" i="1"/>
  <c r="W265" i="1" s="1"/>
  <c r="V261" i="1"/>
  <c r="W261" i="1" s="1"/>
  <c r="V257" i="1"/>
  <c r="W257" i="1" s="1"/>
  <c r="V253" i="1"/>
  <c r="W253" i="1" s="1"/>
  <c r="V249" i="1"/>
  <c r="W249" i="1" s="1"/>
  <c r="V245" i="1"/>
  <c r="W245" i="1" s="1"/>
  <c r="V241" i="1"/>
  <c r="W241" i="1" s="1"/>
  <c r="V237" i="1"/>
  <c r="W237" i="1" s="1"/>
  <c r="V233" i="1"/>
  <c r="W233" i="1" s="1"/>
  <c r="V229" i="1"/>
  <c r="W229" i="1" s="1"/>
  <c r="V225" i="1"/>
  <c r="W225" i="1" s="1"/>
  <c r="V221" i="1"/>
  <c r="W221" i="1" s="1"/>
  <c r="V217" i="1"/>
  <c r="W217" i="1" s="1"/>
  <c r="V213" i="1"/>
  <c r="W213" i="1" s="1"/>
  <c r="V209" i="1"/>
  <c r="W209" i="1" s="1"/>
  <c r="V205" i="1"/>
  <c r="W205" i="1" s="1"/>
  <c r="V201" i="1"/>
  <c r="W201" i="1" s="1"/>
  <c r="V197" i="1"/>
  <c r="W197" i="1" s="1"/>
  <c r="V193" i="1"/>
  <c r="W193" i="1" s="1"/>
  <c r="V189" i="1"/>
  <c r="W189" i="1" s="1"/>
  <c r="V185" i="1"/>
  <c r="W185" i="1" s="1"/>
  <c r="V181" i="1"/>
  <c r="W181" i="1" s="1"/>
  <c r="V177" i="1"/>
  <c r="W177" i="1" s="1"/>
  <c r="V173" i="1"/>
  <c r="W173" i="1" s="1"/>
  <c r="V169" i="1"/>
  <c r="W169" i="1" s="1"/>
  <c r="V165" i="1"/>
  <c r="W165" i="1" s="1"/>
  <c r="V161" i="1"/>
  <c r="W161" i="1" s="1"/>
  <c r="V157" i="1"/>
  <c r="W157" i="1" s="1"/>
  <c r="V153" i="1"/>
  <c r="W153" i="1" s="1"/>
  <c r="V149" i="1"/>
  <c r="W149" i="1" s="1"/>
  <c r="V145" i="1"/>
  <c r="W145" i="1" s="1"/>
  <c r="V141" i="1"/>
  <c r="W141" i="1" s="1"/>
  <c r="V137" i="1"/>
  <c r="W137" i="1" s="1"/>
  <c r="V133" i="1"/>
  <c r="W133" i="1" s="1"/>
  <c r="V129" i="1"/>
  <c r="W129" i="1" s="1"/>
  <c r="V125" i="1"/>
  <c r="W125" i="1" s="1"/>
  <c r="V121" i="1"/>
  <c r="W121" i="1" s="1"/>
  <c r="V117" i="1"/>
  <c r="W117" i="1" s="1"/>
  <c r="V113" i="1"/>
  <c r="W113" i="1" s="1"/>
  <c r="V109" i="1"/>
  <c r="W109" i="1" s="1"/>
  <c r="V105" i="1"/>
  <c r="W105" i="1" s="1"/>
  <c r="V101" i="1"/>
  <c r="W101" i="1" s="1"/>
  <c r="V97" i="1"/>
  <c r="W97" i="1" s="1"/>
  <c r="V93" i="1"/>
  <c r="W93" i="1" s="1"/>
  <c r="V89" i="1"/>
  <c r="W89" i="1" s="1"/>
  <c r="V85" i="1"/>
  <c r="W85" i="1" s="1"/>
  <c r="V81" i="1"/>
  <c r="W81" i="1" s="1"/>
  <c r="V77" i="1"/>
  <c r="W77" i="1" s="1"/>
  <c r="V73" i="1"/>
  <c r="W73" i="1" s="1"/>
  <c r="V69" i="1"/>
  <c r="W69" i="1" s="1"/>
  <c r="V65" i="1"/>
  <c r="W65" i="1" s="1"/>
  <c r="V61" i="1"/>
  <c r="W61" i="1" s="1"/>
  <c r="V57" i="1"/>
  <c r="W57" i="1" s="1"/>
  <c r="V53" i="1"/>
  <c r="W53" i="1" s="1"/>
  <c r="V49" i="1"/>
  <c r="W49" i="1" s="1"/>
  <c r="V45" i="1"/>
  <c r="W45" i="1" s="1"/>
  <c r="V41" i="1"/>
  <c r="W41" i="1" s="1"/>
  <c r="V37" i="1"/>
  <c r="W37" i="1" s="1"/>
  <c r="V33" i="1"/>
  <c r="W33" i="1" s="1"/>
  <c r="V29" i="1"/>
  <c r="W29" i="1" s="1"/>
  <c r="V25" i="1"/>
  <c r="W25" i="1" s="1"/>
  <c r="V21" i="1"/>
  <c r="W21" i="1" s="1"/>
  <c r="V17" i="1"/>
  <c r="W17" i="1" s="1"/>
  <c r="V13" i="1"/>
  <c r="W13" i="1" s="1"/>
  <c r="V9" i="1"/>
  <c r="W9" i="1" s="1"/>
  <c r="V5" i="1"/>
  <c r="W5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</calcChain>
</file>

<file path=xl/sharedStrings.xml><?xml version="1.0" encoding="utf-8"?>
<sst xmlns="http://schemas.openxmlformats.org/spreadsheetml/2006/main" count="6441" uniqueCount="1446">
  <si>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</si>
  <si>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</si>
  <si>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</si>
  <si>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</si>
  <si>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</si>
  <si>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</si>
  <si>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</si>
  <si>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</si>
  <si>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</si>
  <si>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</si>
  <si>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</si>
  <si>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</si>
  <si>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</si>
  <si>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</si>
  <si>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</si>
  <si>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</si>
  <si>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ORD-2024-358795</t>
  </si>
  <si>
    <t>ORD-2023-373538</t>
  </si>
  <si>
    <t>ORD-2025-168148</t>
  </si>
  <si>
    <t>ORD-2023-824839</t>
  </si>
  <si>
    <t>ORD-2023-723587</t>
  </si>
  <si>
    <t>ORD-2024-336584</t>
  </si>
  <si>
    <t>ORD-2023-112666</t>
  </si>
  <si>
    <t>ORD-2024-589570</t>
  </si>
  <si>
    <t>ORD-2025-997421</t>
  </si>
  <si>
    <t>ORD-2024-210687</t>
  </si>
  <si>
    <t>ORD-2025-515515</t>
  </si>
  <si>
    <t>ORD-2025-487261</t>
  </si>
  <si>
    <t>ORD-2024-890180</t>
  </si>
  <si>
    <t>ORD-2025-840976</t>
  </si>
  <si>
    <t>ORD-2023-937291</t>
  </si>
  <si>
    <t>ORD-2024-206081</t>
  </si>
  <si>
    <t>ORD-2025-233883</t>
  </si>
  <si>
    <t>ORD-2025-843974</t>
  </si>
  <si>
    <t>ORD-2025-745263</t>
  </si>
  <si>
    <t>ORD-2024-798002</t>
  </si>
  <si>
    <t>ORD-2023-867836</t>
  </si>
  <si>
    <t>ORD-2025-580047</t>
  </si>
  <si>
    <t>ORD-2024-500109</t>
  </si>
  <si>
    <t>ORD-2023-271836</t>
  </si>
  <si>
    <t>ORD-2024-215294</t>
  </si>
  <si>
    <t>ORD-2024-788105</t>
  </si>
  <si>
    <t>ORD-2024-855073</t>
  </si>
  <si>
    <t>ORD-2023-897079</t>
  </si>
  <si>
    <t>ORD-2025-548982</t>
  </si>
  <si>
    <t>ORD-2024-170313</t>
  </si>
  <si>
    <t>ORD-2023-562894</t>
  </si>
  <si>
    <t>ORD-2025-474710</t>
  </si>
  <si>
    <t>ORD-2024-629525</t>
  </si>
  <si>
    <t>ORD-2024-167215</t>
  </si>
  <si>
    <t>ORD-2023-864121</t>
  </si>
  <si>
    <t>ORD-2024-692673</t>
  </si>
  <si>
    <t>ORD-2025-718992</t>
  </si>
  <si>
    <t>ORD-2024-599522</t>
  </si>
  <si>
    <t>ORD-2023-651638</t>
  </si>
  <si>
    <t>ORD-2024-635626</t>
  </si>
  <si>
    <t>ORD-2024-296582</t>
  </si>
  <si>
    <t>ORD-2024-998320</t>
  </si>
  <si>
    <t>ORD-2025-820255</t>
  </si>
  <si>
    <t>ORD-2024-389336</t>
  </si>
  <si>
    <t>ORD-2023-308124</t>
  </si>
  <si>
    <t>ORD-2023-128295</t>
  </si>
  <si>
    <t>ORD-2024-548345</t>
  </si>
  <si>
    <t>ORD-2024-966651</t>
  </si>
  <si>
    <t>ORD-2023-292714</t>
  </si>
  <si>
    <t>ORD-2024-468501</t>
  </si>
  <si>
    <t>ORD-2024-260775</t>
  </si>
  <si>
    <t>ORD-2023-419187</t>
  </si>
  <si>
    <t>ORD-2025-578007</t>
  </si>
  <si>
    <t>ORD-2023-235230</t>
  </si>
  <si>
    <t>ORD-2025-765220</t>
  </si>
  <si>
    <t>ORD-2025-931538</t>
  </si>
  <si>
    <t>ORD-2024-289089</t>
  </si>
  <si>
    <t>ORD-2025-639542</t>
  </si>
  <si>
    <t>ORD-2025-762301</t>
  </si>
  <si>
    <t>ORD-2024-906395</t>
  </si>
  <si>
    <t>ORD-2025-779574</t>
  </si>
  <si>
    <t>ORD-2025-526650</t>
  </si>
  <si>
    <t>ORD-2024-247979</t>
  </si>
  <si>
    <t>ORD-2023-480975</t>
  </si>
  <si>
    <t>ORD-2023-239789</t>
  </si>
  <si>
    <t>ORD-2023-548874</t>
  </si>
  <si>
    <t>ORD-2024-347736</t>
  </si>
  <si>
    <t>ORD-2023-749324</t>
  </si>
  <si>
    <t>ORD-2023-809913</t>
  </si>
  <si>
    <t>ORD-2024-287210</t>
  </si>
  <si>
    <t>ORD-2025-640677</t>
  </si>
  <si>
    <t>ORD-2024-939873</t>
  </si>
  <si>
    <t>ORD-2024-800947</t>
  </si>
  <si>
    <t>ORD-2023-382272</t>
  </si>
  <si>
    <t>ORD-2023-722117</t>
  </si>
  <si>
    <t>ORD-2024-446699</t>
  </si>
  <si>
    <t>ORD-2024-451005</t>
  </si>
  <si>
    <t>ORD-2023-290279</t>
  </si>
  <si>
    <t>ORD-2024-192263</t>
  </si>
  <si>
    <t>ORD-2023-159379</t>
  </si>
  <si>
    <t>ORD-2023-343322</t>
  </si>
  <si>
    <t>ORD-2025-114382</t>
  </si>
  <si>
    <t>ORD-2025-488349</t>
  </si>
  <si>
    <t>ORD-2025-330203</t>
  </si>
  <si>
    <t>ORD-2023-841426</t>
  </si>
  <si>
    <t>ORD-2024-594592</t>
  </si>
  <si>
    <t>ORD-2025-863978</t>
  </si>
  <si>
    <t>ORD-2024-604471</t>
  </si>
  <si>
    <t>ORD-2023-258768</t>
  </si>
  <si>
    <t>ORD-2025-626047</t>
  </si>
  <si>
    <t>ORD-2025-526752</t>
  </si>
  <si>
    <t>ORD-2023-374486</t>
  </si>
  <si>
    <t>ORD-2024-997336</t>
  </si>
  <si>
    <t>ORD-2025-725646</t>
  </si>
  <si>
    <t>ORD-2023-868734</t>
  </si>
  <si>
    <t>ORD-2025-262491</t>
  </si>
  <si>
    <t>ORD-2024-638884</t>
  </si>
  <si>
    <t>ORD-2025-541501</t>
  </si>
  <si>
    <t>ORD-2023-422918</t>
  </si>
  <si>
    <t>ORD-2025-328504</t>
  </si>
  <si>
    <t>ORD-2024-851883</t>
  </si>
  <si>
    <t>ORD-2025-662997</t>
  </si>
  <si>
    <t>ORD-2024-478165</t>
  </si>
  <si>
    <t>ORD-2024-771210</t>
  </si>
  <si>
    <t>ORD-2024-155337</t>
  </si>
  <si>
    <t>ORD-2023-251563</t>
  </si>
  <si>
    <t>ORD-2024-286833</t>
  </si>
  <si>
    <t>ORD-2024-792558</t>
  </si>
  <si>
    <t>ORD-2024-166150</t>
  </si>
  <si>
    <t>ORD-2024-909942</t>
  </si>
  <si>
    <t>ORD-2024-223618</t>
  </si>
  <si>
    <t>ORD-2024-919471</t>
  </si>
  <si>
    <t>ORD-2025-649239</t>
  </si>
  <si>
    <t>ORD-2023-975863</t>
  </si>
  <si>
    <t>ORD-2023-869884</t>
  </si>
  <si>
    <t>ORD-2025-698069</t>
  </si>
  <si>
    <t>ORD-2024-474999</t>
  </si>
  <si>
    <t>ORD-2023-427304</t>
  </si>
  <si>
    <t>ORD-2025-956101</t>
  </si>
  <si>
    <t>ORD-2025-184082</t>
  </si>
  <si>
    <t>ORD-2023-576840</t>
  </si>
  <si>
    <t>ORD-2023-178249</t>
  </si>
  <si>
    <t>ORD-2024-588972</t>
  </si>
  <si>
    <t>ORD-2023-603238</t>
  </si>
  <si>
    <t>ORD-2023-883066</t>
  </si>
  <si>
    <t>ORD-2024-584090</t>
  </si>
  <si>
    <t>ORD-2025-537785</t>
  </si>
  <si>
    <t>ORD-2024-605518</t>
  </si>
  <si>
    <t>ORD-2023-521818</t>
  </si>
  <si>
    <t>ORD-2025-650719</t>
  </si>
  <si>
    <t>ORD-2025-501927</t>
  </si>
  <si>
    <t>ORD-2023-430904</t>
  </si>
  <si>
    <t>ORD-2025-354346</t>
  </si>
  <si>
    <t>ORD-2024-164288</t>
  </si>
  <si>
    <t>ORD-2023-867285</t>
  </si>
  <si>
    <t>ORD-2024-836421</t>
  </si>
  <si>
    <t>ORD-2023-613287</t>
  </si>
  <si>
    <t>ORD-2024-783321</t>
  </si>
  <si>
    <t>ORD-2024-232632</t>
  </si>
  <si>
    <t>ORD-2023-906481</t>
  </si>
  <si>
    <t>ORD-2024-902741</t>
  </si>
  <si>
    <t>ORD-2023-912395</t>
  </si>
  <si>
    <t>ORD-2024-389102</t>
  </si>
  <si>
    <t>ORD-2023-309373</t>
  </si>
  <si>
    <t>ORD-2023-825495</t>
  </si>
  <si>
    <t>ORD-2025-244832</t>
  </si>
  <si>
    <t>ORD-2024-211453</t>
  </si>
  <si>
    <t>ORD-2023-192324</t>
  </si>
  <si>
    <t>ORD-2024-438404</t>
  </si>
  <si>
    <t>ORD-2025-246470</t>
  </si>
  <si>
    <t>ORD-2023-497686</t>
  </si>
  <si>
    <t>ORD-2023-596758</t>
  </si>
  <si>
    <t>ORD-2024-201376</t>
  </si>
  <si>
    <t>ORD-2023-842488</t>
  </si>
  <si>
    <t>ORD-2024-136321</t>
  </si>
  <si>
    <t>ORD-2024-764468</t>
  </si>
  <si>
    <t>ORD-2024-553449</t>
  </si>
  <si>
    <t>ORD-2025-766923</t>
  </si>
  <si>
    <t>ORD-2025-418232</t>
  </si>
  <si>
    <t>ORD-2023-848013</t>
  </si>
  <si>
    <t>ORD-2024-357368</t>
  </si>
  <si>
    <t>ORD-2024-219735</t>
  </si>
  <si>
    <t>ORD-2023-240507</t>
  </si>
  <si>
    <t>ORD-2024-134084</t>
  </si>
  <si>
    <t>ORD-2023-884625</t>
  </si>
  <si>
    <t>ORD-2023-157993</t>
  </si>
  <si>
    <t>ORD-2024-329104</t>
  </si>
  <si>
    <t>ORD-2023-304451</t>
  </si>
  <si>
    <t>ORD-2024-942981</t>
  </si>
  <si>
    <t>ORD-2024-605629</t>
  </si>
  <si>
    <t>ORD-2023-450877</t>
  </si>
  <si>
    <t>ORD-2023-286994</t>
  </si>
  <si>
    <t>ORD-2025-700847</t>
  </si>
  <si>
    <t>ORD-2024-970848</t>
  </si>
  <si>
    <t>ORD-2025-845715</t>
  </si>
  <si>
    <t>ORD-2023-664749</t>
  </si>
  <si>
    <t>ORD-2024-960952</t>
  </si>
  <si>
    <t>ORD-2023-987700</t>
  </si>
  <si>
    <t>ORD-2025-652467</t>
  </si>
  <si>
    <t>ORD-2025-667201</t>
  </si>
  <si>
    <t>ORD-2024-237478</t>
  </si>
  <si>
    <t>ORD-2025-898843</t>
  </si>
  <si>
    <t>ORD-2023-334213</t>
  </si>
  <si>
    <t>ORD-2024-640340</t>
  </si>
  <si>
    <t>ORD-2023-399631</t>
  </si>
  <si>
    <t>ORD-2025-542939</t>
  </si>
  <si>
    <t>ORD-2023-825836</t>
  </si>
  <si>
    <t>ORD-2024-503082</t>
  </si>
  <si>
    <t>ORD-2024-760799</t>
  </si>
  <si>
    <t>ORD-2023-197661</t>
  </si>
  <si>
    <t>ORD-2024-212990</t>
  </si>
  <si>
    <t>ORD-2023-925146</t>
  </si>
  <si>
    <t>ORD-2023-177794</t>
  </si>
  <si>
    <t>ORD-2024-444710</t>
  </si>
  <si>
    <t>ORD-2024-668926</t>
  </si>
  <si>
    <t>ORD-2024-968374</t>
  </si>
  <si>
    <t>ORD-2023-575584</t>
  </si>
  <si>
    <t>ORD-2023-701153</t>
  </si>
  <si>
    <t>ORD-2023-382017</t>
  </si>
  <si>
    <t>ORD-2024-999607</t>
  </si>
  <si>
    <t>ORD-2023-133848</t>
  </si>
  <si>
    <t>ORD-2023-586275</t>
  </si>
  <si>
    <t>ORD-2025-964661</t>
  </si>
  <si>
    <t>ORD-2023-390998</t>
  </si>
  <si>
    <t>ORD-2023-920483</t>
  </si>
  <si>
    <t>ORD-2025-146850</t>
  </si>
  <si>
    <t>ORD-2024-687100</t>
  </si>
  <si>
    <t>ORD-2025-629393</t>
  </si>
  <si>
    <t>ORD-2024-686712</t>
  </si>
  <si>
    <t>ORD-2025-586799</t>
  </si>
  <si>
    <t>ORD-2024-988736</t>
  </si>
  <si>
    <t>ORD-2025-564184</t>
  </si>
  <si>
    <t>ORD-2023-653343</t>
  </si>
  <si>
    <t>ORD-2024-197852</t>
  </si>
  <si>
    <t>ORD-2023-431328</t>
  </si>
  <si>
    <t>ORD-2023-613317</t>
  </si>
  <si>
    <t>ORD-2024-720756</t>
  </si>
  <si>
    <t>ORD-2024-777623</t>
  </si>
  <si>
    <t>ORD-2025-762212</t>
  </si>
  <si>
    <t>ORD-2023-271918</t>
  </si>
  <si>
    <t>ORD-2023-713375</t>
  </si>
  <si>
    <t>ORD-2025-678688</t>
  </si>
  <si>
    <t>ORD-2023-501220</t>
  </si>
  <si>
    <t>ORD-2023-195665</t>
  </si>
  <si>
    <t>ORD-2023-290237</t>
  </si>
  <si>
    <t>ORD-2023-302041</t>
  </si>
  <si>
    <t>ORD-2025-289139</t>
  </si>
  <si>
    <t>ORD-2023-949710</t>
  </si>
  <si>
    <t>ORD-2023-603650</t>
  </si>
  <si>
    <t>ORD-2025-757957</t>
  </si>
  <si>
    <t>ORD-2024-423853</t>
  </si>
  <si>
    <t>ORD-2024-569164</t>
  </si>
  <si>
    <t>ORD-2023-946143</t>
  </si>
  <si>
    <t>ORD-2024-281211</t>
  </si>
  <si>
    <t>ORD-2024-805860</t>
  </si>
  <si>
    <t>ORD-2025-132174</t>
  </si>
  <si>
    <t>ORD-2023-964434</t>
  </si>
  <si>
    <t>ORD-2024-897622</t>
  </si>
  <si>
    <t>ORD-2023-517216</t>
  </si>
  <si>
    <t>ORD-2025-509940</t>
  </si>
  <si>
    <t>ORD-2025-646342</t>
  </si>
  <si>
    <t>ORD-2024-866535</t>
  </si>
  <si>
    <t>ORD-2023-747341</t>
  </si>
  <si>
    <t>ORD-2024-853298</t>
  </si>
  <si>
    <t>ORD-2024-544865</t>
  </si>
  <si>
    <t>ORD-2025-946490</t>
  </si>
  <si>
    <t>ORD-2024-320972</t>
  </si>
  <si>
    <t>ORD-2025-248586</t>
  </si>
  <si>
    <t>ORD-2024-664046</t>
  </si>
  <si>
    <t>ORD-2023-276806</t>
  </si>
  <si>
    <t>ORD-2024-220234</t>
  </si>
  <si>
    <t>ORD-2024-301260</t>
  </si>
  <si>
    <t>ORD-2024-350100</t>
  </si>
  <si>
    <t>ORD-2024-855600</t>
  </si>
  <si>
    <t>ORD-2023-474313</t>
  </si>
  <si>
    <t>ORD-2023-256951</t>
  </si>
  <si>
    <t>ORD-2025-184754</t>
  </si>
  <si>
    <t>ORD-2023-888140</t>
  </si>
  <si>
    <t>ORD-2023-638181</t>
  </si>
  <si>
    <t>ORD-2023-521280</t>
  </si>
  <si>
    <t>ORD-2023-630430</t>
  </si>
  <si>
    <t>ORD-2025-908258</t>
  </si>
  <si>
    <t>ORD-2025-440093</t>
  </si>
  <si>
    <t>ORD-2025-898022</t>
  </si>
  <si>
    <t>ORD-2024-500511</t>
  </si>
  <si>
    <t>ORD-2023-632893</t>
  </si>
  <si>
    <t>ORD-2023-967239</t>
  </si>
  <si>
    <t>ORD-2024-885858</t>
  </si>
  <si>
    <t>ORD-2023-253245</t>
  </si>
  <si>
    <t>ORD-2025-484073</t>
  </si>
  <si>
    <t>ORD-2024-745822</t>
  </si>
  <si>
    <t>ORD-2023-369160</t>
  </si>
  <si>
    <t>ORD-2024-834983</t>
  </si>
  <si>
    <t>ORD-2024-499009</t>
  </si>
  <si>
    <t>ORD-2024-948800</t>
  </si>
  <si>
    <t>ORD-2025-678328</t>
  </si>
  <si>
    <t>ORD-2024-580808</t>
  </si>
  <si>
    <t>ORD-2023-211715</t>
  </si>
  <si>
    <t>ORD-2023-715175</t>
  </si>
  <si>
    <t>ORD-2025-685236</t>
  </si>
  <si>
    <t>ORD-2023-274037</t>
  </si>
  <si>
    <t>ORD-2025-983096</t>
  </si>
  <si>
    <t>ORD-2024-366010</t>
  </si>
  <si>
    <t>ORD-2023-610470</t>
  </si>
  <si>
    <t>ORD-2025-541048</t>
  </si>
  <si>
    <t>ORD-2024-862371</t>
  </si>
  <si>
    <t>ORD-2024-277241</t>
  </si>
  <si>
    <t>ORD-2023-369150</t>
  </si>
  <si>
    <t>ORD-2025-922513</t>
  </si>
  <si>
    <t>ORD-2025-752845</t>
  </si>
  <si>
    <t>ORD-2023-667815</t>
  </si>
  <si>
    <t>ORD-2023-375011</t>
  </si>
  <si>
    <t>ORD-2025-487025</t>
  </si>
  <si>
    <t>ORD-2025-398335</t>
  </si>
  <si>
    <t>ORD-2024-792137</t>
  </si>
  <si>
    <t>ORD-2023-602648</t>
  </si>
  <si>
    <t>ORD-2024-207096</t>
  </si>
  <si>
    <t>ORD-2025-939953</t>
  </si>
  <si>
    <t>ORD-2025-191328</t>
  </si>
  <si>
    <t>ORD-2023-166668</t>
  </si>
  <si>
    <t>ORD-2023-594700</t>
  </si>
  <si>
    <t>ORD-2025-278048</t>
  </si>
  <si>
    <t>ORD-2024-878493</t>
  </si>
  <si>
    <t>ORD-2025-138578</t>
  </si>
  <si>
    <t>ORD-2025-944081</t>
  </si>
  <si>
    <t>ORD-2025-364852</t>
  </si>
  <si>
    <t>ORD-2025-415018</t>
  </si>
  <si>
    <t>ORD-2023-884192</t>
  </si>
  <si>
    <t>ORD-2024-165942</t>
  </si>
  <si>
    <t>ORD-2024-403664</t>
  </si>
  <si>
    <t>ORD-2023-890605</t>
  </si>
  <si>
    <t>ORD-2024-925626</t>
  </si>
  <si>
    <t>ORD-2024-427031</t>
  </si>
  <si>
    <t>ORD-2025-231184</t>
  </si>
  <si>
    <t>ORD-2023-363031</t>
  </si>
  <si>
    <t>ORD-2023-619570</t>
  </si>
  <si>
    <t>ORD-2025-861401</t>
  </si>
  <si>
    <t>ORD-2023-835010</t>
  </si>
  <si>
    <t>ORD-2024-819979</t>
  </si>
  <si>
    <t>ORD-2024-719055</t>
  </si>
  <si>
    <t>ORD-2023-888245</t>
  </si>
  <si>
    <t>ORD-2024-206121</t>
  </si>
  <si>
    <t>ORD-2024-500890</t>
  </si>
  <si>
    <t>ORD-2023-144816</t>
  </si>
  <si>
    <t>ORD-2024-153053</t>
  </si>
  <si>
    <t>ORD-2023-536542</t>
  </si>
  <si>
    <t>ORD-2025-779530</t>
  </si>
  <si>
    <t>ORD-2023-163610</t>
  </si>
  <si>
    <t>ORD-2025-653781</t>
  </si>
  <si>
    <t>ORD-2025-737787</t>
  </si>
  <si>
    <t>ORD-2023-944052</t>
  </si>
  <si>
    <t>ORD-2023-181257</t>
  </si>
  <si>
    <t>ORD-2025-323492</t>
  </si>
  <si>
    <t>ORD-2024-332076</t>
  </si>
  <si>
    <t>ORD-2024-571797</t>
  </si>
  <si>
    <t>ORD-2024-129345</t>
  </si>
  <si>
    <t>ORD-2023-660608</t>
  </si>
  <si>
    <t>ORD-2023-825084</t>
  </si>
  <si>
    <t>ORD-2023-261081</t>
  </si>
  <si>
    <t>ORD-2023-766015</t>
  </si>
  <si>
    <t>ORD-2024-333192</t>
  </si>
  <si>
    <t>ORD-2024-647473</t>
  </si>
  <si>
    <t>ORD-2024-892908</t>
  </si>
  <si>
    <t>ORD-2023-573146</t>
  </si>
  <si>
    <t>ORD-2024-901115</t>
  </si>
  <si>
    <t>ORD-2023-898009</t>
  </si>
  <si>
    <t>ORD-2023-208944</t>
  </si>
  <si>
    <t>ORD-2025-480172</t>
  </si>
  <si>
    <t>ORD-2023-735274</t>
  </si>
  <si>
    <t>ORD-2023-212701</t>
  </si>
  <si>
    <t>ORD-2023-479747</t>
  </si>
  <si>
    <t>ORD-2024-915495</t>
  </si>
  <si>
    <t>ORD-2024-225829</t>
  </si>
  <si>
    <t>ORD-2024-921935</t>
  </si>
  <si>
    <t>ORD-2025-949776</t>
  </si>
  <si>
    <t>ORD-2024-510591</t>
  </si>
  <si>
    <t>ORD-2024-961756</t>
  </si>
  <si>
    <t>ORD-2024-892173</t>
  </si>
  <si>
    <t>ORD-2024-704056</t>
  </si>
  <si>
    <t>ORD-2025-591006</t>
  </si>
  <si>
    <t>ORD-2023-159821</t>
  </si>
  <si>
    <t>ORD-2024-343877</t>
  </si>
  <si>
    <t>ORD-2023-386663</t>
  </si>
  <si>
    <t>ORD-2025-125517</t>
  </si>
  <si>
    <t>ORD-2024-819778</t>
  </si>
  <si>
    <t>ORD-2025-624006</t>
  </si>
  <si>
    <t>ORD-2023-132101</t>
  </si>
  <si>
    <t>ORD-2025-306903</t>
  </si>
  <si>
    <t>ORD-2023-813340</t>
  </si>
  <si>
    <t>ORD-2023-855675</t>
  </si>
  <si>
    <t>ORD-2023-545150</t>
  </si>
  <si>
    <t>ORD-2025-269934</t>
  </si>
  <si>
    <t>ORD-2024-690270</t>
  </si>
  <si>
    <t>ORD-2024-868223</t>
  </si>
  <si>
    <t>ORD-2025-188059</t>
  </si>
  <si>
    <t>ORD-2023-281890</t>
  </si>
  <si>
    <t>ORD-2025-636162</t>
  </si>
  <si>
    <t>ORD-2025-915869</t>
  </si>
  <si>
    <t>ORD-2025-192876</t>
  </si>
  <si>
    <t>ORD-2025-822030</t>
  </si>
  <si>
    <t>ORD-2025-789245</t>
  </si>
  <si>
    <t>ORD-2023-594955</t>
  </si>
  <si>
    <t>ORD-2024-398783</t>
  </si>
  <si>
    <t>ORD-2023-676553</t>
  </si>
  <si>
    <t>ORD-2025-866565</t>
  </si>
  <si>
    <t>ORD-2024-527858</t>
  </si>
  <si>
    <t>ORD-2023-619385</t>
  </si>
  <si>
    <t>ORD-2023-835226</t>
  </si>
  <si>
    <t>ORD-2025-485946</t>
  </si>
  <si>
    <t>ORD-2024-307849</t>
  </si>
  <si>
    <t>ORD-2023-368449</t>
  </si>
  <si>
    <t>ORD-2024-251426</t>
  </si>
  <si>
    <t>ORD-2023-927385</t>
  </si>
  <si>
    <t>ORD-2025-486350</t>
  </si>
  <si>
    <t>ORD-2025-677880</t>
  </si>
  <si>
    <t>ORD-2024-102866</t>
  </si>
  <si>
    <t>ORD-2025-588029</t>
  </si>
  <si>
    <t>ORD-2024-972999</t>
  </si>
  <si>
    <t>ORD-2025-608069</t>
  </si>
  <si>
    <t>ORD-2024-626750</t>
  </si>
  <si>
    <t>ORD-2024-170021</t>
  </si>
  <si>
    <t>ORD-2024-678110</t>
  </si>
  <si>
    <t>ORD-2025-909340</t>
  </si>
  <si>
    <t>ORD-2023-854471</t>
  </si>
  <si>
    <t>ORD-2024-390951</t>
  </si>
  <si>
    <t>ORD-2025-881624</t>
  </si>
  <si>
    <t>ORD-2025-512310</t>
  </si>
  <si>
    <t>ORD-2023-674887</t>
  </si>
  <si>
    <t>ORD-2024-542244</t>
  </si>
  <si>
    <t>ORD-2024-375848</t>
  </si>
  <si>
    <t>ORD-2023-933238</t>
  </si>
  <si>
    <t>ORD-2023-732585</t>
  </si>
  <si>
    <t>ORD-2024-465898</t>
  </si>
  <si>
    <t>ORD-2023-987081</t>
  </si>
  <si>
    <t>ORD-2024-655710</t>
  </si>
  <si>
    <t>ORD-2025-411385</t>
  </si>
  <si>
    <t>ORD-2025-222035</t>
  </si>
  <si>
    <t>ORD-2024-749242</t>
  </si>
  <si>
    <t>ORD-2023-623293</t>
  </si>
  <si>
    <t>ORD-2025-276968</t>
  </si>
  <si>
    <t>ORD-2025-650841</t>
  </si>
  <si>
    <t>ORD-2025-831576</t>
  </si>
  <si>
    <t>ORD-2024-468655</t>
  </si>
  <si>
    <t>ORD-2024-515105</t>
  </si>
  <si>
    <t>ORD-2025-803803</t>
  </si>
  <si>
    <t>ORD-2024-993481</t>
  </si>
  <si>
    <t>ORD-2024-811752</t>
  </si>
  <si>
    <t>ORD-2025-673091</t>
  </si>
  <si>
    <t>ORD-2024-381197</t>
  </si>
  <si>
    <t>ORD-2024-651852</t>
  </si>
  <si>
    <t>ORD-2023-659070</t>
  </si>
  <si>
    <t>ORD-2024-837651</t>
  </si>
  <si>
    <t>ORD-2024-581530</t>
  </si>
  <si>
    <t>ORD-2023-378104</t>
  </si>
  <si>
    <t>ORD-2024-972318</t>
  </si>
  <si>
    <t>ORD-2023-752962</t>
  </si>
  <si>
    <t>ORD-2023-808024</t>
  </si>
  <si>
    <t>ORD-2023-156396</t>
  </si>
  <si>
    <t>ORD-2023-184577</t>
  </si>
  <si>
    <t>ORD-2024-446030</t>
  </si>
  <si>
    <t>ORD-2023-842820</t>
  </si>
  <si>
    <t>ORD-2024-745424</t>
  </si>
  <si>
    <t>ORD-2024-510520</t>
  </si>
  <si>
    <t>ORD-2023-769774</t>
  </si>
  <si>
    <t>ORD-2023-580751</t>
  </si>
  <si>
    <t>ORD-2025-473192</t>
  </si>
  <si>
    <t>ORD-2024-886939</t>
  </si>
  <si>
    <t>ORD-2024-566589</t>
  </si>
  <si>
    <t>ORD-2023-109927</t>
  </si>
  <si>
    <t>ORD-2023-780206</t>
  </si>
  <si>
    <t>ORD-2024-851993</t>
  </si>
  <si>
    <t>ORD-2025-417942</t>
  </si>
  <si>
    <t>ORD-2023-172095</t>
  </si>
  <si>
    <t>ORD-2024-257550</t>
  </si>
  <si>
    <t>ORD-2023-581799</t>
  </si>
  <si>
    <t>ORD-2023-880296</t>
  </si>
  <si>
    <t>ORD-2023-191563</t>
  </si>
  <si>
    <t>ORD-2024-202166</t>
  </si>
  <si>
    <t>ORD-2023-539967</t>
  </si>
  <si>
    <t>ORD-2023-704111</t>
  </si>
  <si>
    <t>ORD-2024-356812</t>
  </si>
  <si>
    <t>ORD-2025-306251</t>
  </si>
  <si>
    <t>ORD-2025-496178</t>
  </si>
  <si>
    <t>ORD-2024-508213</t>
  </si>
  <si>
    <t>ORD-2024-787018</t>
  </si>
  <si>
    <t>ORD-2023-728177</t>
  </si>
  <si>
    <t>ORD-2025-795385</t>
  </si>
  <si>
    <t>ORD-2025-947929</t>
  </si>
  <si>
    <t>ORD-2023-931633</t>
  </si>
  <si>
    <t>ORD-2023-243704</t>
  </si>
  <si>
    <t>ORD-2025-779659</t>
  </si>
  <si>
    <t>ORD-2024-647571</t>
  </si>
  <si>
    <t>ORD-2025-683043</t>
  </si>
  <si>
    <t>ORD-2023-588455</t>
  </si>
  <si>
    <t>ORD-2024-641220</t>
  </si>
  <si>
    <t>ORD-2023-799597</t>
  </si>
  <si>
    <t>ORD-2023-569862</t>
  </si>
  <si>
    <t>ORD-2023-609394</t>
  </si>
  <si>
    <t>ORD-2024-105586</t>
  </si>
  <si>
    <t>ORD-2024-207792</t>
  </si>
  <si>
    <t>ORD-2025-417336</t>
  </si>
  <si>
    <t>ORD-2025-252117</t>
  </si>
  <si>
    <t>ORD-2023-867175</t>
  </si>
  <si>
    <t>ORD-2024-382152</t>
  </si>
  <si>
    <t>ORD-2023-597666</t>
  </si>
  <si>
    <t>ORD-2024-371409</t>
  </si>
  <si>
    <t>ORD-2024-973420</t>
  </si>
  <si>
    <t>ORD-2025-254721</t>
  </si>
  <si>
    <t>ORD-2024-247032</t>
  </si>
  <si>
    <t>ORD-2024-792353</t>
  </si>
  <si>
    <t>ORD-2025-703623</t>
  </si>
  <si>
    <t>ORD-2024-516704</t>
  </si>
  <si>
    <t>ORD-2024-578646</t>
  </si>
  <si>
    <t>ORD-2024-433936</t>
  </si>
  <si>
    <t>ORD-2023-434071</t>
  </si>
  <si>
    <t>ORD-2024-728474</t>
  </si>
  <si>
    <t>ORD-2023-406606</t>
  </si>
  <si>
    <t>ORD-2025-823055</t>
  </si>
  <si>
    <t>ORD-2023-573656</t>
  </si>
  <si>
    <t>ORD-2024-567435</t>
  </si>
  <si>
    <t>ORD-2023-744942</t>
  </si>
  <si>
    <t>ORD-2025-331237</t>
  </si>
  <si>
    <t>ORD-2025-680118</t>
  </si>
  <si>
    <t>ORD-2024-310809</t>
  </si>
  <si>
    <t>ORD-2025-474368</t>
  </si>
  <si>
    <t>ORD-2024-732543</t>
  </si>
  <si>
    <t>ORD-2023-867166</t>
  </si>
  <si>
    <t>ORD-2024-776337</t>
  </si>
  <si>
    <t>ORD-2023-913592</t>
  </si>
  <si>
    <t>ORD-2024-961501</t>
  </si>
  <si>
    <t>ORD-2024-964950</t>
  </si>
  <si>
    <t>ORD-2023-349264</t>
  </si>
  <si>
    <t>ORD-2025-137394</t>
  </si>
  <si>
    <t>ORD-2025-635337</t>
  </si>
  <si>
    <t>ORD-2023-568013</t>
  </si>
  <si>
    <t>ORD-2025-828263</t>
  </si>
  <si>
    <t>ORD-2024-402240</t>
  </si>
  <si>
    <t>ORD-2023-125739</t>
  </si>
  <si>
    <t>ORD-2024-892879</t>
  </si>
  <si>
    <t>ORD-2023-472050</t>
  </si>
  <si>
    <t>ORD-2024-468615</t>
  </si>
  <si>
    <t>ORD-2024-833375</t>
  </si>
  <si>
    <t>ORD-2024-206311</t>
  </si>
  <si>
    <t>ORD-2024-364080</t>
  </si>
  <si>
    <t>ORD-2025-460466</t>
  </si>
  <si>
    <t>ORD-2023-700699</t>
  </si>
  <si>
    <t>ORD-2024-713332</t>
  </si>
  <si>
    <t>ORD-2023-640022</t>
  </si>
  <si>
    <t>ORD-2024-532184</t>
  </si>
  <si>
    <t>ORD-2025-926547</t>
  </si>
  <si>
    <t>ORD-2025-778145</t>
  </si>
  <si>
    <t>ORD-2023-525643</t>
  </si>
  <si>
    <t>ORD-2025-312803</t>
  </si>
  <si>
    <t>ORD-2025-149156</t>
  </si>
  <si>
    <t>ORD-2023-215819</t>
  </si>
  <si>
    <t>ORD-2024-353078</t>
  </si>
  <si>
    <t>ORD-2023-621393</t>
  </si>
  <si>
    <t>ORD-2023-974506</t>
  </si>
  <si>
    <t>ORD-2023-811823</t>
  </si>
  <si>
    <t>ORD-2023-286720</t>
  </si>
  <si>
    <t>ORD-2024-626925</t>
  </si>
  <si>
    <t>ORD-2023-960380</t>
  </si>
  <si>
    <t>ORD-2023-453699</t>
  </si>
  <si>
    <t>ORD-2025-960931</t>
  </si>
  <si>
    <t>ORD-2024-419248</t>
  </si>
  <si>
    <t>ORD-2023-488227</t>
  </si>
  <si>
    <t>ORD-2023-472078</t>
  </si>
  <si>
    <t>ORD-2024-202877</t>
  </si>
  <si>
    <t>ORD-2024-140633</t>
  </si>
  <si>
    <t>ORD-2025-419532</t>
  </si>
  <si>
    <t>ORD-2023-139236</t>
  </si>
  <si>
    <t>ORD-2025-337268</t>
  </si>
  <si>
    <t>ORD-2025-332931</t>
  </si>
  <si>
    <t>ORD-2024-536442</t>
  </si>
  <si>
    <t>ORD-2023-957692</t>
  </si>
  <si>
    <t>ORD-2025-874124</t>
  </si>
  <si>
    <t>ORD-2024-687073</t>
  </si>
  <si>
    <t>ORD-2024-555229</t>
  </si>
  <si>
    <t>ORD-2024-872291</t>
  </si>
  <si>
    <t>ORD-2024-250862</t>
  </si>
  <si>
    <t>ORD-2024-331226</t>
  </si>
  <si>
    <t>ORD-2023-356427</t>
  </si>
  <si>
    <t>ORD-2025-659650</t>
  </si>
  <si>
    <t>ORD-2024-207669</t>
  </si>
  <si>
    <t>ORD-2024-979401</t>
  </si>
  <si>
    <t>ORD-2025-929414</t>
  </si>
  <si>
    <t>ORD-2024-766980</t>
  </si>
  <si>
    <t>ORD-2024-437164</t>
  </si>
  <si>
    <t>ORD-2025-169093</t>
  </si>
  <si>
    <t>ORD-2023-868460</t>
  </si>
  <si>
    <t>ORD-2025-177994</t>
  </si>
  <si>
    <t>ORD-2024-355095</t>
  </si>
  <si>
    <t>ORD-2023-126505</t>
  </si>
  <si>
    <t>ORD-2023-340056</t>
  </si>
  <si>
    <t>ORD-2025-281413</t>
  </si>
  <si>
    <t>ORD-2023-713614</t>
  </si>
  <si>
    <t>ORD-2023-173313</t>
  </si>
  <si>
    <t>ORD-2024-496601</t>
  </si>
  <si>
    <t>ORD-2025-155182</t>
  </si>
  <si>
    <t>ORD-2023-244375</t>
  </si>
  <si>
    <t>ORD-2023-856322</t>
  </si>
  <si>
    <t>ORD-2024-594527</t>
  </si>
  <si>
    <t>ORD-2024-689872</t>
  </si>
  <si>
    <t>ORD-2025-246692</t>
  </si>
  <si>
    <t>ORD-2023-378676</t>
  </si>
  <si>
    <t>ORD-2024-243988</t>
  </si>
  <si>
    <t>ORD-2024-572312</t>
  </si>
  <si>
    <t>ORD-2025-281062</t>
  </si>
  <si>
    <t>ORD-2023-727290</t>
  </si>
  <si>
    <t>ORD-2025-993993</t>
  </si>
  <si>
    <t>ORD-2023-619493</t>
  </si>
  <si>
    <t>ORD-2024-947056</t>
  </si>
  <si>
    <t>ORD-2025-856556</t>
  </si>
  <si>
    <t>ORD-2024-442776</t>
  </si>
  <si>
    <t>ORD-2025-705398</t>
  </si>
  <si>
    <t>ORD-2023-689428</t>
  </si>
  <si>
    <t>ORD-2025-683247</t>
  </si>
  <si>
    <t>ORD-2024-585443</t>
  </si>
  <si>
    <t>ORD-2024-907733</t>
  </si>
  <si>
    <t>ORD-2024-550400</t>
  </si>
  <si>
    <t>ORD-2025-189846</t>
  </si>
  <si>
    <t>ORD-2025-752192</t>
  </si>
  <si>
    <t>ORD-2023-294716</t>
  </si>
  <si>
    <t>ORD-2023-552115</t>
  </si>
  <si>
    <t>ORD-2023-107265</t>
  </si>
  <si>
    <t>ORD-2025-262434</t>
  </si>
  <si>
    <t>ORD-2024-266562</t>
  </si>
  <si>
    <t>ORD-2024-838925</t>
  </si>
  <si>
    <t>ORD-2023-664790</t>
  </si>
  <si>
    <t>ORD-2024-331408</t>
  </si>
  <si>
    <t>ORD-2024-741404</t>
  </si>
  <si>
    <t>ORD-2024-341535</t>
  </si>
  <si>
    <t>ORD-2023-451931</t>
  </si>
  <si>
    <t>ORD-2025-532859</t>
  </si>
  <si>
    <t>ORD-2023-502205</t>
  </si>
  <si>
    <t>ORD-2024-930679</t>
  </si>
  <si>
    <t>ORD-2025-150713</t>
  </si>
  <si>
    <t>ORD-2024-756884</t>
  </si>
  <si>
    <t>ORD-2023-755337</t>
  </si>
  <si>
    <t>ORD-2025-907040</t>
  </si>
  <si>
    <t>ORD-2024-817997</t>
  </si>
  <si>
    <t>ORD-2025-649633</t>
  </si>
  <si>
    <t>ORD-2023-885216</t>
  </si>
  <si>
    <t>ORD-2023-561823</t>
  </si>
  <si>
    <t>ORD-2023-249805</t>
  </si>
  <si>
    <t>ORD-2023-548934</t>
  </si>
  <si>
    <t>ORD-2023-921939</t>
  </si>
  <si>
    <t>ORD-2023-961864</t>
  </si>
  <si>
    <t>ORD-2023-455933</t>
  </si>
  <si>
    <t>ORD-2025-728935</t>
  </si>
  <si>
    <t>Africa</t>
  </si>
  <si>
    <t>Asia</t>
  </si>
  <si>
    <t>Americas</t>
  </si>
  <si>
    <t>Europe</t>
  </si>
  <si>
    <t>Kenya</t>
  </si>
  <si>
    <t>Nigeria</t>
  </si>
  <si>
    <t>Japan</t>
  </si>
  <si>
    <t>Canada</t>
  </si>
  <si>
    <t>India</t>
  </si>
  <si>
    <t>Brazil</t>
  </si>
  <si>
    <t>Germany</t>
  </si>
  <si>
    <t>France</t>
  </si>
  <si>
    <t>United Kingdom</t>
  </si>
  <si>
    <t>China</t>
  </si>
  <si>
    <t>USA</t>
  </si>
  <si>
    <t>South Africa</t>
  </si>
  <si>
    <t>Kisumu</t>
  </si>
  <si>
    <t>Port Harcourt</t>
  </si>
  <si>
    <t>Nairobi</t>
  </si>
  <si>
    <t>Lagos</t>
  </si>
  <si>
    <t>Osaka</t>
  </si>
  <si>
    <t>Toronto</t>
  </si>
  <si>
    <t>Bengaluru</t>
  </si>
  <si>
    <t>Abuja</t>
  </si>
  <si>
    <t>São Paulo</t>
  </si>
  <si>
    <t>Berlin</t>
  </si>
  <si>
    <t>Brasília</t>
  </si>
  <si>
    <t>Marseille</t>
  </si>
  <si>
    <t>Birmingham</t>
  </si>
  <si>
    <t>Mombasa</t>
  </si>
  <si>
    <t>Shenzhen</t>
  </si>
  <si>
    <t>Chicago</t>
  </si>
  <si>
    <t>Nakuru</t>
  </si>
  <si>
    <t>Lyon</t>
  </si>
  <si>
    <t>Delhi</t>
  </si>
  <si>
    <t>Montreal</t>
  </si>
  <si>
    <t>Johannesburg</t>
  </si>
  <si>
    <t>London</t>
  </si>
  <si>
    <t>Munich</t>
  </si>
  <si>
    <t>Shanghai</t>
  </si>
  <si>
    <t>San Francisco</t>
  </si>
  <si>
    <t>Durban</t>
  </si>
  <si>
    <t>Vancouver</t>
  </si>
  <si>
    <t>Tokyo</t>
  </si>
  <si>
    <t>Paris</t>
  </si>
  <si>
    <t>Mumbai</t>
  </si>
  <si>
    <t>Rio de Janeiro</t>
  </si>
  <si>
    <t>Manchester</t>
  </si>
  <si>
    <t>Nagoya</t>
  </si>
  <si>
    <t>Cape Town</t>
  </si>
  <si>
    <t>Hyderabad</t>
  </si>
  <si>
    <t>Austin</t>
  </si>
  <si>
    <t>Frankfurt</t>
  </si>
  <si>
    <t>Beijing</t>
  </si>
  <si>
    <t>New York</t>
  </si>
  <si>
    <t>Corporate</t>
  </si>
  <si>
    <t>Education</t>
  </si>
  <si>
    <t>Non-Profit</t>
  </si>
  <si>
    <t>Consumer</t>
  </si>
  <si>
    <t>Small Business</t>
  </si>
  <si>
    <t>Enterprise</t>
  </si>
  <si>
    <t>Retail</t>
  </si>
  <si>
    <t>Online</t>
  </si>
  <si>
    <t>Marketplace</t>
  </si>
  <si>
    <t>Distributor</t>
  </si>
  <si>
    <t>Direct</t>
  </si>
  <si>
    <t>C. Otieno</t>
  </si>
  <si>
    <t>J. Njeri</t>
  </si>
  <si>
    <t>I. Johnson</t>
  </si>
  <si>
    <t>G. Dubois</t>
  </si>
  <si>
    <t>L. Okafor</t>
  </si>
  <si>
    <t>B. Chen</t>
  </si>
  <si>
    <t>E. Garcia</t>
  </si>
  <si>
    <t>O. Wang</t>
  </si>
  <si>
    <t>A. Patel</t>
  </si>
  <si>
    <t>F. Müller</t>
  </si>
  <si>
    <t>H. Kim</t>
  </si>
  <si>
    <t>K. Singh</t>
  </si>
  <si>
    <t>M. Rossi</t>
  </si>
  <si>
    <t>N. Brown</t>
  </si>
  <si>
    <t>D. Smith</t>
  </si>
  <si>
    <t>Components</t>
  </si>
  <si>
    <t>Printers</t>
  </si>
  <si>
    <t>Networking</t>
  </si>
  <si>
    <t>Phones</t>
  </si>
  <si>
    <t>Laptops</t>
  </si>
  <si>
    <t>Monitors</t>
  </si>
  <si>
    <t>Accessories</t>
  </si>
  <si>
    <t>CMP-8270</t>
  </si>
  <si>
    <t>PRN-9322</t>
  </si>
  <si>
    <t>NET-9666</t>
  </si>
  <si>
    <t>PHN-4556</t>
  </si>
  <si>
    <t>PRN-8041</t>
  </si>
  <si>
    <t>LAP-8555</t>
  </si>
  <si>
    <t>MON-8629</t>
  </si>
  <si>
    <t>PRN-6276</t>
  </si>
  <si>
    <t>MON-6892</t>
  </si>
  <si>
    <t>CMP-3731</t>
  </si>
  <si>
    <t>ACC-7938</t>
  </si>
  <si>
    <t>PHN-7019</t>
  </si>
  <si>
    <t>CMP-3693</t>
  </si>
  <si>
    <t>PRN-8392</t>
  </si>
  <si>
    <t>ACC-1663</t>
  </si>
  <si>
    <t>LAP-1698</t>
  </si>
  <si>
    <t>PRN-6791</t>
  </si>
  <si>
    <t>PHN-1197</t>
  </si>
  <si>
    <t>ACC-8098</t>
  </si>
  <si>
    <t>LAP-3385</t>
  </si>
  <si>
    <t>LAP-9815</t>
  </si>
  <si>
    <t>NET-3255</t>
  </si>
  <si>
    <t>ACC-3961</t>
  </si>
  <si>
    <t>LAP-4987</t>
  </si>
  <si>
    <t>CMP-2693</t>
  </si>
  <si>
    <t>ACC-8683</t>
  </si>
  <si>
    <t>PRN-4170</t>
  </si>
  <si>
    <t>PHN-6854</t>
  </si>
  <si>
    <t>PHN-1784</t>
  </si>
  <si>
    <t>NET-9716</t>
  </si>
  <si>
    <t>CMP-6919</t>
  </si>
  <si>
    <t>PHN-4854</t>
  </si>
  <si>
    <t>NET-7966</t>
  </si>
  <si>
    <t>LAP-9932</t>
  </si>
  <si>
    <t>CMP-1559</t>
  </si>
  <si>
    <t>PRN-4506</t>
  </si>
  <si>
    <t>CMP-7617</t>
  </si>
  <si>
    <t>CMP-8390</t>
  </si>
  <si>
    <t>PRN-7303</t>
  </si>
  <si>
    <t>PRN-6536</t>
  </si>
  <si>
    <t>MON-9967</t>
  </si>
  <si>
    <t>NET-1412</t>
  </si>
  <si>
    <t>PRN-3143</t>
  </si>
  <si>
    <t>PRN-9787</t>
  </si>
  <si>
    <t>CMP-5946</t>
  </si>
  <si>
    <t>NET-2062</t>
  </si>
  <si>
    <t>PRN-2542</t>
  </si>
  <si>
    <t>NET-2365</t>
  </si>
  <si>
    <t>NET-5268</t>
  </si>
  <si>
    <t>PRN-1504</t>
  </si>
  <si>
    <t>ACC-6348</t>
  </si>
  <si>
    <t>MON-4330</t>
  </si>
  <si>
    <t>LAP-7819</t>
  </si>
  <si>
    <t>LAP-3779</t>
  </si>
  <si>
    <t>NET-9989</t>
  </si>
  <si>
    <t>MON-4925</t>
  </si>
  <si>
    <t>LAP-6989</t>
  </si>
  <si>
    <t>ACC-5780</t>
  </si>
  <si>
    <t>ACC-1770</t>
  </si>
  <si>
    <t>ACC-2252</t>
  </si>
  <si>
    <t>CMP-8002</t>
  </si>
  <si>
    <t>CMP-6971</t>
  </si>
  <si>
    <t>PHN-8350</t>
  </si>
  <si>
    <t>MON-5188</t>
  </si>
  <si>
    <t>LAP-3393</t>
  </si>
  <si>
    <t>PHN-4644</t>
  </si>
  <si>
    <t>ACC-9150</t>
  </si>
  <si>
    <t>MON-6870</t>
  </si>
  <si>
    <t>MON-2296</t>
  </si>
  <si>
    <t>CMP-7371</t>
  </si>
  <si>
    <t>ACC-2761</t>
  </si>
  <si>
    <t>LAP-4517</t>
  </si>
  <si>
    <t>LAP-8489</t>
  </si>
  <si>
    <t>NET-1846</t>
  </si>
  <si>
    <t>CMP-5208</t>
  </si>
  <si>
    <t>CMP-1009</t>
  </si>
  <si>
    <t>ACC-4490</t>
  </si>
  <si>
    <t>ACC-9162</t>
  </si>
  <si>
    <t>CMP-5820</t>
  </si>
  <si>
    <t>MON-7943</t>
  </si>
  <si>
    <t>NET-5018</t>
  </si>
  <si>
    <t>PRN-9669</t>
  </si>
  <si>
    <t>CMP-2865</t>
  </si>
  <si>
    <t>MON-3371</t>
  </si>
  <si>
    <t>NET-7166</t>
  </si>
  <si>
    <t>CMP-4531</t>
  </si>
  <si>
    <t>CMP-8196</t>
  </si>
  <si>
    <t>CMP-2854</t>
  </si>
  <si>
    <t>MON-8973</t>
  </si>
  <si>
    <t>MON-2990</t>
  </si>
  <si>
    <t>NET-1966</t>
  </si>
  <si>
    <t>PHN-3482</t>
  </si>
  <si>
    <t>PRN-6490</t>
  </si>
  <si>
    <t>ACC-9038</t>
  </si>
  <si>
    <t>PHN-6954</t>
  </si>
  <si>
    <t>PRN-8970</t>
  </si>
  <si>
    <t>MON-1822</t>
  </si>
  <si>
    <t>ACC-5177</t>
  </si>
  <si>
    <t>NET-1804</t>
  </si>
  <si>
    <t>LAP-3679</t>
  </si>
  <si>
    <t>PHN-8368</t>
  </si>
  <si>
    <t>CMP-8141</t>
  </si>
  <si>
    <t>LAP-7136</t>
  </si>
  <si>
    <t>ACC-2386</t>
  </si>
  <si>
    <t>LAP-5150</t>
  </si>
  <si>
    <t>CMP-8101</t>
  </si>
  <si>
    <t>PHN-8970</t>
  </si>
  <si>
    <t>PHN-2341</t>
  </si>
  <si>
    <t>NET-6387</t>
  </si>
  <si>
    <t>ACC-9820</t>
  </si>
  <si>
    <t>CMP-6392</t>
  </si>
  <si>
    <t>LAP-9230</t>
  </si>
  <si>
    <t>NET-4241</t>
  </si>
  <si>
    <t>ACC-4511</t>
  </si>
  <si>
    <t>NET-3033</t>
  </si>
  <si>
    <t>MON-2828</t>
  </si>
  <si>
    <t>PRN-6429</t>
  </si>
  <si>
    <t>LAP-8214</t>
  </si>
  <si>
    <t>MON-9194</t>
  </si>
  <si>
    <t>LAP-2218</t>
  </si>
  <si>
    <t>NET-6370</t>
  </si>
  <si>
    <t>MON-3745</t>
  </si>
  <si>
    <t>PHN-7924</t>
  </si>
  <si>
    <t>NET-8561</t>
  </si>
  <si>
    <t>CMP-2136</t>
  </si>
  <si>
    <t>CMP-6352</t>
  </si>
  <si>
    <t>CMP-2040</t>
  </si>
  <si>
    <t>CMP-6346</t>
  </si>
  <si>
    <t>PHN-4356</t>
  </si>
  <si>
    <t>NET-4155</t>
  </si>
  <si>
    <t>MON-5179</t>
  </si>
  <si>
    <t>ACC-4056</t>
  </si>
  <si>
    <t>LAP-9782</t>
  </si>
  <si>
    <t>PHN-2875</t>
  </si>
  <si>
    <t>PRN-4788</t>
  </si>
  <si>
    <t>MON-3043</t>
  </si>
  <si>
    <t>CMP-3720</t>
  </si>
  <si>
    <t>PHN-8014</t>
  </si>
  <si>
    <t>PRN-4911</t>
  </si>
  <si>
    <t>ACC-1021</t>
  </si>
  <si>
    <t>MON-2266</t>
  </si>
  <si>
    <t>PHN-8057</t>
  </si>
  <si>
    <t>ACC-7078</t>
  </si>
  <si>
    <t>PRN-4453</t>
  </si>
  <si>
    <t>NET-2394</t>
  </si>
  <si>
    <t>LAP-1525</t>
  </si>
  <si>
    <t>LAP-3278</t>
  </si>
  <si>
    <t>ACC-6543</t>
  </si>
  <si>
    <t>PRN-4432</t>
  </si>
  <si>
    <t>PHN-4568</t>
  </si>
  <si>
    <t>PRN-6178</t>
  </si>
  <si>
    <t>LAP-6342</t>
  </si>
  <si>
    <t>PRN-8175</t>
  </si>
  <si>
    <t>PRN-7089</t>
  </si>
  <si>
    <t>ACC-4124</t>
  </si>
  <si>
    <t>NET-7924</t>
  </si>
  <si>
    <t>NET-8761</t>
  </si>
  <si>
    <t>CMP-3875</t>
  </si>
  <si>
    <t>ACC-3989</t>
  </si>
  <si>
    <t>PHN-9234</t>
  </si>
  <si>
    <t>MON-9906</t>
  </si>
  <si>
    <t>CMP-4610</t>
  </si>
  <si>
    <t>PHN-5445</t>
  </si>
  <si>
    <t>MON-9227</t>
  </si>
  <si>
    <t>PRN-4097</t>
  </si>
  <si>
    <t>MON-6699</t>
  </si>
  <si>
    <t>LAP-1482</t>
  </si>
  <si>
    <t>MON-2100</t>
  </si>
  <si>
    <t>MON-7602</t>
  </si>
  <si>
    <t>CMP-1072</t>
  </si>
  <si>
    <t>ACC-2735</t>
  </si>
  <si>
    <t>CMP-5211</t>
  </si>
  <si>
    <t>CMP-1632</t>
  </si>
  <si>
    <t>LAP-7099</t>
  </si>
  <si>
    <t>PRN-3785</t>
  </si>
  <si>
    <t>MON-6962</t>
  </si>
  <si>
    <t>PRN-5107</t>
  </si>
  <si>
    <t>CMP-9264</t>
  </si>
  <si>
    <t>MON-5259</t>
  </si>
  <si>
    <t>PRN-8137</t>
  </si>
  <si>
    <t>ACC-6777</t>
  </si>
  <si>
    <t>PHN-7488</t>
  </si>
  <si>
    <t>ACC-9591</t>
  </si>
  <si>
    <t>MON-5517</t>
  </si>
  <si>
    <t>MON-8758</t>
  </si>
  <si>
    <t>ACC-3385</t>
  </si>
  <si>
    <t>MON-1593</t>
  </si>
  <si>
    <t>ACC-4631</t>
  </si>
  <si>
    <t>MON-7869</t>
  </si>
  <si>
    <t>MON-4271</t>
  </si>
  <si>
    <t>LAP-5531</t>
  </si>
  <si>
    <t>MON-7511</t>
  </si>
  <si>
    <t>LAP-7979</t>
  </si>
  <si>
    <t>PRN-4983</t>
  </si>
  <si>
    <t>NET-5941</t>
  </si>
  <si>
    <t>MON-6341</t>
  </si>
  <si>
    <t>PHN-9789</t>
  </si>
  <si>
    <t>PHN-5082</t>
  </si>
  <si>
    <t>NET-3460</t>
  </si>
  <si>
    <t>PRN-7019</t>
  </si>
  <si>
    <t>PHN-3159</t>
  </si>
  <si>
    <t>PRN-8604</t>
  </si>
  <si>
    <t>PHN-2013</t>
  </si>
  <si>
    <t>NET-6036</t>
  </si>
  <si>
    <t>MON-4959</t>
  </si>
  <si>
    <t>MON-1663</t>
  </si>
  <si>
    <t>CMP-7256</t>
  </si>
  <si>
    <t>ACC-1659</t>
  </si>
  <si>
    <t>PRN-6068</t>
  </si>
  <si>
    <t>ACC-8999</t>
  </si>
  <si>
    <t>CMP-3978</t>
  </si>
  <si>
    <t>MON-7868</t>
  </si>
  <si>
    <t>PRN-3014</t>
  </si>
  <si>
    <t>PHN-1671</t>
  </si>
  <si>
    <t>ACC-5260</t>
  </si>
  <si>
    <t>NET-7588</t>
  </si>
  <si>
    <t>MON-1572</t>
  </si>
  <si>
    <t>MON-2537</t>
  </si>
  <si>
    <t>PRN-5666</t>
  </si>
  <si>
    <t>PRN-2749</t>
  </si>
  <si>
    <t>CMP-4970</t>
  </si>
  <si>
    <t>ACC-3551</t>
  </si>
  <si>
    <t>CMP-7063</t>
  </si>
  <si>
    <t>NET-1612</t>
  </si>
  <si>
    <t>LAP-9766</t>
  </si>
  <si>
    <t>PHN-7274</t>
  </si>
  <si>
    <t>NET-1645</t>
  </si>
  <si>
    <t>ACC-5079</t>
  </si>
  <si>
    <t>PRN-2098</t>
  </si>
  <si>
    <t>PRN-7049</t>
  </si>
  <si>
    <t>CMP-6925</t>
  </si>
  <si>
    <t>PHN-2787</t>
  </si>
  <si>
    <t>PRN-1141</t>
  </si>
  <si>
    <t>MON-5249</t>
  </si>
  <si>
    <t>CMP-8230</t>
  </si>
  <si>
    <t>PRN-7816</t>
  </si>
  <si>
    <t>PHN-8804</t>
  </si>
  <si>
    <t>CMP-8851</t>
  </si>
  <si>
    <t>PHN-2447</t>
  </si>
  <si>
    <t>LAP-2846</t>
  </si>
  <si>
    <t>PRN-5005</t>
  </si>
  <si>
    <t>PHN-3800</t>
  </si>
  <si>
    <t>LAP-4828</t>
  </si>
  <si>
    <t>PRN-5492</t>
  </si>
  <si>
    <t>PHN-7132</t>
  </si>
  <si>
    <t>PHN-4741</t>
  </si>
  <si>
    <t>LAP-2774</t>
  </si>
  <si>
    <t>MON-2842</t>
  </si>
  <si>
    <t>NET-2628</t>
  </si>
  <si>
    <t>MON-2998</t>
  </si>
  <si>
    <t>CMP-7563</t>
  </si>
  <si>
    <t>LAP-6160</t>
  </si>
  <si>
    <t>MON-4361</t>
  </si>
  <si>
    <t>PRN-2829</t>
  </si>
  <si>
    <t>MON-8939</t>
  </si>
  <si>
    <t>LAP-5009</t>
  </si>
  <si>
    <t>CMP-4807</t>
  </si>
  <si>
    <t>NET-2439</t>
  </si>
  <si>
    <t>MON-7626</t>
  </si>
  <si>
    <t>ACC-3567</t>
  </si>
  <si>
    <t>CMP-4630</t>
  </si>
  <si>
    <t>ACC-1882</t>
  </si>
  <si>
    <t>NET-9125</t>
  </si>
  <si>
    <t>PHN-3819</t>
  </si>
  <si>
    <t>LAP-3490</t>
  </si>
  <si>
    <t>PRN-1276</t>
  </si>
  <si>
    <t>MON-9733</t>
  </si>
  <si>
    <t>CMP-9392</t>
  </si>
  <si>
    <t>PHN-3014</t>
  </si>
  <si>
    <t>PRN-6776</t>
  </si>
  <si>
    <t>ACC-3951</t>
  </si>
  <si>
    <t>MON-1436</t>
  </si>
  <si>
    <t>MON-8651</t>
  </si>
  <si>
    <t>MON-3307</t>
  </si>
  <si>
    <t>PRN-8758</t>
  </si>
  <si>
    <t>LAP-7056</t>
  </si>
  <si>
    <t>NET-5523</t>
  </si>
  <si>
    <t>ACC-8094</t>
  </si>
  <si>
    <t>PHN-6832</t>
  </si>
  <si>
    <t>LAP-2378</t>
  </si>
  <si>
    <t>MON-5424</t>
  </si>
  <si>
    <t>NET-8430</t>
  </si>
  <si>
    <t>PHN-1234</t>
  </si>
  <si>
    <t>LAP-9016</t>
  </si>
  <si>
    <t>LAP-9931</t>
  </si>
  <si>
    <t>PHN-6818</t>
  </si>
  <si>
    <t>PHN-3803</t>
  </si>
  <si>
    <t>NET-9835</t>
  </si>
  <si>
    <t>ACC-6223</t>
  </si>
  <si>
    <t>CMP-8659</t>
  </si>
  <si>
    <t>ACC-4483</t>
  </si>
  <si>
    <t>PRN-8763</t>
  </si>
  <si>
    <t>ACC-8557</t>
  </si>
  <si>
    <t>ACC-1492</t>
  </si>
  <si>
    <t>CMP-3743</t>
  </si>
  <si>
    <t>LAP-1619</t>
  </si>
  <si>
    <t>PRN-7976</t>
  </si>
  <si>
    <t>MON-4326</t>
  </si>
  <si>
    <t>MON-5444</t>
  </si>
  <si>
    <t>ACC-5422</t>
  </si>
  <si>
    <t>CMP-9307</t>
  </si>
  <si>
    <t>PRN-6520</t>
  </si>
  <si>
    <t>NET-1699</t>
  </si>
  <si>
    <t>PHN-5316</t>
  </si>
  <si>
    <t>LAP-4607</t>
  </si>
  <si>
    <t>MON-5276</t>
  </si>
  <si>
    <t>ACC-9533</t>
  </si>
  <si>
    <t>NET-3749</t>
  </si>
  <si>
    <t>PRN-2991</t>
  </si>
  <si>
    <t>LAP-4551</t>
  </si>
  <si>
    <t>MON-6310</t>
  </si>
  <si>
    <t>NET-1166</t>
  </si>
  <si>
    <t>ACC-2903</t>
  </si>
  <si>
    <t>PRN-2293</t>
  </si>
  <si>
    <t>MON-1389</t>
  </si>
  <si>
    <t>CMP-4093</t>
  </si>
  <si>
    <t>PHN-6131</t>
  </si>
  <si>
    <t>NET-4104</t>
  </si>
  <si>
    <t>MON-9319</t>
  </si>
  <si>
    <t>ACC-2988</t>
  </si>
  <si>
    <t>PHN-9399</t>
  </si>
  <si>
    <t>NET-4554</t>
  </si>
  <si>
    <t>NET-5195</t>
  </si>
  <si>
    <t>CMP-9801</t>
  </si>
  <si>
    <t>CMP-3093</t>
  </si>
  <si>
    <t>ACC-2364</t>
  </si>
  <si>
    <t>CMP-5138</t>
  </si>
  <si>
    <t>PHN-2337</t>
  </si>
  <si>
    <t>MON-2993</t>
  </si>
  <si>
    <t>LAP-9024</t>
  </si>
  <si>
    <t>PHN-6307</t>
  </si>
  <si>
    <t>NET-9003</t>
  </si>
  <si>
    <t>ACC-3068</t>
  </si>
  <si>
    <t>ACC-1060</t>
  </si>
  <si>
    <t>PHN-3854</t>
  </si>
  <si>
    <t>PRN-1086</t>
  </si>
  <si>
    <t>PHN-7815</t>
  </si>
  <si>
    <t>PRN-5384</t>
  </si>
  <si>
    <t>ACC-8178</t>
  </si>
  <si>
    <t>MON-1018</t>
  </si>
  <si>
    <t>ACC-1238</t>
  </si>
  <si>
    <t>NET-1816</t>
  </si>
  <si>
    <t>PRN-4893</t>
  </si>
  <si>
    <t>PHN-1717</t>
  </si>
  <si>
    <t>NET-9575</t>
  </si>
  <si>
    <t>LAP-3604</t>
  </si>
  <si>
    <t>ACC-6626</t>
  </si>
  <si>
    <t>PHN-1670</t>
  </si>
  <si>
    <t>CMP-4792</t>
  </si>
  <si>
    <t>LAP-1990</t>
  </si>
  <si>
    <t>PRN-7410</t>
  </si>
  <si>
    <t>MON-4278</t>
  </si>
  <si>
    <t>ACC-5334</t>
  </si>
  <si>
    <t>NET-8957</t>
  </si>
  <si>
    <t>PRN-9960</t>
  </si>
  <si>
    <t>ACC-3103</t>
  </si>
  <si>
    <t>PRN-9490</t>
  </si>
  <si>
    <t>NET-3850</t>
  </si>
  <si>
    <t>ACC-7047</t>
  </si>
  <si>
    <t>PRN-6660</t>
  </si>
  <si>
    <t>ACC-7838</t>
  </si>
  <si>
    <t>PHN-5383</t>
  </si>
  <si>
    <t>LAP-3904</t>
  </si>
  <si>
    <t>MON-5749</t>
  </si>
  <si>
    <t>PRN-3690</t>
  </si>
  <si>
    <t>CMP-7055</t>
  </si>
  <si>
    <t>PHN-6866</t>
  </si>
  <si>
    <t>CMP-3259</t>
  </si>
  <si>
    <t>LAP-6750</t>
  </si>
  <si>
    <t>PRN-3775</t>
  </si>
  <si>
    <t>LAP-2942</t>
  </si>
  <si>
    <t>PHN-2036</t>
  </si>
  <si>
    <t>MON-4373</t>
  </si>
  <si>
    <t>PRN-8657</t>
  </si>
  <si>
    <t>PHN-7974</t>
  </si>
  <si>
    <t>PHN-4915</t>
  </si>
  <si>
    <t>NET-3535</t>
  </si>
  <si>
    <t>CMP-2574</t>
  </si>
  <si>
    <t>NET-7901</t>
  </si>
  <si>
    <t>NET-5482</t>
  </si>
  <si>
    <t>NET-1336</t>
  </si>
  <si>
    <t>PRN-5876</t>
  </si>
  <si>
    <t>NET-3828</t>
  </si>
  <si>
    <t>MON-7622</t>
  </si>
  <si>
    <t>LAP-2806</t>
  </si>
  <si>
    <t>PRN-8850</t>
  </si>
  <si>
    <t>LAP-9100</t>
  </si>
  <si>
    <t>LAP-5763</t>
  </si>
  <si>
    <t>LAP-7320</t>
  </si>
  <si>
    <t>MON-5891</t>
  </si>
  <si>
    <t>PRN-1183</t>
  </si>
  <si>
    <t>CMP-2096</t>
  </si>
  <si>
    <t>PHN-3398</t>
  </si>
  <si>
    <t>CMP-8545</t>
  </si>
  <si>
    <t>ACC-1249</t>
  </si>
  <si>
    <t>MON-9662</t>
  </si>
  <si>
    <t>LAP-8347</t>
  </si>
  <si>
    <t>CMP-6898</t>
  </si>
  <si>
    <t>MON-3504</t>
  </si>
  <si>
    <t>NET-3432</t>
  </si>
  <si>
    <t>PRN-5591</t>
  </si>
  <si>
    <t>CMP-2015</t>
  </si>
  <si>
    <t>LAP-9901</t>
  </si>
  <si>
    <t>CMP-8658</t>
  </si>
  <si>
    <t>MON-2073</t>
  </si>
  <si>
    <t>PRN-9378</t>
  </si>
  <si>
    <t>PHN-5887</t>
  </si>
  <si>
    <t>LAP-8119</t>
  </si>
  <si>
    <t>ACC-9644</t>
  </si>
  <si>
    <t>LAP-7009</t>
  </si>
  <si>
    <t>PRN-1725</t>
  </si>
  <si>
    <t>PHN-8483</t>
  </si>
  <si>
    <t>PHN-3971</t>
  </si>
  <si>
    <t>NET-6578</t>
  </si>
  <si>
    <t>PRN-9975</t>
  </si>
  <si>
    <t>ACC-1075</t>
  </si>
  <si>
    <t>ACC-2902</t>
  </si>
  <si>
    <t>PRN-5815</t>
  </si>
  <si>
    <t>MON-4195</t>
  </si>
  <si>
    <t>PHN-8478</t>
  </si>
  <si>
    <t>PHN-1044</t>
  </si>
  <si>
    <t>LAP-8910</t>
  </si>
  <si>
    <t>PHN-2859</t>
  </si>
  <si>
    <t>PRN-6308</t>
  </si>
  <si>
    <t>LAP-8469</t>
  </si>
  <si>
    <t>LAP-7553</t>
  </si>
  <si>
    <t>PHN-3077</t>
  </si>
  <si>
    <t>MON-3350</t>
  </si>
  <si>
    <t>PHN-5683</t>
  </si>
  <si>
    <t>PRN-2409</t>
  </si>
  <si>
    <t>LAP-8825</t>
  </si>
  <si>
    <t>MON-8697</t>
  </si>
  <si>
    <t>MON-4789</t>
  </si>
  <si>
    <t>NET-7998</t>
  </si>
  <si>
    <t>PHN-8891</t>
  </si>
  <si>
    <t>NET-9832</t>
  </si>
  <si>
    <t>CMP-8604</t>
  </si>
  <si>
    <t>ACC-6594</t>
  </si>
  <si>
    <t>NET-2499</t>
  </si>
  <si>
    <t>PRN-1923</t>
  </si>
  <si>
    <t>PHN-4346</t>
  </si>
  <si>
    <t>ACC-1375</t>
  </si>
  <si>
    <t>PRN-4892</t>
  </si>
  <si>
    <t>PRN-9557</t>
  </si>
  <si>
    <t>PRN-8008</t>
  </si>
  <si>
    <t>LAP-1946</t>
  </si>
  <si>
    <t>MON-7106</t>
  </si>
  <si>
    <t>MON-5386</t>
  </si>
  <si>
    <t>PHN-2436</t>
  </si>
  <si>
    <t>PRN-2301</t>
  </si>
  <si>
    <t>ACC-3645</t>
  </si>
  <si>
    <t>CMP-6811</t>
  </si>
  <si>
    <t>PHN-5675</t>
  </si>
  <si>
    <t>MON-6882</t>
  </si>
  <si>
    <t>ACC-8620</t>
  </si>
  <si>
    <t>PHN-6506</t>
  </si>
  <si>
    <t>MON-5086</t>
  </si>
  <si>
    <t>LAP-4899</t>
  </si>
  <si>
    <t>CMP-3313</t>
  </si>
  <si>
    <t>CMP-6649</t>
  </si>
  <si>
    <t>ACC-5206</t>
  </si>
  <si>
    <t>PRN-6911</t>
  </si>
  <si>
    <t>NET-5270</t>
  </si>
  <si>
    <t>CMP-5658</t>
  </si>
  <si>
    <t>CMP-3938</t>
  </si>
  <si>
    <t>ACC-7671</t>
  </si>
  <si>
    <t>NET-6014</t>
  </si>
  <si>
    <t>CMP-4159</t>
  </si>
  <si>
    <t>PRN-3159</t>
  </si>
  <si>
    <t>PRN-9488</t>
  </si>
  <si>
    <t>PRN-7079</t>
  </si>
  <si>
    <t>CMP-1220</t>
  </si>
  <si>
    <t>MON-2462</t>
  </si>
  <si>
    <t>PHN-9465</t>
  </si>
  <si>
    <t>PRN-1271</t>
  </si>
  <si>
    <t>LAP-1066</t>
  </si>
  <si>
    <t>CMP-8675</t>
  </si>
  <si>
    <t>LAP-1178</t>
  </si>
  <si>
    <t>ACC-1731</t>
  </si>
  <si>
    <t>NET-1893</t>
  </si>
  <si>
    <t>PRN-3917</t>
  </si>
  <si>
    <t>LAP-3220</t>
  </si>
  <si>
    <t>PHN-2462</t>
  </si>
  <si>
    <t>NET-2894</t>
  </si>
  <si>
    <t>CMP-2335</t>
  </si>
  <si>
    <t>PHN-5938</t>
  </si>
  <si>
    <t>PRN-1371</t>
  </si>
  <si>
    <t>PRN-5813</t>
  </si>
  <si>
    <t>PHN-6480</t>
  </si>
  <si>
    <t>ACC-2990</t>
  </si>
  <si>
    <t>CMP-5435</t>
  </si>
  <si>
    <t>ACC-1596</t>
  </si>
  <si>
    <t>PHN-7852</t>
  </si>
  <si>
    <t>ACC-7240</t>
  </si>
  <si>
    <t>MON-8867</t>
  </si>
  <si>
    <t>NET-1228</t>
  </si>
  <si>
    <t>NET-1145</t>
  </si>
  <si>
    <t>ACC-2867</t>
  </si>
  <si>
    <t>MON-9274</t>
  </si>
  <si>
    <t>MON-4830</t>
  </si>
  <si>
    <t>PHN-9107</t>
  </si>
  <si>
    <t>PRN-1060</t>
  </si>
  <si>
    <t>NET-8329</t>
  </si>
  <si>
    <t>NET-6269</t>
  </si>
  <si>
    <t>CMP-6529</t>
  </si>
  <si>
    <t>PHN-8776</t>
  </si>
  <si>
    <t>NET-3728</t>
  </si>
  <si>
    <t>LAP-3565</t>
  </si>
  <si>
    <t>LAP-5078</t>
  </si>
  <si>
    <t>MON-2465</t>
  </si>
  <si>
    <t>CMP-3223</t>
  </si>
  <si>
    <t>CMP-8127</t>
  </si>
  <si>
    <t>PHN-1924</t>
  </si>
  <si>
    <t>CMP-1156</t>
  </si>
  <si>
    <t>LAP-3905</t>
  </si>
  <si>
    <t>PRN-1786</t>
  </si>
  <si>
    <t>ACC-3349</t>
  </si>
  <si>
    <t>NET-4228</t>
  </si>
  <si>
    <t>CMP-5633</t>
  </si>
  <si>
    <t>CMP-5825</t>
  </si>
  <si>
    <t>LAP-6499</t>
  </si>
  <si>
    <t>ACC-3721</t>
  </si>
  <si>
    <t>MON-6190</t>
  </si>
  <si>
    <t>CMP-2410</t>
  </si>
  <si>
    <t>PRN-2641</t>
  </si>
  <si>
    <t>PRN-1882</t>
  </si>
  <si>
    <t>PRN-1641</t>
  </si>
  <si>
    <t>LAP-1739</t>
  </si>
  <si>
    <t>PRN-4732</t>
  </si>
  <si>
    <t>NET-9569</t>
  </si>
  <si>
    <t>PHN-3007</t>
  </si>
  <si>
    <t>MON-9216</t>
  </si>
  <si>
    <t>PHN-8072</t>
  </si>
  <si>
    <t>LAP-1308</t>
  </si>
  <si>
    <t>LAP-7353</t>
  </si>
  <si>
    <t>NET-6533</t>
  </si>
  <si>
    <t>ACC-9445</t>
  </si>
  <si>
    <t>PRN-1654</t>
  </si>
  <si>
    <t>NET-8787</t>
  </si>
  <si>
    <t>LAP-1989</t>
  </si>
  <si>
    <t>MON-8688</t>
  </si>
  <si>
    <t>ACC-8242</t>
  </si>
  <si>
    <t>LAP-4666</t>
  </si>
  <si>
    <t>NET-5196</t>
  </si>
  <si>
    <t>MON-8422</t>
  </si>
  <si>
    <t>ACC-3415</t>
  </si>
  <si>
    <t>PRN-9624</t>
  </si>
  <si>
    <t>MON-6287</t>
  </si>
  <si>
    <t>NET-4491</t>
  </si>
  <si>
    <t>MON-4317</t>
  </si>
  <si>
    <t>NET-7349</t>
  </si>
  <si>
    <t>ACC-5150</t>
  </si>
  <si>
    <t>ACC-5144</t>
  </si>
  <si>
    <t>PHN-6111</t>
  </si>
  <si>
    <t>ACC-9283</t>
  </si>
  <si>
    <t>PRN-2407</t>
  </si>
  <si>
    <t>MON-7099</t>
  </si>
  <si>
    <t>ACC-7354</t>
  </si>
  <si>
    <t>PRN-6585</t>
  </si>
  <si>
    <t>CMP-9498</t>
  </si>
  <si>
    <t>PHN-1919</t>
  </si>
  <si>
    <t>MON-6053</t>
  </si>
  <si>
    <t>NET-2502</t>
  </si>
  <si>
    <t>LAP-5689</t>
  </si>
  <si>
    <t>CMP-5911</t>
  </si>
  <si>
    <t>LAP-7523</t>
  </si>
  <si>
    <t>MON-1118</t>
  </si>
  <si>
    <t>NET-9177</t>
  </si>
  <si>
    <t>CMP-6495</t>
  </si>
  <si>
    <t>ACC-4587</t>
  </si>
  <si>
    <t>PHN-4395</t>
  </si>
  <si>
    <t>LAP-3581</t>
  </si>
  <si>
    <t>MON-6065</t>
  </si>
  <si>
    <t>CMP-4945</t>
  </si>
  <si>
    <t>NET-3785</t>
  </si>
  <si>
    <t>NET-3689</t>
  </si>
  <si>
    <t>ACC-3833</t>
  </si>
  <si>
    <t>NET-2932</t>
  </si>
  <si>
    <t>PHN-7636</t>
  </si>
  <si>
    <t>CMP-1223</t>
  </si>
  <si>
    <t>MON-7207</t>
  </si>
  <si>
    <t>LAP-4483</t>
  </si>
  <si>
    <t>LAP-1969</t>
  </si>
  <si>
    <t>PHN-4566</t>
  </si>
  <si>
    <t>PHN-5366</t>
  </si>
  <si>
    <t>CMP-9001</t>
  </si>
  <si>
    <t>PHN-9677</t>
  </si>
  <si>
    <t>ACC-1604</t>
  </si>
  <si>
    <t>ACC-4815</t>
  </si>
  <si>
    <t>CMP-5311</t>
  </si>
  <si>
    <t>NET-1282</t>
  </si>
  <si>
    <t>MON-1564</t>
  </si>
  <si>
    <t>ACC-7906</t>
  </si>
  <si>
    <t>LAP-6577</t>
  </si>
  <si>
    <t>CMP-5065</t>
  </si>
  <si>
    <t>PRN-4787</t>
  </si>
  <si>
    <t>PRN-9867</t>
  </si>
  <si>
    <t>MON-2849</t>
  </si>
  <si>
    <t>LAP-8633</t>
  </si>
  <si>
    <t>PRN-9793</t>
  </si>
  <si>
    <t>NET-6218</t>
  </si>
  <si>
    <t>PRN-6131</t>
  </si>
  <si>
    <t>PRN-5067</t>
  </si>
  <si>
    <t>LAP-4932</t>
  </si>
  <si>
    <t>ACC-7713</t>
  </si>
  <si>
    <t>PHN-7379</t>
  </si>
  <si>
    <t>PRN-5569</t>
  </si>
  <si>
    <t>CMP-1470</t>
  </si>
  <si>
    <t>PRN-9249</t>
  </si>
  <si>
    <t>PRN-4906</t>
  </si>
  <si>
    <t>MON-8129</t>
  </si>
  <si>
    <t>NET-5987</t>
  </si>
  <si>
    <t>NET-5423</t>
  </si>
  <si>
    <t>PRN-5264</t>
  </si>
  <si>
    <t>NET-8856</t>
  </si>
  <si>
    <t>MON-4215</t>
  </si>
  <si>
    <t>PRN-5753</t>
  </si>
  <si>
    <t>CMP-5006</t>
  </si>
  <si>
    <t>ACC-4766</t>
  </si>
  <si>
    <t>NET-8610</t>
  </si>
  <si>
    <t>NET-4675</t>
  </si>
  <si>
    <t>ACC-1028</t>
  </si>
  <si>
    <t>NET-4735</t>
  </si>
  <si>
    <t>NET-2460</t>
  </si>
  <si>
    <t>CMP-1555</t>
  </si>
  <si>
    <t>MON-3773</t>
  </si>
  <si>
    <t>PHN-4677</t>
  </si>
  <si>
    <t>CMP-1940</t>
  </si>
  <si>
    <t>PHN-9184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</si>
  <si>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</si>
  <si>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</si>
  <si>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</si>
  <si>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</si>
  <si>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</si>
  <si>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</si>
  <si>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</si>
  <si>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</si>
  <si>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</si>
  <si>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</si>
  <si>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</si>
  <si>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</si>
  <si>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</si>
  <si>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</si>
  <si>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</si>
  <si>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</si>
  <si>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</si>
  <si>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</si>
  <si>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</si>
  <si>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</si>
  <si>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</si>
  <si>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</si>
  <si>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</si>
  <si>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</si>
  <si>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</si>
  <si>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</si>
  <si>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</si>
  <si>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</si>
  <si>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</si>
  <si>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</si>
  <si>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</si>
  <si>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</si>
  <si>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</si>
  <si>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</si>
  <si>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</si>
  <si>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</si>
  <si>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</si>
  <si>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</si>
  <si>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</si>
  <si>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</si>
  <si>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</si>
  <si>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</si>
  <si>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</si>
  <si>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</si>
  <si>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</si>
  <si>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</si>
  <si>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</si>
  <si>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</si>
  <si>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</si>
  <si>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</si>
  <si>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</si>
  <si>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</si>
  <si>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</si>
  <si>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</si>
  <si>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</si>
  <si>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</si>
  <si>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</si>
  <si>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</si>
  <si>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</si>
  <si>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Unknown</t>
  </si>
  <si>
    <t>Unit Price Flags</t>
  </si>
  <si>
    <t>Assumptions</t>
  </si>
  <si>
    <t>1.You cannot require what is not ordered , assumed order lead time- 7 days</t>
  </si>
  <si>
    <t>Corrected Unit Price</t>
  </si>
  <si>
    <t>Corrected Required Date</t>
  </si>
  <si>
    <t>Derived Lead Days</t>
  </si>
  <si>
    <t>Gross Revenue</t>
  </si>
  <si>
    <t>Cost of Goods</t>
  </si>
  <si>
    <t>Gross Profit</t>
  </si>
  <si>
    <t>MarginPct</t>
  </si>
  <si>
    <t>Order date-Month</t>
  </si>
  <si>
    <t>Quarter</t>
  </si>
  <si>
    <t>Price Band</t>
  </si>
  <si>
    <t>Row Labels</t>
  </si>
  <si>
    <t>(blank)</t>
  </si>
  <si>
    <t>Grand Total</t>
  </si>
  <si>
    <t>Column Labels</t>
  </si>
  <si>
    <t>Sum of Gross Revenue</t>
  </si>
  <si>
    <t>First Purchase date</t>
  </si>
  <si>
    <t>2023-01</t>
  </si>
  <si>
    <t>2023-03</t>
  </si>
  <si>
    <t>Cumulative Gross Revenue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</si>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</sst>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mmm\-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9" fontId="0" fillId="0" borderId="0" xfId="1" applyFon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3" xfId="0" applyFont="1" applyFill="1" applyBorder="1" applyAlignment="1">
      <alignment horizontal="center" vertical="top"/>
    </xf>
    <xf numFmtId="43" fontId="1" fillId="0" borderId="3" xfId="2" applyFont="1" applyFill="1" applyBorder="1" applyAlignment="1">
      <alignment horizontal="center" vertical="top"/>
    </xf>
    <xf numFmtId="43" fontId="0" fillId="0" borderId="0" xfId="2" applyFon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1" fillId="0" borderId="3" xfId="0" applyNumberFormat="1" applyFont="1" applyFill="1" applyBorder="1" applyAlignment="1">
      <alignment horizontal="center" vertical="top"/>
    </xf>
    <xf numFmtId="165" fontId="0" fillId="0" borderId="0" xfId="0" applyNumberFormat="1"/>
    <xf numFmtId="10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16"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64" formatCode="[$-409]d\-mmm\-yy;@"/>
    </dxf>
    <dxf>
      <numFmt numFmtId="164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86.9463412037" createdVersion="6" refreshedVersion="6" minRefreshableVersion="3" recordCount="633">
  <cacheSource type="worksheet">
    <worksheetSource ref="A1:AB1048576" sheet="Data"/>
  </cacheSource>
  <cacheFields count="28">
    <cacheField name="OrderID" numFmtId="0">
      <sharedItems containsBlank="1"/>
    </cacheField>
    <cacheField name="OrderDate" numFmtId="164">
      <sharedItems containsNonDate="0" containsDate="1" containsString="0" containsBlank="1" minDate="2023-01-02T00:00:00" maxDate="2025-09-16T00:00:00"/>
    </cacheField>
    <cacheField name="RequiredDate" numFmtId="164">
      <sharedItems containsNonDate="0" containsDate="1" containsString="0" containsBlank="1" minDate="2023-01-05T00:00:00" maxDate="2025-10-06T00:00:00"/>
    </cacheField>
    <cacheField name="Region" numFmtId="0">
      <sharedItems containsBlank="1"/>
    </cacheField>
    <cacheField name="Country" numFmtId="0">
      <sharedItems containsBlank="1" count="13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  <m/>
      </sharedItems>
    </cacheField>
    <cacheField name="City" numFmtId="0">
      <sharedItems containsBlank="1"/>
    </cacheField>
    <cacheField name="CustomerSegment" numFmtId="0">
      <sharedItems containsBlank="1"/>
    </cacheField>
    <cacheField name="Channel" numFmtId="49">
      <sharedItems containsBlank="1"/>
    </cacheField>
    <cacheField name="Salesperson" numFmtId="49">
      <sharedItems containsBlank="1"/>
    </cacheField>
    <cacheField name="ProductCategory" numFmtId="49">
      <sharedItems containsBlank="1" count="8">
        <s v="Components"/>
        <s v="Printers"/>
        <s v="Networking"/>
        <s v="Phones"/>
        <s v="Laptops"/>
        <s v="Monitors"/>
        <s v="Accessories"/>
        <m/>
      </sharedItems>
    </cacheField>
    <cacheField name="SKU" numFmtId="0">
      <sharedItems containsBlank="1" count="631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  <m/>
      </sharedItems>
    </cacheField>
    <cacheField name="UnitCost" numFmtId="2">
      <sharedItems containsString="0" containsBlank="1" containsNumber="1" minValue="5.34" maxValue="1495.79"/>
    </cacheField>
    <cacheField name="UnitPrice" numFmtId="2">
      <sharedItems containsString="0" containsBlank="1" containsNumber="1" minValue="-33.659999999999997" maxValue="3661.07"/>
    </cacheField>
    <cacheField name="DiscountPct" numFmtId="0">
      <sharedItems containsString="0" containsBlank="1" containsNumber="1" minValue="0" maxValue="0.56499999999999995"/>
    </cacheField>
    <cacheField name="Quantity" numFmtId="0">
      <sharedItems containsString="0" containsBlank="1" containsNumber="1" containsInteger="1" minValue="2" maxValue="61"/>
    </cacheField>
    <cacheField name="Corrected Required Date" numFmtId="164">
      <sharedItems containsNonDate="0" containsDate="1" containsString="0" containsBlank="1" minDate="2023-01-05T00:00:00" maxDate="2025-10-06T00:00:00"/>
    </cacheField>
    <cacheField name="Unit Price Flags" numFmtId="0">
      <sharedItems containsBlank="1"/>
    </cacheField>
    <cacheField name="Corrected Unit Price" numFmtId="0">
      <sharedItems containsString="0" containsBlank="1" containsNumber="1" minValue="4.22" maxValue="3661.07"/>
    </cacheField>
    <cacheField name="Derived Lead Days" numFmtId="0">
      <sharedItems containsString="0" containsBlank="1" containsNumber="1" containsInteger="1" minValue="0" maxValue="30"/>
    </cacheField>
    <cacheField name="Gross Revenue" numFmtId="43">
      <sharedItems containsString="0" containsBlank="1" containsNumber="1" minValue="18.659839999999999" maxValue="139277.83032000001" count="633">
        <n v="4866.3287999999993"/>
        <n v="17960.432489999999"/>
        <n v="319.72248000000002"/>
        <n v="5225.2710400000005"/>
        <n v="10957.9797"/>
        <n v="4141.7599999999993"/>
        <n v="2886.4496399999998"/>
        <n v="685.06776000000002"/>
        <n v="14714.12934"/>
        <n v="60928.502359999999"/>
        <n v="16006.14344"/>
        <n v="10370.549999999999"/>
        <n v="4968.5039999999999"/>
        <n v="21585.15"/>
        <n v="7578.84"/>
        <n v="7090.5672000000004"/>
        <n v="25948.414799999995"/>
        <n v="35367.211040000002"/>
        <n v="38096.18406"/>
        <n v="39263.702919999996"/>
        <n v="23782.310720000001"/>
        <n v="19903.585040000002"/>
        <n v="10936.992"/>
        <n v="20225.2248"/>
        <n v="24894.430559999997"/>
        <n v="8596.2905599999995"/>
        <n v="1756.6999999999998"/>
        <n v="3980.7075"/>
        <n v="3913.2000000000003"/>
        <n v="20084.133720000002"/>
        <n v="9805.8573800000013"/>
        <n v="26150.364320000001"/>
        <n v="9647.3852800000004"/>
        <n v="13218.5"/>
        <n v="27331.829999999998"/>
        <n v="6631.6443100000006"/>
        <n v="18957.37689"/>
        <n v="11995.153920000001"/>
        <n v="14968.239"/>
        <n v="3562.1983800000003"/>
        <n v="41106.800970000004"/>
        <n v="10558.74"/>
        <n v="30596.565999999999"/>
        <n v="10666.229420000001"/>
        <n v="17930.494560000003"/>
        <n v="32506.559399999998"/>
        <n v="7135.57"/>
        <n v="109244"/>
        <n v="35621.302319999995"/>
        <n v="34444.462359999998"/>
        <n v="14894.903999999999"/>
        <n v="599.53200000000004"/>
        <n v="5785.8"/>
        <n v="2518.8755800000004"/>
        <n v="215.19839999999996"/>
        <n v="31680.795320000001"/>
        <n v="29659.68995"/>
        <n v="4790.1068000000005"/>
        <n v="272.98599999999999"/>
        <n v="4569.8508000000002"/>
        <n v="33687.501800000005"/>
        <n v="27701.570400000001"/>
        <n v="10947.904"/>
        <n v="72665.817450000002"/>
        <n v="26304.275999999998"/>
        <n v="12153.267360000002"/>
        <n v="16013.681599999998"/>
        <n v="14287.896349999999"/>
        <n v="8671.7354400000004"/>
        <n v="8930.7124999999996"/>
        <n v="10647.727199999999"/>
        <n v="6393.0952799999995"/>
        <n v="20171.63305"/>
        <n v="9373.460219999999"/>
        <n v="4427.9172000000008"/>
        <n v="6874.4828600000001"/>
        <n v="35396.277799999996"/>
        <n v="33062.236480000007"/>
        <n v="10455.7932"/>
        <n v="4877.1379800000004"/>
        <n v="60292.805299999993"/>
        <n v="18258.868320000001"/>
        <n v="5331.6696000000002"/>
        <n v="524.81174999999996"/>
        <n v="21062.61248"/>
        <n v="13146.470699999998"/>
        <n v="14197.064400000001"/>
        <n v="1654.8966000000003"/>
        <n v="11842.8464"/>
        <n v="624.43503999999996"/>
        <n v="8324.8326000000015"/>
        <n v="19510.808000000001"/>
        <n v="10161.46624"/>
        <n v="20079.343620000003"/>
        <n v="5487.6023999999998"/>
        <n v="43209.006119999991"/>
        <n v="147.00756000000001"/>
        <n v="34139.159999999996"/>
        <n v="5328.4890400000004"/>
        <n v="25502.910479999999"/>
        <n v="52780.07"/>
        <n v="6324.5775999999996"/>
        <n v="13669.81"/>
        <n v="5960.3340000000007"/>
        <n v="12335.654849999999"/>
        <n v="12080.215199999999"/>
        <n v="518.65436999999997"/>
        <n v="23687.524440000001"/>
        <n v="1660.3999999999999"/>
        <n v="549.80010000000004"/>
        <n v="27676.35"/>
        <n v="30151.675319999998"/>
        <n v="34.689059999999998"/>
        <n v="2117.4834999999998"/>
        <n v="1499.22"/>
        <n v="24523.006720000001"/>
        <n v="765.99195000000009"/>
        <n v="65119.329599999997"/>
        <n v="5769.2758000000003"/>
        <n v="592.92849000000001"/>
        <n v="39516.804389999998"/>
        <n v="22983.34563"/>
        <n v="16061.972879999999"/>
        <n v="10817.3416"/>
        <n v="2072.9258400000003"/>
        <n v="8909.8587200000002"/>
        <n v="65111.38614000001"/>
        <n v="853.32276999999988"/>
        <n v="2642.1686999999997"/>
        <n v="16071.44868"/>
        <n v="7703.8640800000003"/>
        <n v="4417.8334199999999"/>
        <n v="8336.8896000000004"/>
        <n v="3494.4040799999998"/>
        <n v="12031.491680000001"/>
        <n v="27370.540859999997"/>
        <n v="9698.1638399999993"/>
        <n v="4336.2427499999994"/>
        <n v="35567.737920000007"/>
        <n v="1446.9507000000001"/>
        <n v="87404.929919999995"/>
        <n v="8211.6342000000004"/>
        <n v="32086.37586"/>
        <n v="9969.4201499999999"/>
        <n v="25672.127039999999"/>
        <n v="12954.358080000002"/>
        <n v="3562.9028999999996"/>
        <n v="13321.14"/>
        <n v="14877.464000000002"/>
        <n v="42495.805439999996"/>
        <n v="7901.5041599999995"/>
        <n v="21572.590500000002"/>
        <n v="4139.8127999999997"/>
        <n v="29654.83008"/>
        <n v="11015.510400000003"/>
        <n v="8909.6646800000017"/>
        <n v="7203.8047000000006"/>
        <n v="24147.922500000001"/>
        <n v="10382.65884"/>
        <n v="29263.754519999995"/>
        <n v="22044.871499999997"/>
        <n v="5650.1744000000008"/>
        <n v="8154.5511600000009"/>
        <n v="12194.714"/>
        <n v="11851.806399999999"/>
        <n v="85637.740319999997"/>
        <n v="14448.298699999998"/>
        <n v="12413.98458"/>
        <n v="6824.2884000000004"/>
        <n v="2316.2621999999997"/>
        <n v="14549.029120000001"/>
        <n v="8928.9795999999988"/>
        <n v="97.0154"/>
        <n v="31556.187599999997"/>
        <n v="1952.6356799999999"/>
        <n v="92715.25"/>
        <n v="15656.47056"/>
        <n v="321.93290999999999"/>
        <n v="7098.5495999999994"/>
        <n v="4420.5961799999995"/>
        <n v="18.659839999999999"/>
        <n v="41352.246200000009"/>
        <n v="7689.4560000000001"/>
        <n v="8698.8768300000011"/>
        <n v="26408.63841"/>
        <n v="10388.429999999998"/>
        <n v="4831.9464600000001"/>
        <n v="26759.28775"/>
        <n v="28072.190160000002"/>
        <n v="8590.7094000000016"/>
        <n v="19542.975350000001"/>
        <n v="8763.2849999999999"/>
        <n v="24374.594880000001"/>
        <n v="4402.1164799999997"/>
        <n v="3928.3797600000003"/>
        <n v="31191.64716"/>
        <n v="21679.749799999998"/>
        <n v="11326.846439999999"/>
        <n v="8349.2224200000001"/>
        <n v="55880.483749999999"/>
        <n v="14963.769179999999"/>
        <n v="4637.7968000000001"/>
        <n v="25299.040000000001"/>
        <n v="47962.717579999997"/>
        <n v="25553.782800000001"/>
        <n v="26131.70736"/>
        <n v="6702.3501999999999"/>
        <n v="28386.015839999996"/>
        <n v="15825.399369999997"/>
        <n v="17847.907199999998"/>
        <n v="18061.204320000004"/>
        <n v="1774.8072"/>
        <n v="6984.8246399999998"/>
        <n v="24223.05"/>
        <n v="7854.6693599999999"/>
        <n v="15253.069799999999"/>
        <n v="7738.9596900000006"/>
        <n v="2231.6467200000002"/>
        <n v="6535.6324800000002"/>
        <n v="28211.92124"/>
        <n v="13519.529099999998"/>
        <n v="908.03700000000003"/>
        <n v="4503.4363999999996"/>
        <n v="66988.771199999988"/>
        <n v="15490.527"/>
        <n v="21573.6495"/>
        <n v="30479.418970000002"/>
        <n v="5533.6230000000005"/>
        <n v="16609.090809999998"/>
        <n v="7446.5209000000004"/>
        <n v="667.15008"/>
        <n v="5814.6927299999998"/>
        <n v="2879.9836"/>
        <n v="5280.8577599999999"/>
        <n v="14269.848599999999"/>
        <n v="17359.804799999998"/>
        <n v="37038.581760000001"/>
        <n v="139277.83032000001"/>
        <n v="6684.1875"/>
        <n v="3823.5108"/>
        <n v="4436.6291200000005"/>
        <n v="9684.8756000000012"/>
        <n v="34082.864639999993"/>
        <n v="748.22303999999997"/>
        <n v="12248.675999999999"/>
        <n v="2909.8689199999999"/>
        <n v="9774.3888000000006"/>
        <n v="607.30668000000003"/>
        <n v="3592.04"/>
        <n v="11813.604160000001"/>
        <n v="12186.368600000002"/>
        <n v="17453.3436"/>
        <n v="17689.623"/>
        <n v="25483.91488"/>
        <n v="6468.2751599999992"/>
        <n v="24161.205600000001"/>
        <n v="19073.059649999999"/>
        <n v="2394.1605599999998"/>
        <n v="4375.3620000000001"/>
        <n v="7568.9632000000001"/>
        <n v="22882.675440000003"/>
        <n v="17964.4038"/>
        <n v="8186.057600000001"/>
        <n v="560.36831999999993"/>
        <n v="40139.874619999995"/>
        <n v="12597.52224"/>
        <n v="38818.760160000005"/>
        <n v="17594.028880000002"/>
        <n v="6946.8"/>
        <n v="7678.2113999999992"/>
        <n v="7235.2134999999998"/>
        <n v="7120.6486400000003"/>
        <n v="34632.106319999999"/>
        <n v="29536.716"/>
        <n v="11417.429099999999"/>
        <n v="8567.3924999999999"/>
        <n v="79548.755999999994"/>
        <n v="6066.54648"/>
        <n v="34840.344000000005"/>
        <n v="8907.6924999999992"/>
        <n v="17441.021520000002"/>
        <n v="13035.970220000001"/>
        <n v="667.74"/>
        <n v="11696.156879999999"/>
        <n v="15505.479600000001"/>
        <n v="3978.6474000000003"/>
        <n v="76.138720000000006"/>
        <n v="20028.787380000002"/>
        <n v="26765.040239999998"/>
        <n v="10456.416880000001"/>
        <n v="19066.045319999997"/>
        <n v="1098.9470800000001"/>
        <n v="23375.594060000003"/>
        <n v="7382.1450000000004"/>
        <n v="8903.4839999999986"/>
        <n v="20455.985130000001"/>
        <n v="4241.88105"/>
        <n v="3190.8713200000002"/>
        <n v="66.920760000000001"/>
        <n v="12699.28"/>
        <n v="25577.274079999999"/>
        <n v="9866.3104799999983"/>
        <n v="39686.4182"/>
        <n v="8093.4784"/>
        <n v="5932.7856000000002"/>
        <n v="1641.7107199999998"/>
        <n v="43084.872000000003"/>
        <n v="3644.3212800000006"/>
        <n v="5334.9141999999993"/>
        <n v="9847.2358600000007"/>
        <n v="30799.273800000003"/>
        <n v="879.05840000000001"/>
        <n v="11283.400799999999"/>
        <n v="40325.31"/>
        <n v="5032.4433599999993"/>
        <n v="8780.5809000000008"/>
        <n v="9062.34692"/>
        <n v="16306.59375"/>
        <n v="2915.4540999999999"/>
        <n v="53034.364139999991"/>
        <n v="22380.204000000002"/>
        <n v="7493.1076000000012"/>
        <n v="39546.774539999999"/>
        <n v="703.2428000000001"/>
        <n v="26015.449459999996"/>
        <n v="9829.0483199999999"/>
        <n v="2373.9623200000001"/>
        <n v="3799.8031499999997"/>
        <n v="6229.7423999999992"/>
        <n v="27756.432000000001"/>
        <n v="2537.2908000000002"/>
        <n v="8764.4065599999994"/>
        <n v="7105.3528000000006"/>
        <n v="5610.0923999999995"/>
        <n v="4856.35725"/>
        <n v="16219.34496"/>
        <n v="28247.74656"/>
        <n v="38535.955099999999"/>
        <n v="3021.5016000000001"/>
        <n v="26106.613960000002"/>
        <n v="17067.938400000003"/>
        <n v="1115.1975999999997"/>
        <n v="20053.439999999999"/>
        <n v="8938.8996600000009"/>
        <n v="3175.1547799999998"/>
        <n v="13637.287999999999"/>
        <n v="79082.507010000001"/>
        <n v="2206.8000000000002"/>
        <n v="27158.894079999998"/>
        <n v="12236.874600000001"/>
        <n v="4132.0325200000007"/>
        <n v="16487.22781"/>
        <n v="26552.60298"/>
        <n v="34816.968000000001"/>
        <n v="1122.0896000000002"/>
        <n v="23195.01828"/>
        <n v="43907.94"/>
        <n v="49336.511399999996"/>
        <n v="4071.8"/>
        <n v="14813.731920000002"/>
        <n v="35167.7448"/>
        <n v="4804.4682400000002"/>
        <n v="82514.711519999997"/>
        <n v="7327.9533600000004"/>
        <n v="12717.311040000001"/>
        <n v="21584.693520000001"/>
        <n v="19547.329920000004"/>
        <n v="18554.370299999999"/>
        <n v="13784.586000000001"/>
        <n v="4569.5735999999997"/>
        <n v="4133.25108"/>
        <n v="16873.45"/>
        <n v="32280.32474"/>
        <n v="4117.4880599999997"/>
        <n v="31005.24768"/>
        <n v="38422.022320000004"/>
        <n v="43553.493060000001"/>
        <n v="15348.702599999999"/>
        <n v="6576.298960000001"/>
        <n v="33200.038079999998"/>
        <n v="11332.142999999998"/>
        <n v="12881.097599999999"/>
        <n v="37562.28"/>
        <n v="47693.373"/>
        <n v="15257.51748"/>
        <n v="22064.910300000003"/>
        <n v="9586.8057599999993"/>
        <n v="19773.362699999998"/>
        <n v="14108.16791"/>
        <n v="434.45248000000004"/>
        <n v="16142.527829999999"/>
        <n v="2525.0635000000002"/>
        <n v="48097.911050000002"/>
        <n v="11285.764020000001"/>
        <n v="19800.88896"/>
        <n v="14431.738420000001"/>
        <n v="56176.777799999996"/>
        <n v="18641.222160000001"/>
        <n v="13185.543"/>
        <n v="12972.00222"/>
        <n v="17731.623"/>
        <n v="17427.164800000002"/>
        <n v="16946.091840000001"/>
        <n v="5250.4239000000007"/>
        <n v="7832.0010999999995"/>
        <n v="13437.300239999999"/>
        <n v="22457.143800000002"/>
        <n v="21541.017959999997"/>
        <n v="4679.7141600000004"/>
        <n v="23668.560000000001"/>
        <n v="5323.9903199999999"/>
        <n v="6899.8804600000003"/>
        <n v="2059.0056"/>
        <n v="16134.22069"/>
        <n v="31513.423040000001"/>
        <n v="18411.4084"/>
        <n v="10893.6232"/>
        <n v="7969.4615000000003"/>
        <n v="741.43835999999999"/>
        <n v="9509.2865999999995"/>
        <n v="14527.748400000002"/>
        <n v="9984.7160999999978"/>
        <n v="102122.94203999999"/>
        <n v="29627.320319999999"/>
        <n v="58091.634960000003"/>
        <n v="15366.983199999999"/>
        <n v="30435.614999999998"/>
        <n v="19637.76528"/>
        <n v="13450.74"/>
        <n v="41138.261999999995"/>
        <n v="12955.824749999998"/>
        <n v="58057.65"/>
        <n v="2627.6239999999998"/>
        <n v="12967.958640000001"/>
        <n v="1950.0031200000001"/>
        <n v="27249"/>
        <n v="5546.4642200000008"/>
        <n v="7340.3891399999993"/>
        <n v="24278.849280000002"/>
        <n v="2795.6384399999997"/>
        <n v="20672.289000000001"/>
        <n v="12668.50728"/>
        <n v="31513.085009999999"/>
        <n v="5960.04288"/>
        <n v="21664.440000000002"/>
        <n v="1925.29872"/>
        <n v="9771.4483199999995"/>
        <n v="5565.3272500000003"/>
        <n v="45547.183360000003"/>
        <n v="12289.2"/>
        <n v="12462.65055"/>
        <n v="19628.476999999999"/>
        <n v="23694.405119999999"/>
        <n v="11984.891250000001"/>
        <n v="23132.398349999996"/>
        <n v="14752.706080000002"/>
        <n v="20797.98"/>
        <n v="7854.6931199999999"/>
        <n v="7643.2649999999994"/>
        <n v="24321.57"/>
        <n v="1662.6945600000001"/>
        <n v="930.17574000000002"/>
        <n v="4055.5175999999997"/>
        <n v="1886.9915999999998"/>
        <n v="1808.04592"/>
        <n v="84136.119600000005"/>
        <n v="2719.8567000000003"/>
        <n v="14261.92439"/>
        <n v="25269.09"/>
        <n v="16252.219979999998"/>
        <n v="10428.057360000001"/>
        <n v="36549.429260000004"/>
        <n v="15374.563199999999"/>
        <n v="8330.2513199999994"/>
        <n v="19233.355499999998"/>
        <n v="27194.152039999997"/>
        <n v="1009.2969000000002"/>
        <n v="4212.3745999999992"/>
        <n v="41914.215840000004"/>
        <n v="22620.859800000002"/>
        <n v="40488.792960000006"/>
        <n v="4738.5261"/>
        <n v="36161.097000000002"/>
        <n v="5127.0390600000001"/>
        <n v="21908.731650000002"/>
        <n v="6063.2517199999993"/>
        <n v="5159.7893599999998"/>
        <n v="28856.475000000002"/>
        <n v="4025.8565599999993"/>
        <n v="9614.4403999999995"/>
        <n v="1547.3500000000001"/>
        <n v="6664.0999999999995"/>
        <n v="7507.4514899999995"/>
        <n v="110.14919999999999"/>
        <n v="11859.695119999998"/>
        <n v="4682.9519799999998"/>
        <n v="30692.47896"/>
        <n v="25249.613219999999"/>
        <n v="8644.6696000000011"/>
        <n v="16574.544740000001"/>
        <n v="20332.775539999999"/>
        <n v="7428.1108999999988"/>
        <n v="10869.182940000001"/>
        <n v="8637.1874499999994"/>
        <n v="10189.8891"/>
        <n v="32335.21802"/>
        <n v="34800.431400000001"/>
        <n v="15323.926799999999"/>
        <n v="3921.1744000000008"/>
        <n v="8297.4286000000011"/>
        <n v="9232.2830599999998"/>
        <n v="3525.5505600000001"/>
        <n v="50296.415399999998"/>
        <n v="5189.8836000000001"/>
        <n v="33308.550000000003"/>
        <n v="10859.64"/>
        <n v="22201.762229999997"/>
        <n v="1010.3759200000001"/>
        <n v="9807.7842799999999"/>
        <n v="855.72881999999993"/>
        <n v="7399.4832000000006"/>
        <n v="64192.976999999999"/>
        <n v="22526.66"/>
        <n v="16121.273400000002"/>
        <n v="6435.2555999999995"/>
        <n v="8326.6852500000005"/>
        <n v="2146.5580500000001"/>
        <n v="11406.96"/>
        <n v="58526.83122"/>
        <n v="33421.1"/>
        <n v="9262.0686600000008"/>
        <n v="618.19979999999987"/>
        <n v="534.57695999999999"/>
        <n v="11924.0978"/>
        <n v="42433.254400000005"/>
        <n v="15155.326800000001"/>
        <n v="7823.4472399999995"/>
        <n v="50958.766320000002"/>
        <n v="20430.771599999996"/>
        <n v="66260.314239999992"/>
        <n v="3340.6370000000002"/>
        <n v="19581.87"/>
        <n v="30652.403519999996"/>
        <n v="4737.2198399999997"/>
        <n v="14114.068500000001"/>
        <n v="10792.637119999999"/>
        <n v="4826.5396199999996"/>
        <n v="15530.929919999999"/>
        <n v="31822.023930000003"/>
        <n v="10937.519999999999"/>
        <n v="29673.454499999993"/>
        <n v="1846.8040799999999"/>
        <n v="18830.12472"/>
        <n v="20163.409200000002"/>
        <n v="15860.782080000001"/>
        <n v="33551.927499999998"/>
        <n v="46450.26"/>
        <n v="50545.319219999998"/>
        <n v="10519.776450000001"/>
        <n v="13108.78584"/>
        <n v="13251.48"/>
        <n v="6766.9829999999993"/>
        <n v="33071.3145"/>
        <n v="8520.2954399999999"/>
        <n v="10166.535600000001"/>
        <n v="4229.4321199999995"/>
        <n v="17540.201120000002"/>
        <n v="44173.627960000005"/>
        <n v="25079.480689999997"/>
        <n v="34307.159999999996"/>
        <n v="3378.1478400000001"/>
        <n v="4577.1480000000001"/>
        <n v="841.00536"/>
        <n v="19139.594240000002"/>
        <n v="14466.95104"/>
        <n v="496.98660000000001"/>
        <n v="12091.190399999999"/>
        <n v="13882.6016"/>
        <n v="6732.4334000000008"/>
        <n v="4280.6786400000001"/>
        <n v="7173.3342799999991"/>
        <n v="6137.8019999999988"/>
        <n v="1801.4076000000002"/>
        <n v="40563.321749999996"/>
        <n v="3823.6151599999998"/>
        <n v="22676.312610000001"/>
        <n v="370.86"/>
        <n v="25131.155999999999"/>
        <n v="68665.574250000005"/>
        <n v="12040.64352"/>
        <n v="9022.35"/>
        <n v="11742.8703"/>
        <n v="51768.181920000003"/>
        <n v="5725.6496000000006"/>
        <n v="8366.02"/>
        <n v="14910.609600000002"/>
        <n v="8128.5187499999993"/>
        <n v="3116.21"/>
        <n v="4409.5168800000001"/>
        <n v="5962.1422499999999"/>
        <n v="33938.142760000002"/>
        <n v="7466.3063999999986"/>
        <n v="1062.5902000000001"/>
        <n v="39810.328000000001"/>
        <n v="5457.4317000000001"/>
        <n v="7071.6331400000008"/>
        <n v="13856.52411"/>
        <n v="29175.036029999999"/>
        <n v="2736.27018"/>
        <n v="2077.46"/>
        <n v="10260.060159999999"/>
        <n v="18003.847679999999"/>
        <n v="9256.14"/>
        <n v="82141.339799999987"/>
        <n v="18500.693520000001"/>
        <n v="10464.138360000001"/>
        <n v="10786.32144"/>
        <n v="846.34703999999988"/>
        <n v="25174.028880000002"/>
        <n v="41419.524249999995"/>
        <n v="1030.7574"/>
        <n v="2355.2113199999999"/>
        <n v="30229.994880000002"/>
        <n v="10693.88488"/>
        <n v="50090.397499999999"/>
        <n v="32704.386400000003"/>
        <n v="13983.752729999998"/>
        <n v="5096.4790800000001"/>
        <n v="33017.42"/>
        <n v="40476.013200000001"/>
        <n v="12769.38768"/>
        <n v="266.17821999999995"/>
        <m/>
      </sharedItems>
    </cacheField>
    <cacheField name="Cost of Goods" numFmtId="0">
      <sharedItems containsString="0" containsBlank="1" containsNumber="1" minValue="22" maxValue="83258.290000000008"/>
    </cacheField>
    <cacheField name="Gross Profit" numFmtId="0">
      <sharedItems containsString="0" containsBlank="1" containsNumber="1" minValue="-68355.013999999996" maxValue="65188.659999999996"/>
    </cacheField>
    <cacheField name="MarginPct" numFmtId="0">
      <sharedItems containsString="0" containsBlank="1" containsNumber="1" minValue="-250.39750756449047" maxValue="0.59672531214528945"/>
    </cacheField>
    <cacheField name="Order date-Month" numFmtId="165">
      <sharedItems containsBlank="1"/>
    </cacheField>
    <cacheField name="Quarter" numFmtId="0">
      <sharedItems containsNonDate="0" containsString="0" containsBlank="1"/>
    </cacheField>
    <cacheField name="Region2" numFmtId="0">
      <sharedItems containsBlank="1"/>
    </cacheField>
    <cacheField name="Price Band" numFmtId="0">
      <sharedItems containsBlank="1"/>
    </cacheField>
    <cacheField name="First Purchase date" numFmtId="0">
      <sharedItems containsBlank="1" count="3">
        <s v="2023-01"/>
        <s v="2023-0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3">
  <r>
    <s v="ORD-2024-275203"/>
    <d v="2024-03-11T00:00:00"/>
    <d v="2024-04-06T00:00:00"/>
    <s v="Africa"/>
    <x v="0"/>
    <s v="Kisumu"/>
    <s v="Corporate"/>
    <s v="Retail"/>
    <s v="C. Otieno"/>
    <x v="0"/>
    <x v="0"/>
    <n v="279.24"/>
    <n v="608.9"/>
    <n v="0.112"/>
    <n v="9"/>
    <d v="2024-04-06T00:00:00"/>
    <s v="Ok"/>
    <n v="608.9"/>
    <n v="26"/>
    <x v="0"/>
    <n v="2513.16"/>
    <n v="2353.1687999999995"/>
    <n v="0.48356140670149533"/>
    <s v="Mar-2024"/>
    <m/>
    <s v="Africa. Kenya. Kisumu"/>
    <s v="Low"/>
    <x v="0"/>
  </r>
  <r>
    <s v="ORD-2024-358795"/>
    <d v="2024-10-23T00:00:00"/>
    <d v="2024-10-22T00:00:00"/>
    <s v="Africa"/>
    <x v="1"/>
    <s v="Port Harcourt"/>
    <s v="Education"/>
    <s v="Online"/>
    <s v="J. Njeri"/>
    <x v="1"/>
    <x v="1"/>
    <n v="1084.3900000000001"/>
    <n v="759.33"/>
    <n v="0.23699999999999999"/>
    <n v="31"/>
    <d v="2024-10-30T00:00:00"/>
    <s v="Ok"/>
    <n v="759.33"/>
    <n v="7"/>
    <x v="1"/>
    <n v="33616.090000000004"/>
    <n v="-15655.657510000005"/>
    <n v="-0.87167486187856302"/>
    <s v="Oct-2024"/>
    <m/>
    <s v="Africa. Nigeria. Port Harcourt"/>
    <s v="Low"/>
    <x v="0"/>
  </r>
  <r>
    <s v="ORD-2023-373538"/>
    <d v="2023-02-28T00:00:00"/>
    <d v="2023-03-25T00:00:00"/>
    <s v="Africa"/>
    <x v="0"/>
    <s v="Nairobi"/>
    <s v="Corporate"/>
    <s v="Retail"/>
    <s v="I. Johnson"/>
    <x v="2"/>
    <x v="2"/>
    <n v="1460.76"/>
    <n v="-30.66"/>
    <n v="0.13100000000000001"/>
    <n v="12"/>
    <d v="2023-03-25T00:00:00"/>
    <s v="Invalid Price"/>
    <n v="30.66"/>
    <n v="25"/>
    <x v="2"/>
    <n v="17529.12"/>
    <n v="-17209.397519999999"/>
    <n v="-53.826047890032626"/>
    <s v="Feb-2023"/>
    <m/>
    <s v="Africa. Kenya. Nairobi"/>
    <s v="Low"/>
    <x v="0"/>
  </r>
  <r>
    <s v="ORD-2025-168148"/>
    <d v="2025-03-29T00:00:00"/>
    <d v="2025-04-02T00:00:00"/>
    <s v="Africa"/>
    <x v="1"/>
    <s v="Lagos"/>
    <s v="Non-Profit"/>
    <s v="Marketplace"/>
    <s v="G. Dubois"/>
    <x v="3"/>
    <x v="3"/>
    <n v="259.93"/>
    <n v="255.94"/>
    <n v="7.1999999999999995E-2"/>
    <n v="22"/>
    <d v="2025-04-02T00:00:00"/>
    <s v="Ok"/>
    <n v="255.94"/>
    <n v="4"/>
    <x v="3"/>
    <n v="5718.46"/>
    <n v="-493.1889599999995"/>
    <n v="-9.4385335463861311E-2"/>
    <s v="Mar-2025"/>
    <m/>
    <s v="Africa. Nigeria. Lagos"/>
    <s v="Low"/>
    <x v="0"/>
  </r>
  <r>
    <s v="ORD-2023-824839"/>
    <d v="2023-12-06T00:00:00"/>
    <d v="2023-12-31T00:00:00"/>
    <s v="Asia"/>
    <x v="2"/>
    <s v="Osaka"/>
    <s v="Consumer"/>
    <s v="Retail"/>
    <s v="L. Okafor"/>
    <x v="1"/>
    <x v="4"/>
    <n v="663.03"/>
    <n v="813.51"/>
    <n v="0.10199999999999999"/>
    <n v="15"/>
    <d v="2023-12-31T00:00:00"/>
    <s v="Ok"/>
    <n v="813.51"/>
    <n v="25"/>
    <x v="4"/>
    <n v="9945.4499999999989"/>
    <n v="1012.529700000001"/>
    <n v="9.2401129379715952E-2"/>
    <s v="Dec-2023"/>
    <m/>
    <s v="Asia. Japan. Osaka"/>
    <s v="Low"/>
    <x v="1"/>
  </r>
  <r>
    <s v="ORD-2023-723587"/>
    <d v="2023-01-02T00:00:00"/>
    <d v="2023-01-05T00:00:00"/>
    <s v="Americas"/>
    <x v="3"/>
    <s v="Toronto"/>
    <s v="Corporate"/>
    <s v="Distributor"/>
    <s v="B. Chen"/>
    <x v="4"/>
    <x v="5"/>
    <n v="315.87"/>
    <n v="591.67999999999995"/>
    <n v="0"/>
    <n v="7"/>
    <d v="2023-01-05T00:00:00"/>
    <s v="Ok"/>
    <n v="591.67999999999995"/>
    <n v="3"/>
    <x v="5"/>
    <n v="2211.09"/>
    <n v="1930.6699999999992"/>
    <n v="0.46614724175229844"/>
    <s v="Jan-2023"/>
    <m/>
    <s v="Americas. Canada. Toronto"/>
    <s v="Low"/>
    <x v="0"/>
  </r>
  <r>
    <s v="ORD-2024-336584"/>
    <d v="2024-12-27T00:00:00"/>
    <d v="2025-01-14T00:00:00"/>
    <s v="Asia"/>
    <x v="4"/>
    <s v="Bengaluru"/>
    <s v="Small Business"/>
    <s v="Marketplace"/>
    <s v="E. Garcia"/>
    <x v="5"/>
    <x v="6"/>
    <n v="586.07000000000005"/>
    <n v="845.97"/>
    <n v="0.14699999999999999"/>
    <n v="4"/>
    <d v="2025-01-14T00:00:00"/>
    <s v="Ok"/>
    <n v="845.97"/>
    <n v="18"/>
    <x v="6"/>
    <n v="2344.2800000000002"/>
    <n v="542.16963999999962"/>
    <n v="0.18783270370862928"/>
    <s v="Dec-2024"/>
    <m/>
    <s v="Asia. India. Bengaluru"/>
    <s v="Low"/>
    <x v="0"/>
  </r>
  <r>
    <s v="ORD-2023-112666"/>
    <d v="2023-01-15T00:00:00"/>
    <d v="2023-01-13T00:00:00"/>
    <s v="Africa"/>
    <x v="1"/>
    <s v="Abuja"/>
    <s v="Education"/>
    <s v="Online"/>
    <s v="O. Wang"/>
    <x v="1"/>
    <x v="7"/>
    <n v="28.38"/>
    <n v="47.22"/>
    <n v="0.19400000000000001"/>
    <n v="18"/>
    <d v="2023-01-22T00:00:00"/>
    <s v="Ok"/>
    <n v="47.22"/>
    <n v="7"/>
    <x v="7"/>
    <n v="510.84"/>
    <n v="174.22776000000005"/>
    <n v="0.25432193743871417"/>
    <s v="Jan-2023"/>
    <m/>
    <s v="Africa. Nigeria. Abuja"/>
    <s v="Low"/>
    <x v="0"/>
  </r>
  <r>
    <s v="ORD-2024-589570"/>
    <d v="2024-05-04T00:00:00"/>
    <d v="2024-05-29T00:00:00"/>
    <s v="Africa"/>
    <x v="1"/>
    <s v="Abuja"/>
    <s v="Non-Profit"/>
    <s v="Marketplace"/>
    <s v="O. Wang"/>
    <x v="5"/>
    <x v="8"/>
    <n v="1295.3399999999999"/>
    <n v="2530.81"/>
    <n v="3.1E-2"/>
    <n v="6"/>
    <d v="2024-05-29T00:00:00"/>
    <s v="Ok"/>
    <n v="2530.81"/>
    <n v="25"/>
    <x v="8"/>
    <n v="7772.0399999999991"/>
    <n v="6942.0893400000004"/>
    <n v="0.4717974933880798"/>
    <s v="May-2024"/>
    <m/>
    <s v="Africa. Nigeria. Abuja"/>
    <s v="High"/>
    <x v="0"/>
  </r>
  <r>
    <s v="ORD-2025-997421"/>
    <d v="2025-05-21T00:00:00"/>
    <d v="2025-06-09T00:00:00"/>
    <s v="Americas"/>
    <x v="5"/>
    <s v="São Paulo"/>
    <s v="Non-Profit"/>
    <s v="Online"/>
    <s v="A. Patel"/>
    <x v="0"/>
    <x v="9"/>
    <n v="1331.38"/>
    <n v="2309.56"/>
    <n v="0.14899999999999999"/>
    <n v="31"/>
    <d v="2025-06-09T00:00:00"/>
    <s v="Ok"/>
    <n v="2309.56"/>
    <n v="19"/>
    <x v="9"/>
    <n v="41272.780000000006"/>
    <n v="19655.722359999992"/>
    <n v="0.32260307735553528"/>
    <s v="May-2025"/>
    <m/>
    <s v="Americas. Brazil. São Paulo"/>
    <s v="High"/>
    <x v="0"/>
  </r>
  <r>
    <s v="ORD-2024-210687"/>
    <d v="2024-01-28T00:00:00"/>
    <d v="2024-02-09T00:00:00"/>
    <s v="Europe"/>
    <x v="6"/>
    <s v="Berlin"/>
    <s v="Corporate"/>
    <s v="Online"/>
    <s v="G. Dubois"/>
    <x v="6"/>
    <x v="10"/>
    <n v="644.16999999999996"/>
    <n v="700.12"/>
    <n v="6.0000000000000001E-3"/>
    <n v="23"/>
    <d v="2024-02-09T00:00:00"/>
    <s v="Ok"/>
    <n v="700.12"/>
    <n v="12"/>
    <x v="10"/>
    <n v="14815.91"/>
    <n v="1190.23344"/>
    <n v="7.436103796405813E-2"/>
    <s v="Jan-2024"/>
    <m/>
    <s v="Europe. Germany. Berlin"/>
    <s v="Low"/>
    <x v="0"/>
  </r>
  <r>
    <s v="ORD-2025-515515"/>
    <d v="2025-01-03T00:00:00"/>
    <d v="2025-01-23T00:00:00"/>
    <s v="Asia"/>
    <x v="2"/>
    <s v="Osaka"/>
    <s v="Corporate"/>
    <s v="Distributor"/>
    <s v="F. Müller"/>
    <x v="3"/>
    <x v="11"/>
    <n v="908.6"/>
    <n v="691.37"/>
    <n v="0.25"/>
    <n v="20"/>
    <d v="2025-01-23T00:00:00"/>
    <s v="Ok"/>
    <n v="691.37"/>
    <n v="20"/>
    <x v="11"/>
    <n v="18172"/>
    <n v="-7801.4500000000007"/>
    <n v="-0.75226964818645115"/>
    <s v="Jan-2025"/>
    <m/>
    <s v="Asia. Japan. Osaka"/>
    <s v="Low"/>
    <x v="1"/>
  </r>
  <r>
    <s v="ORD-2025-487261"/>
    <d v="2025-03-06T00:00:00"/>
    <d v="2025-03-31T00:00:00"/>
    <s v="Americas"/>
    <x v="5"/>
    <s v="Brasília"/>
    <s v="Non-Profit"/>
    <s v="Online"/>
    <s v="J. Njeri"/>
    <x v="0"/>
    <x v="12"/>
    <n v="331.57"/>
    <n v="548.4"/>
    <n v="9.4E-2"/>
    <n v="10"/>
    <d v="2025-03-31T00:00:00"/>
    <s v="Ok"/>
    <n v="548.4"/>
    <n v="25"/>
    <x v="12"/>
    <n v="3315.7"/>
    <n v="1652.8040000000001"/>
    <n v="0.33265626836568918"/>
    <s v="Mar-2025"/>
    <m/>
    <s v="Americas. Brazil. Brasília"/>
    <s v="Low"/>
    <x v="0"/>
  </r>
  <r>
    <s v="ORD-2024-890180"/>
    <d v="2024-01-20T00:00:00"/>
    <d v="2024-02-13T00:00:00"/>
    <s v="Europe"/>
    <x v="7"/>
    <s v="Marseille"/>
    <s v="Corporate"/>
    <s v="Retail"/>
    <s v="H. Kim"/>
    <x v="1"/>
    <x v="13"/>
    <n v="643.53"/>
    <n v="1439.01"/>
    <n v="0"/>
    <n v="15"/>
    <d v="2024-02-13T00:00:00"/>
    <s v="Ok"/>
    <n v="1439.01"/>
    <n v="24"/>
    <x v="13"/>
    <n v="9652.9499999999989"/>
    <n v="11932.200000000003"/>
    <n v="0.55279671440782208"/>
    <s v="Jan-2024"/>
    <m/>
    <s v="Europe. France. Marseille"/>
    <s v="High"/>
    <x v="0"/>
  </r>
  <r>
    <s v="ORD-2025-840976"/>
    <d v="2025-09-01T00:00:00"/>
    <d v="2025-09-30T00:00:00"/>
    <s v="Americas"/>
    <x v="5"/>
    <s v="Brasília"/>
    <s v="Education"/>
    <s v="Retail"/>
    <s v="K. Singh"/>
    <x v="6"/>
    <x v="14"/>
    <n v="780.59"/>
    <n v="631.57000000000005"/>
    <n v="0"/>
    <n v="12"/>
    <d v="2025-09-30T00:00:00"/>
    <s v="Ok"/>
    <n v="631.57000000000005"/>
    <n v="29"/>
    <x v="14"/>
    <n v="9367.08"/>
    <n v="-1788.2399999999998"/>
    <n v="-0.23595167598207639"/>
    <s v="Sep-2025"/>
    <m/>
    <s v="Americas. Brazil. Brasília"/>
    <s v="Low"/>
    <x v="0"/>
  </r>
  <r>
    <s v="ORD-2023-937291"/>
    <d v="2023-04-23T00:00:00"/>
    <d v="2023-04-22T00:00:00"/>
    <s v="Africa"/>
    <x v="0"/>
    <s v="Nairobi"/>
    <s v="Small Business"/>
    <s v="Direct"/>
    <s v="E. Garcia"/>
    <x v="4"/>
    <x v="15"/>
    <n v="756.51"/>
    <n v="850.8"/>
    <n v="7.3999999999999996E-2"/>
    <n v="9"/>
    <d v="2023-04-30T00:00:00"/>
    <s v="Ok"/>
    <n v="850.8"/>
    <n v="7"/>
    <x v="15"/>
    <n v="6808.59"/>
    <n v="281.97720000000027"/>
    <n v="3.9767932810791252E-2"/>
    <s v="Apr-2023"/>
    <m/>
    <s v="Africa. Kenya. Nairobi"/>
    <s v="Low"/>
    <x v="0"/>
  </r>
  <r>
    <s v="ORD-2024-206081"/>
    <d v="2024-12-10T00:00:00"/>
    <d v="2025-01-08T00:00:00"/>
    <s v="Europe"/>
    <x v="7"/>
    <s v="Marseille"/>
    <s v="Small Business"/>
    <s v="Retail"/>
    <s v="K. Singh"/>
    <x v="1"/>
    <x v="16"/>
    <n v="891.08"/>
    <n v="1040.0999999999999"/>
    <n v="0.109"/>
    <n v="28"/>
    <d v="2025-01-08T00:00:00"/>
    <s v="Ok"/>
    <n v="1040.0999999999999"/>
    <n v="29"/>
    <x v="16"/>
    <n v="24950.240000000002"/>
    <n v="998.17479999999341"/>
    <n v="3.8467660074556598E-2"/>
    <s v="Dec-2024"/>
    <m/>
    <s v="Europe. France. Marseille"/>
    <s v="Low"/>
    <x v="0"/>
  </r>
  <r>
    <s v="ORD-2025-233883"/>
    <d v="2025-09-08T00:00:00"/>
    <d v="2025-09-16T00:00:00"/>
    <s v="Asia"/>
    <x v="2"/>
    <s v="Osaka"/>
    <s v="Corporate"/>
    <s v="Distributor"/>
    <s v="C. Otieno"/>
    <x v="3"/>
    <x v="17"/>
    <n v="1225.57"/>
    <n v="2705.57"/>
    <n v="0.183"/>
    <n v="16"/>
    <d v="2025-09-16T00:00:00"/>
    <s v="Ok"/>
    <n v="2705.57"/>
    <n v="8"/>
    <x v="17"/>
    <n v="19609.12"/>
    <n v="15758.091040000003"/>
    <n v="0.44555650775453404"/>
    <s v="Sep-2025"/>
    <m/>
    <s v="Asia. Japan. Osaka"/>
    <s v="High"/>
    <x v="1"/>
  </r>
  <r>
    <s v="ORD-2025-843974"/>
    <d v="2025-07-20T00:00:00"/>
    <d v="2025-08-05T00:00:00"/>
    <s v="Americas"/>
    <x v="5"/>
    <s v="Brasília"/>
    <s v="Enterprise"/>
    <s v="Marketplace"/>
    <s v="G. Dubois"/>
    <x v="6"/>
    <x v="18"/>
    <n v="1068.17"/>
    <n v="2375.37"/>
    <n v="0.109"/>
    <n v="18"/>
    <d v="2025-08-05T00:00:00"/>
    <s v="Ok"/>
    <n v="2375.37"/>
    <n v="16"/>
    <x v="18"/>
    <n v="19227.060000000001"/>
    <n v="18869.124059999998"/>
    <n v="0.49530220744108822"/>
    <s v="Jul-2025"/>
    <m/>
    <s v="Americas. Brazil. Brasília"/>
    <s v="High"/>
    <x v="0"/>
  </r>
  <r>
    <s v="ORD-2025-745263"/>
    <d v="2025-05-21T00:00:00"/>
    <d v="2025-05-19T00:00:00"/>
    <s v="Europe"/>
    <x v="8"/>
    <s v="Birmingham"/>
    <s v="Enterprise"/>
    <s v="Online"/>
    <s v="M. Rossi"/>
    <x v="4"/>
    <x v="19"/>
    <n v="1015.16"/>
    <n v="2148.14"/>
    <n v="3.7999999999999999E-2"/>
    <n v="19"/>
    <d v="2025-05-28T00:00:00"/>
    <s v="Ok"/>
    <n v="2148.14"/>
    <n v="7"/>
    <x v="19"/>
    <n v="19288.04"/>
    <n v="19975.662919999995"/>
    <n v="0.50875647059322227"/>
    <s v="May-2025"/>
    <m/>
    <s v="Europe. United Kingdom. Birmingham"/>
    <s v="High"/>
    <x v="0"/>
  </r>
  <r>
    <s v="ORD-2024-798002"/>
    <d v="2024-07-25T00:00:00"/>
    <d v="2024-07-24T00:00:00"/>
    <s v="Africa"/>
    <x v="0"/>
    <s v="Mombasa"/>
    <s v="Non-Profit"/>
    <s v="Direct"/>
    <s v="J. Njeri"/>
    <x v="4"/>
    <x v="20"/>
    <n v="1494.4"/>
    <n v="3661.07"/>
    <n v="7.1999999999999995E-2"/>
    <n v="7"/>
    <d v="2024-08-01T00:00:00"/>
    <s v="Ok"/>
    <n v="3661.07"/>
    <n v="7"/>
    <x v="20"/>
    <n v="10460.800000000001"/>
    <n v="13321.51072"/>
    <n v="0.56014366630897339"/>
    <s v="Jul-2024"/>
    <m/>
    <s v="Africa. Kenya. Mombasa"/>
    <s v="High"/>
    <x v="0"/>
  </r>
  <r>
    <s v="ORD-2023-867836"/>
    <d v="2023-05-11T00:00:00"/>
    <d v="2023-05-28T00:00:00"/>
    <s v="Asia"/>
    <x v="9"/>
    <s v="Shenzhen"/>
    <s v="Enterprise"/>
    <s v="Marketplace"/>
    <s v="E. Garcia"/>
    <x v="2"/>
    <x v="21"/>
    <n v="1331.19"/>
    <n v="2903.09"/>
    <n v="0.14299999999999999"/>
    <n v="8"/>
    <d v="2023-05-28T00:00:00"/>
    <s v="Ok"/>
    <n v="2903.09"/>
    <n v="17"/>
    <x v="21"/>
    <n v="10649.52"/>
    <n v="9254.0650400000013"/>
    <n v="0.46494463290920784"/>
    <s v="May-2023"/>
    <m/>
    <s v="Asia. China. Shenzhen"/>
    <s v="High"/>
    <x v="0"/>
  </r>
  <r>
    <s v="ORD-2025-580047"/>
    <d v="2025-06-14T00:00:00"/>
    <d v="2025-06-29T00:00:00"/>
    <s v="Africa"/>
    <x v="1"/>
    <s v="Port Harcourt"/>
    <s v="Consumer"/>
    <s v="Marketplace"/>
    <s v="M. Rossi"/>
    <x v="6"/>
    <x v="22"/>
    <n v="730.99"/>
    <n v="1242.8399999999999"/>
    <n v="0.12"/>
    <n v="10"/>
    <d v="2025-06-29T00:00:00"/>
    <s v="Ok"/>
    <n v="1242.8399999999999"/>
    <n v="15"/>
    <x v="22"/>
    <n v="7309.9"/>
    <n v="3627.0920000000006"/>
    <n v="0.33163524303574515"/>
    <s v="Jun-2025"/>
    <m/>
    <s v="Africa. Nigeria. Port Harcourt"/>
    <s v="High"/>
    <x v="0"/>
  </r>
  <r>
    <s v="ORD-2024-500109"/>
    <d v="2024-05-18T00:00:00"/>
    <d v="2024-05-23T00:00:00"/>
    <s v="Americas"/>
    <x v="10"/>
    <s v="Chicago"/>
    <s v="Enterprise"/>
    <s v="Retail"/>
    <s v="H. Kim"/>
    <x v="4"/>
    <x v="23"/>
    <n v="1274.5899999999999"/>
    <n v="2553.69"/>
    <n v="0.01"/>
    <n v="8"/>
    <d v="2024-05-23T00:00:00"/>
    <s v="Ok"/>
    <n v="2553.69"/>
    <n v="5"/>
    <x v="23"/>
    <n v="10196.719999999999"/>
    <n v="10028.504800000001"/>
    <n v="0.49584145042481803"/>
    <s v="May-2024"/>
    <m/>
    <s v="Americas. USA. Chicago"/>
    <s v="High"/>
    <x v="0"/>
  </r>
  <r>
    <s v="ORD-2023-271836"/>
    <d v="2023-02-07T00:00:00"/>
    <d v="2023-02-12T00:00:00"/>
    <s v="Americas"/>
    <x v="5"/>
    <s v="São Paulo"/>
    <s v="Education"/>
    <s v="Online"/>
    <s v="N. Brown"/>
    <x v="0"/>
    <x v="24"/>
    <n v="948.55"/>
    <n v="2089.16"/>
    <n v="7.0000000000000001E-3"/>
    <n v="12"/>
    <d v="2023-02-12T00:00:00"/>
    <s v="Ok"/>
    <n v="2089.16"/>
    <n v="5"/>
    <x v="24"/>
    <n v="11382.599999999999"/>
    <n v="13511.830559999999"/>
    <n v="0.54276519912492427"/>
    <s v="Feb-2023"/>
    <m/>
    <s v="Americas. Brazil. São Paulo"/>
    <s v="High"/>
    <x v="0"/>
  </r>
  <r>
    <s v="ORD-2024-215294"/>
    <d v="2024-06-30T00:00:00"/>
    <d v="2024-07-14T00:00:00"/>
    <s v="Americas"/>
    <x v="5"/>
    <s v="Brasília"/>
    <s v="Education"/>
    <s v="Retail"/>
    <s v="C. Otieno"/>
    <x v="6"/>
    <x v="25"/>
    <n v="1491.85"/>
    <n v="2583.02"/>
    <n v="0.16800000000000001"/>
    <n v="4"/>
    <d v="2024-07-14T00:00:00"/>
    <s v="Ok"/>
    <n v="2583.02"/>
    <n v="14"/>
    <x v="25"/>
    <n v="5967.4"/>
    <n v="2628.8905599999998"/>
    <n v="0.30581685689321325"/>
    <s v="Jun-2024"/>
    <m/>
    <s v="Americas. Brazil. Brasília"/>
    <s v="High"/>
    <x v="0"/>
  </r>
  <r>
    <s v="ORD-2024-788105"/>
    <d v="2024-11-30T00:00:00"/>
    <d v="2024-12-30T00:00:00"/>
    <s v="Europe"/>
    <x v="7"/>
    <s v="Marseille"/>
    <s v="Consumer"/>
    <s v="Marketplace"/>
    <s v="F. Müller"/>
    <x v="1"/>
    <x v="26"/>
    <n v="117.64"/>
    <n v="175.67"/>
    <n v="0"/>
    <n v="10"/>
    <d v="2024-12-30T00:00:00"/>
    <s v="Ok"/>
    <n v="175.67"/>
    <n v="30"/>
    <x v="26"/>
    <n v="1176.4000000000001"/>
    <n v="580.29999999999973"/>
    <n v="0.33033528775545046"/>
    <s v="Nov-2024"/>
    <m/>
    <s v="Europe. France. Marseille"/>
    <s v="Low"/>
    <x v="0"/>
  </r>
  <r>
    <s v="ORD-2024-855073"/>
    <d v="2024-07-19T00:00:00"/>
    <d v="2024-07-19T00:00:00"/>
    <s v="Africa"/>
    <x v="0"/>
    <s v="Kisumu"/>
    <s v="Small Business"/>
    <s v="Retail"/>
    <s v="A. Patel"/>
    <x v="3"/>
    <x v="27"/>
    <n v="857.24"/>
    <n v="758.23"/>
    <n v="0.125"/>
    <n v="6"/>
    <d v="2024-07-19T00:00:00"/>
    <s v="Ok"/>
    <n v="758.23"/>
    <n v="0"/>
    <x v="27"/>
    <n v="5143.4400000000005"/>
    <n v="-1162.7325000000005"/>
    <n v="-0.29209192084572921"/>
    <s v="Jul-2024"/>
    <m/>
    <s v="Africa. Kenya. Kisumu"/>
    <s v="Low"/>
    <x v="0"/>
  </r>
  <r>
    <s v="ORD-2023-897079"/>
    <d v="2023-04-14T00:00:00"/>
    <d v="2023-05-14T00:00:00"/>
    <s v="Africa"/>
    <x v="0"/>
    <s v="Nakuru"/>
    <s v="Consumer"/>
    <s v="Marketplace"/>
    <s v="M. Rossi"/>
    <x v="3"/>
    <x v="28"/>
    <n v="209.25"/>
    <n v="434.8"/>
    <n v="0"/>
    <n v="9"/>
    <d v="2023-05-14T00:00:00"/>
    <s v="Ok"/>
    <n v="434.8"/>
    <n v="30"/>
    <x v="28"/>
    <n v="1883.25"/>
    <n v="2029.9500000000003"/>
    <n v="0.51874425022999082"/>
    <s v="Apr-2023"/>
    <m/>
    <s v="Africa. Kenya. Nakuru"/>
    <s v="Low"/>
    <x v="0"/>
  </r>
  <r>
    <s v="ORD-2025-548982"/>
    <d v="2025-04-07T00:00:00"/>
    <d v="2025-04-11T00:00:00"/>
    <s v="Europe"/>
    <x v="7"/>
    <s v="Lyon"/>
    <s v="Education"/>
    <s v="Retail"/>
    <s v="E. Garcia"/>
    <x v="2"/>
    <x v="29"/>
    <n v="754.77"/>
    <n v="1666.18"/>
    <n v="0.13900000000000001"/>
    <n v="14"/>
    <d v="2025-04-11T00:00:00"/>
    <s v="Ok"/>
    <n v="1666.18"/>
    <n v="4"/>
    <x v="29"/>
    <n v="10566.779999999999"/>
    <n v="9517.3537200000028"/>
    <n v="0.47387424584424653"/>
    <s v="Apr-2025"/>
    <m/>
    <s v="Europe. France. Lyon"/>
    <s v="High"/>
    <x v="0"/>
  </r>
  <r>
    <s v="ORD-2024-170313"/>
    <d v="2024-12-27T00:00:00"/>
    <d v="2025-01-15T00:00:00"/>
    <s v="Asia"/>
    <x v="4"/>
    <s v="Delhi"/>
    <s v="Non-Profit"/>
    <s v="Distributor"/>
    <s v="G. Dubois"/>
    <x v="0"/>
    <x v="30"/>
    <n v="495.59"/>
    <n v="631.78"/>
    <n v="8.6999999999999994E-2"/>
    <n v="17"/>
    <d v="2025-01-15T00:00:00"/>
    <s v="Ok"/>
    <n v="631.78"/>
    <n v="19"/>
    <x v="30"/>
    <n v="8425.0299999999988"/>
    <n v="1380.8273800000024"/>
    <n v="0.14081658813601899"/>
    <s v="Dec-2024"/>
    <m/>
    <s v="Asia. India. Delhi"/>
    <s v="Low"/>
    <x v="0"/>
  </r>
  <r>
    <s v="ORD-2023-562894"/>
    <d v="2023-02-23T00:00:00"/>
    <d v="2023-03-25T00:00:00"/>
    <s v="Americas"/>
    <x v="3"/>
    <s v="Montreal"/>
    <s v="Enterprise"/>
    <s v="Online"/>
    <s v="D. Smith"/>
    <x v="3"/>
    <x v="31"/>
    <n v="1242.6600000000001"/>
    <n v="1794.07"/>
    <n v="8.8999999999999996E-2"/>
    <n v="16"/>
    <d v="2023-03-25T00:00:00"/>
    <s v="Ok"/>
    <n v="1794.07"/>
    <n v="30"/>
    <x v="31"/>
    <n v="19882.560000000001"/>
    <n v="6267.8043199999993"/>
    <n v="0.23968325042440553"/>
    <s v="Feb-2023"/>
    <m/>
    <s v="Americas. Canada. Montreal"/>
    <s v="High"/>
    <x v="0"/>
  </r>
  <r>
    <s v="ORD-2025-474710"/>
    <d v="2025-07-24T00:00:00"/>
    <d v="2025-08-06T00:00:00"/>
    <s v="Africa"/>
    <x v="11"/>
    <s v="Johannesburg"/>
    <s v="Education"/>
    <s v="Marketplace"/>
    <s v="D. Smith"/>
    <x v="2"/>
    <x v="32"/>
    <n v="1463.9"/>
    <n v="2633.02"/>
    <n v="8.4000000000000005E-2"/>
    <n v="4"/>
    <d v="2025-08-06T00:00:00"/>
    <s v="Ok"/>
    <n v="2633.02"/>
    <n v="13"/>
    <x v="32"/>
    <n v="5855.6"/>
    <n v="3791.7852800000001"/>
    <n v="0.39303761277791527"/>
    <s v="Jul-2025"/>
    <m/>
    <s v="Africa. South Africa. Johannesburg"/>
    <s v="High"/>
    <x v="0"/>
  </r>
  <r>
    <s v="ORD-2024-629525"/>
    <d v="2024-04-18T00:00:00"/>
    <d v="2024-05-08T00:00:00"/>
    <s v="Europe"/>
    <x v="8"/>
    <s v="London"/>
    <s v="Non-Profit"/>
    <s v="Unknown"/>
    <s v="D. Smith"/>
    <x v="4"/>
    <x v="33"/>
    <n v="645.33000000000004"/>
    <n v="1321.85"/>
    <n v="0"/>
    <n v="10"/>
    <d v="2024-05-08T00:00:00"/>
    <s v="Ok"/>
    <n v="1321.85"/>
    <n v="20"/>
    <x v="33"/>
    <n v="6453.3"/>
    <n v="6765.2"/>
    <n v="0.51179785906116426"/>
    <s v="Apr-2024"/>
    <m/>
    <s v="Europe. United Kingdom. London"/>
    <s v="High"/>
    <x v="0"/>
  </r>
  <r>
    <s v="ORD-2024-167215"/>
    <d v="2024-08-23T00:00:00"/>
    <d v="2024-08-21T00:00:00"/>
    <s v="Africa"/>
    <x v="11"/>
    <s v="Johannesburg"/>
    <s v="Education"/>
    <s v="Retail"/>
    <s v="E. Garcia"/>
    <x v="0"/>
    <x v="34"/>
    <n v="1432.52"/>
    <n v="3036.87"/>
    <n v="0"/>
    <n v="9"/>
    <d v="2024-08-30T00:00:00"/>
    <s v="Ok"/>
    <n v="3036.87"/>
    <n v="7"/>
    <x v="34"/>
    <n v="12892.68"/>
    <n v="14439.149999999998"/>
    <n v="0.52829064135112791"/>
    <s v="Aug-2024"/>
    <m/>
    <s v="Africa. South Africa. Johannesburg"/>
    <s v="High"/>
    <x v="0"/>
  </r>
  <r>
    <s v="ORD-2023-864121"/>
    <d v="2023-03-27T00:00:00"/>
    <d v="2023-04-22T00:00:00"/>
    <s v="Asia"/>
    <x v="4"/>
    <s v="Delhi"/>
    <s v="Non-Profit"/>
    <s v="Marketplace"/>
    <s v="J. Njeri"/>
    <x v="1"/>
    <x v="35"/>
    <n v="178.53"/>
    <n v="199.37"/>
    <n v="0.10100000000000001"/>
    <n v="37"/>
    <d v="2023-04-22T00:00:00"/>
    <s v="Ok"/>
    <n v="199.37"/>
    <n v="26"/>
    <x v="35"/>
    <n v="6605.61"/>
    <n v="26.034310000000914"/>
    <n v="3.9257699573457538E-3"/>
    <s v="Mar-2023"/>
    <m/>
    <s v="Asia. India. Delhi"/>
    <s v="Low"/>
    <x v="0"/>
  </r>
  <r>
    <s v="ORD-2024-692673"/>
    <d v="2024-03-07T00:00:00"/>
    <d v="2024-03-25T00:00:00"/>
    <s v="Europe"/>
    <x v="6"/>
    <s v="Munich"/>
    <s v="Corporate"/>
    <s v="Online"/>
    <s v="B. Chen"/>
    <x v="0"/>
    <x v="36"/>
    <n v="712.84"/>
    <n v="927.51"/>
    <n v="0.24299999999999999"/>
    <n v="27"/>
    <d v="2024-03-25T00:00:00"/>
    <s v="Ok"/>
    <n v="927.51"/>
    <n v="18"/>
    <x v="36"/>
    <n v="19246.68"/>
    <n v="-289.30311000000074"/>
    <n v="-1.5260714163076427E-2"/>
    <s v="Mar-2024"/>
    <m/>
    <s v="Europe. Germany. Munich"/>
    <s v="Low"/>
    <x v="0"/>
  </r>
  <r>
    <s v="ORD-2025-718992"/>
    <d v="2025-06-24T00:00:00"/>
    <d v="2025-07-10T00:00:00"/>
    <s v="Asia"/>
    <x v="9"/>
    <s v="Shanghai"/>
    <s v="Enterprise"/>
    <s v="Direct"/>
    <s v="N. Brown"/>
    <x v="0"/>
    <x v="37"/>
    <n v="757.19"/>
    <n v="1735.41"/>
    <n v="0.13600000000000001"/>
    <n v="8"/>
    <d v="2025-07-10T00:00:00"/>
    <s v="Ok"/>
    <n v="1735.41"/>
    <n v="16"/>
    <x v="37"/>
    <n v="6057.52"/>
    <n v="5937.6339200000002"/>
    <n v="0.4950027285685718"/>
    <s v="Jun-2025"/>
    <m/>
    <s v="Asia. China. Shanghai"/>
    <s v="High"/>
    <x v="0"/>
  </r>
  <r>
    <s v="ORD-2024-599522"/>
    <d v="2024-04-19T00:00:00"/>
    <d v="2024-05-06T00:00:00"/>
    <s v="Africa"/>
    <x v="1"/>
    <s v="Port Harcourt"/>
    <s v="Non-Profit"/>
    <s v="Online"/>
    <s v="A. Patel"/>
    <x v="1"/>
    <x v="38"/>
    <n v="865.33"/>
    <n v="1395.64"/>
    <n v="0.17499999999999999"/>
    <n v="13"/>
    <d v="2024-05-06T00:00:00"/>
    <s v="Ok"/>
    <n v="1395.64"/>
    <n v="17"/>
    <x v="38"/>
    <n v="11249.29"/>
    <n v="3718.9489999999987"/>
    <n v="0.24845601409758347"/>
    <s v="Apr-2024"/>
    <m/>
    <s v="Africa. Nigeria. Port Harcourt"/>
    <s v="High"/>
    <x v="0"/>
  </r>
  <r>
    <s v="ORD-2023-651638"/>
    <d v="2023-06-17T00:00:00"/>
    <d v="2023-06-24T00:00:00"/>
    <s v="Americas"/>
    <x v="10"/>
    <s v="San Francisco"/>
    <s v="Corporate"/>
    <s v="Retail"/>
    <s v="I. Johnson"/>
    <x v="1"/>
    <x v="39"/>
    <n v="313.99"/>
    <n v="454.42"/>
    <n v="0.129"/>
    <n v="9"/>
    <d v="2023-06-24T00:00:00"/>
    <s v="Ok"/>
    <n v="454.42"/>
    <n v="7"/>
    <x v="39"/>
    <n v="2825.91"/>
    <n v="736.28838000000042"/>
    <n v="0.20669493988147858"/>
    <s v="Jun-2023"/>
    <m/>
    <s v="Americas. USA. San Francisco"/>
    <s v="Low"/>
    <x v="0"/>
  </r>
  <r>
    <s v="ORD-2024-635626"/>
    <d v="2024-08-27T00:00:00"/>
    <d v="2024-09-19T00:00:00"/>
    <s v="Europe"/>
    <x v="6"/>
    <s v="Berlin"/>
    <s v="Small Business"/>
    <s v="Direct"/>
    <s v="D. Smith"/>
    <x v="5"/>
    <x v="40"/>
    <n v="1024.01"/>
    <n v="1580.97"/>
    <n v="3.6999999999999998E-2"/>
    <n v="27"/>
    <d v="2024-09-19T00:00:00"/>
    <s v="Ok"/>
    <n v="1580.97"/>
    <n v="23"/>
    <x v="40"/>
    <n v="27648.27"/>
    <n v="13458.530970000003"/>
    <n v="0.3274039976942531"/>
    <s v="Aug-2024"/>
    <m/>
    <s v="Europe. Germany. Berlin"/>
    <s v="High"/>
    <x v="0"/>
  </r>
  <r>
    <s v="ORD-2024-296582"/>
    <d v="2024-01-11T00:00:00"/>
    <d v="2024-02-02T00:00:00"/>
    <s v="Africa"/>
    <x v="11"/>
    <s v="Durban"/>
    <s v="Consumer"/>
    <s v="Online"/>
    <s v="K. Singh"/>
    <x v="2"/>
    <x v="41"/>
    <n v="1206.2"/>
    <n v="1759.79"/>
    <n v="0"/>
    <n v="6"/>
    <d v="2024-02-02T00:00:00"/>
    <s v="Ok"/>
    <n v="1759.79"/>
    <n v="22"/>
    <x v="41"/>
    <n v="7237.2000000000007"/>
    <n v="3321.5399999999991"/>
    <n v="0.31457730751964713"/>
    <s v="Jan-2024"/>
    <m/>
    <s v="Africa. South Africa. Durban"/>
    <s v="High"/>
    <x v="0"/>
  </r>
  <r>
    <s v="ORD-2024-998320"/>
    <d v="2024-10-25T00:00:00"/>
    <d v="2024-11-14T00:00:00"/>
    <s v="Africa"/>
    <x v="0"/>
    <s v="Mombasa"/>
    <s v="Corporate"/>
    <s v="Direct"/>
    <s v="H. Kim"/>
    <x v="1"/>
    <x v="42"/>
    <n v="1396.48"/>
    <n v="3204.5"/>
    <n v="0.318"/>
    <n v="14"/>
    <d v="2024-11-14T00:00:00"/>
    <s v="Ok"/>
    <n v="3204.5"/>
    <n v="20"/>
    <x v="42"/>
    <n v="19550.72"/>
    <n v="11045.845999999998"/>
    <n v="0.36101587348070363"/>
    <s v="Oct-2024"/>
    <m/>
    <s v="Africa. Kenya. Mombasa"/>
    <s v="High"/>
    <x v="0"/>
  </r>
  <r>
    <s v="ORD-2025-820255"/>
    <d v="2025-05-29T00:00:00"/>
    <d v="2025-06-20T00:00:00"/>
    <s v="Europe"/>
    <x v="6"/>
    <s v="Berlin"/>
    <s v="Corporate"/>
    <s v="Direct"/>
    <s v="A. Patel"/>
    <x v="1"/>
    <x v="43"/>
    <n v="483.47"/>
    <n v="1135.43"/>
    <n v="0.14599999999999999"/>
    <n v="11"/>
    <d v="2025-06-20T00:00:00"/>
    <s v="Ok"/>
    <n v="1135.43"/>
    <n v="22"/>
    <x v="43"/>
    <n v="5318.17"/>
    <n v="5348.0594200000014"/>
    <n v="0.50140112399719983"/>
    <s v="May-2025"/>
    <m/>
    <s v="Europe. Germany. Berlin"/>
    <s v="Low"/>
    <x v="0"/>
  </r>
  <r>
    <s v="ORD-2024-389336"/>
    <d v="2024-05-20T00:00:00"/>
    <d v="2024-06-02T00:00:00"/>
    <s v="Americas"/>
    <x v="3"/>
    <s v="Vancouver"/>
    <s v="Enterprise"/>
    <s v="Marketplace"/>
    <s v="K. Singh"/>
    <x v="0"/>
    <x v="44"/>
    <n v="675.43"/>
    <n v="996.36"/>
    <n v="0.182"/>
    <n v="22"/>
    <d v="2024-06-02T00:00:00"/>
    <s v="Ok"/>
    <n v="996.36"/>
    <n v="13"/>
    <x v="44"/>
    <n v="14859.46"/>
    <n v="3071.0345600000037"/>
    <n v="0.17127439233332575"/>
    <s v="May-2024"/>
    <m/>
    <s v="Americas. Canada. Vancouver"/>
    <s v="Low"/>
    <x v="0"/>
  </r>
  <r>
    <s v="ORD-2023-308124"/>
    <d v="2023-04-19T00:00:00"/>
    <d v="2023-04-30T00:00:00"/>
    <s v="Asia"/>
    <x v="4"/>
    <s v="Delhi"/>
    <s v="Small Business"/>
    <s v="Retail"/>
    <s v="A. Patel"/>
    <x v="2"/>
    <x v="45"/>
    <n v="826.55"/>
    <n v="1397.05"/>
    <n v="0.16900000000000001"/>
    <n v="28"/>
    <d v="2023-04-30T00:00:00"/>
    <s v="Ok"/>
    <n v="1397.05"/>
    <n v="11"/>
    <x v="45"/>
    <n v="23143.399999999998"/>
    <n v="9363.1594000000005"/>
    <n v="0.28803907804527601"/>
    <s v="Apr-2023"/>
    <m/>
    <s v="Asia. India. Delhi"/>
    <s v="High"/>
    <x v="0"/>
  </r>
  <r>
    <s v="ORD-2023-128295"/>
    <d v="2023-06-23T00:00:00"/>
    <d v="2023-07-03T00:00:00"/>
    <s v="Africa"/>
    <x v="1"/>
    <s v="Abuja"/>
    <s v="Consumer"/>
    <s v="Online"/>
    <s v="J. Njeri"/>
    <x v="1"/>
    <x v="46"/>
    <n v="337.75"/>
    <n v="548.89"/>
    <n v="0"/>
    <n v="13"/>
    <d v="2023-07-03T00:00:00"/>
    <s v="Ok"/>
    <n v="548.89"/>
    <n v="10"/>
    <x v="46"/>
    <n v="4390.75"/>
    <n v="2744.8199999999997"/>
    <n v="0.38466723751571352"/>
    <s v="Jun-2023"/>
    <m/>
    <s v="Africa. Nigeria. Abuja"/>
    <s v="Low"/>
    <x v="0"/>
  </r>
  <r>
    <s v="ORD-2024-548345"/>
    <d v="2024-05-14T00:00:00"/>
    <d v="2024-05-28T00:00:00"/>
    <s v="Europe"/>
    <x v="8"/>
    <s v="Birmingham"/>
    <s v="Consumer"/>
    <s v="Retail"/>
    <s v="B. Chen"/>
    <x v="2"/>
    <x v="47"/>
    <n v="1421.14"/>
    <n v="3524"/>
    <n v="0"/>
    <n v="31"/>
    <d v="2024-05-28T00:00:00"/>
    <s v="Ok"/>
    <n v="3524"/>
    <n v="14"/>
    <x v="47"/>
    <n v="44055.340000000004"/>
    <n v="65188.659999999996"/>
    <n v="0.59672531214528945"/>
    <s v="May-2024"/>
    <m/>
    <s v="Europe. United Kingdom. Birmingham"/>
    <s v="High"/>
    <x v="0"/>
  </r>
  <r>
    <s v="ORD-2024-966651"/>
    <d v="2024-10-14T00:00:00"/>
    <d v="2024-11-08T00:00:00"/>
    <s v="Africa"/>
    <x v="1"/>
    <s v="Lagos"/>
    <s v="Enterprise"/>
    <s v="Online"/>
    <s v="O. Wang"/>
    <x v="2"/>
    <x v="48"/>
    <n v="859.35"/>
    <n v="1825.61"/>
    <n v="0.187"/>
    <n v="24"/>
    <d v="2024-11-08T00:00:00"/>
    <s v="Ok"/>
    <n v="1825.61"/>
    <n v="25"/>
    <x v="48"/>
    <n v="20624.400000000001"/>
    <n v="14996.902319999994"/>
    <n v="0.42100937762681989"/>
    <s v="Oct-2024"/>
    <m/>
    <s v="Africa. Nigeria. Lagos"/>
    <s v="High"/>
    <x v="0"/>
  </r>
  <r>
    <s v="ORD-2023-292714"/>
    <d v="2023-07-10T00:00:00"/>
    <d v="2023-08-01T00:00:00"/>
    <s v="Europe"/>
    <x v="7"/>
    <s v="Marseille"/>
    <s v="Consumer"/>
    <s v="Marketplace"/>
    <s v="B. Chen"/>
    <x v="1"/>
    <x v="49"/>
    <n v="1303.56"/>
    <n v="1791.37"/>
    <n v="0.126"/>
    <n v="22"/>
    <d v="2023-08-01T00:00:00"/>
    <s v="Ok"/>
    <n v="1791.37"/>
    <n v="22"/>
    <x v="49"/>
    <n v="28678.32"/>
    <n v="5766.142359999998"/>
    <n v="0.16740404596055358"/>
    <s v="Jul-2023"/>
    <m/>
    <s v="Europe. France. Marseille"/>
    <s v="High"/>
    <x v="0"/>
  </r>
  <r>
    <s v="ORD-2024-468501"/>
    <d v="2024-11-06T00:00:00"/>
    <d v="2024-11-22T00:00:00"/>
    <s v="Americas"/>
    <x v="3"/>
    <s v="Toronto"/>
    <s v="Non-Profit"/>
    <s v="Distributor"/>
    <s v="D. Smith"/>
    <x v="6"/>
    <x v="50"/>
    <n v="1454.11"/>
    <n v="2629.75"/>
    <n v="0.29199999999999998"/>
    <n v="8"/>
    <d v="2024-11-22T00:00:00"/>
    <s v="Ok"/>
    <n v="2629.75"/>
    <n v="16"/>
    <x v="50"/>
    <n v="11632.88"/>
    <n v="3262.0239999999994"/>
    <n v="0.21900268709351867"/>
    <s v="Nov-2024"/>
    <m/>
    <s v="Americas. Canada. Toronto"/>
    <s v="High"/>
    <x v="0"/>
  </r>
  <r>
    <s v="ORD-2024-260775"/>
    <d v="2024-10-17T00:00:00"/>
    <d v="2024-11-06T00:00:00"/>
    <s v="Asia"/>
    <x v="4"/>
    <s v="Bengaluru"/>
    <s v="Enterprise"/>
    <s v="Distributor"/>
    <s v="O. Wang"/>
    <x v="5"/>
    <x v="51"/>
    <n v="72.94"/>
    <n v="106.3"/>
    <n v="0.29499999999999998"/>
    <n v="8"/>
    <d v="2024-11-06T00:00:00"/>
    <s v="Ok"/>
    <n v="106.3"/>
    <n v="20"/>
    <x v="51"/>
    <n v="583.52"/>
    <n v="16.012000000000057"/>
    <n v="2.6707498515508857E-2"/>
    <s v="Oct-2024"/>
    <m/>
    <s v="Asia. India. Bengaluru"/>
    <s v="Low"/>
    <x v="0"/>
  </r>
  <r>
    <s v="ORD-2023-419187"/>
    <d v="2023-03-31T00:00:00"/>
    <d v="2023-04-05T00:00:00"/>
    <s v="Africa"/>
    <x v="0"/>
    <s v="Nakuru"/>
    <s v="Education"/>
    <s v="Marketplace"/>
    <s v="B. Chen"/>
    <x v="4"/>
    <x v="52"/>
    <n v="533.26"/>
    <n v="385.72"/>
    <n v="0"/>
    <n v="15"/>
    <d v="2023-04-05T00:00:00"/>
    <s v="Ok"/>
    <n v="385.72"/>
    <n v="5"/>
    <x v="52"/>
    <n v="7998.9"/>
    <n v="-2213.0999999999995"/>
    <n v="-0.38250544436378708"/>
    <s v="Mar-2023"/>
    <m/>
    <s v="Africa. Kenya. Nakuru"/>
    <s v="Low"/>
    <x v="0"/>
  </r>
  <r>
    <s v="ORD-2025-578007"/>
    <d v="2025-01-21T00:00:00"/>
    <d v="2025-02-16T00:00:00"/>
    <s v="Europe"/>
    <x v="7"/>
    <s v="Lyon"/>
    <s v="Corporate"/>
    <s v="Distributor"/>
    <s v="O. Wang"/>
    <x v="4"/>
    <x v="53"/>
    <n v="204.11"/>
    <n v="236.87"/>
    <n v="0.182"/>
    <n v="13"/>
    <d v="2025-02-16T00:00:00"/>
    <s v="Ok"/>
    <n v="236.87"/>
    <n v="26"/>
    <x v="53"/>
    <n v="2653.4300000000003"/>
    <n v="-134.55441999999994"/>
    <n v="-5.3418446337075494E-2"/>
    <s v="Jan-2025"/>
    <m/>
    <s v="Europe. France. Lyon"/>
    <s v="Low"/>
    <x v="0"/>
  </r>
  <r>
    <s v="ORD-2023-235230"/>
    <d v="2023-08-30T00:00:00"/>
    <d v="2023-09-01T00:00:00"/>
    <s v="Europe"/>
    <x v="6"/>
    <s v="Munich"/>
    <s v="Corporate"/>
    <s v="Direct"/>
    <s v="N. Brown"/>
    <x v="2"/>
    <x v="54"/>
    <n v="44.42"/>
    <n v="41.9"/>
    <n v="0.14399999999999999"/>
    <n v="6"/>
    <d v="2023-09-01T00:00:00"/>
    <s v="Ok"/>
    <n v="41.9"/>
    <n v="2"/>
    <x v="54"/>
    <n v="266.52"/>
    <n v="-51.321600000000018"/>
    <n v="-0.23848504449847224"/>
    <s v="Aug-2023"/>
    <m/>
    <s v="Europe. Germany. Munich"/>
    <s v="Low"/>
    <x v="0"/>
  </r>
  <r>
    <s v="ORD-2025-765220"/>
    <d v="2025-04-06T00:00:00"/>
    <d v="2025-04-30T00:00:00"/>
    <s v="Americas"/>
    <x v="5"/>
    <s v="Brasília"/>
    <s v="Education"/>
    <s v="Online"/>
    <s v="K. Singh"/>
    <x v="5"/>
    <x v="55"/>
    <n v="855.78"/>
    <n v="977.38"/>
    <n v="0.14699999999999999"/>
    <n v="38"/>
    <d v="2025-04-30T00:00:00"/>
    <s v="Ok"/>
    <n v="977.38"/>
    <n v="24"/>
    <x v="55"/>
    <n v="32519.64"/>
    <n v="-838.84467999999833"/>
    <n v="-2.6478018355506307E-2"/>
    <s v="Apr-2025"/>
    <m/>
    <s v="Americas. Brazil. Brasília"/>
    <s v="Low"/>
    <x v="0"/>
  </r>
  <r>
    <s v="ORD-2025-931538"/>
    <d v="2025-02-09T00:00:00"/>
    <d v="2025-03-01T00:00:00"/>
    <s v="Americas"/>
    <x v="5"/>
    <s v="São Paulo"/>
    <s v="Corporate"/>
    <s v="Distributor"/>
    <s v="B. Chen"/>
    <x v="4"/>
    <x v="56"/>
    <n v="1154.6400000000001"/>
    <n v="2794.13"/>
    <n v="3.5000000000000003E-2"/>
    <n v="11"/>
    <d v="2025-03-01T00:00:00"/>
    <s v="Ok"/>
    <n v="2794.13"/>
    <n v="20"/>
    <x v="56"/>
    <n v="12701.04"/>
    <n v="16958.649949999999"/>
    <n v="0.57177435025749479"/>
    <s v="Feb-2025"/>
    <m/>
    <s v="Americas. Brazil. São Paulo"/>
    <s v="High"/>
    <x v="0"/>
  </r>
  <r>
    <s v="ORD-2024-289089"/>
    <d v="2024-12-17T00:00:00"/>
    <d v="2024-12-18T00:00:00"/>
    <s v="Europe"/>
    <x v="6"/>
    <s v="Munich"/>
    <s v="Education"/>
    <s v="Retail"/>
    <s v="L. Okafor"/>
    <x v="6"/>
    <x v="57"/>
    <n v="346.82"/>
    <n v="701.95"/>
    <n v="0.14699999999999999"/>
    <n v="8"/>
    <d v="2024-12-18T00:00:00"/>
    <s v="Ok"/>
    <n v="701.95"/>
    <n v="1"/>
    <x v="57"/>
    <n v="2774.56"/>
    <n v="2015.5468000000005"/>
    <n v="0.42077283120284509"/>
    <s v="Dec-2024"/>
    <m/>
    <s v="Europe. Germany. Munich"/>
    <s v="Low"/>
    <x v="0"/>
  </r>
  <r>
    <s v="ORD-2025-639542"/>
    <d v="2025-06-09T00:00:00"/>
    <d v="2025-06-18T00:00:00"/>
    <s v="Europe"/>
    <x v="7"/>
    <s v="Marseille"/>
    <s v="Small Business"/>
    <s v="Marketplace"/>
    <s v="H. Kim"/>
    <x v="6"/>
    <x v="58"/>
    <n v="1225.5"/>
    <n v="-5.27"/>
    <n v="7.4999999999999997E-2"/>
    <n v="56"/>
    <d v="2025-06-18T00:00:00"/>
    <s v="Invalid Price"/>
    <n v="5.27"/>
    <n v="9"/>
    <x v="58"/>
    <n v="68628"/>
    <n v="-68355.013999999996"/>
    <n v="-250.39750756449047"/>
    <s v="Jun-2025"/>
    <m/>
    <s v="Europe. France. Marseille"/>
    <s v="Low"/>
    <x v="0"/>
  </r>
  <r>
    <s v="ORD-2025-762301"/>
    <d v="2025-05-02T00:00:00"/>
    <d v="2025-05-13T00:00:00"/>
    <s v="Africa"/>
    <x v="0"/>
    <s v="Nakuru"/>
    <s v="Small Business"/>
    <s v="Online"/>
    <s v="A. Patel"/>
    <x v="6"/>
    <x v="59"/>
    <n v="1057.5999999999999"/>
    <n v="1437.06"/>
    <n v="0.20499999999999999"/>
    <n v="4"/>
    <d v="2025-05-13T00:00:00"/>
    <s v="Ok"/>
    <n v="1437.06"/>
    <n v="11"/>
    <x v="59"/>
    <n v="4230.3999999999996"/>
    <n v="339.45080000000053"/>
    <n v="7.4280499485891424E-2"/>
    <s v="May-2025"/>
    <m/>
    <s v="Africa. Kenya. Nakuru"/>
    <s v="High"/>
    <x v="0"/>
  </r>
  <r>
    <s v="ORD-2024-906395"/>
    <d v="2024-03-10T00:00:00"/>
    <d v="2024-04-09T00:00:00"/>
    <s v="Europe"/>
    <x v="7"/>
    <s v="Lyon"/>
    <s v="Corporate"/>
    <s v="Direct"/>
    <s v="I. Johnson"/>
    <x v="0"/>
    <x v="60"/>
    <n v="1176.56"/>
    <n v="1911.89"/>
    <n v="0.11899999999999999"/>
    <n v="20"/>
    <d v="2024-04-09T00:00:00"/>
    <s v="Ok"/>
    <n v="1911.89"/>
    <n v="30"/>
    <x v="60"/>
    <n v="23531.199999999997"/>
    <n v="10156.301800000008"/>
    <n v="0.30148575160892477"/>
    <s v="Mar-2024"/>
    <m/>
    <s v="Europe. France. Lyon"/>
    <s v="High"/>
    <x v="0"/>
  </r>
  <r>
    <s v="ORD-2025-779574"/>
    <d v="2025-09-10T00:00:00"/>
    <d v="2025-09-12T00:00:00"/>
    <s v="Asia"/>
    <x v="2"/>
    <s v="Tokyo"/>
    <s v="Consumer"/>
    <s v="Online"/>
    <s v="O. Wang"/>
    <x v="0"/>
    <x v="61"/>
    <n v="1470.15"/>
    <n v="2593.7800000000002"/>
    <n v="0.11"/>
    <n v="12"/>
    <d v="2025-09-12T00:00:00"/>
    <s v="Ok"/>
    <n v="2593.7800000000002"/>
    <n v="2"/>
    <x v="61"/>
    <n v="17641.800000000003"/>
    <n v="10059.770399999998"/>
    <n v="0.36314801849645306"/>
    <s v="Sep-2025"/>
    <m/>
    <s v="Asia. Japan. Tokyo"/>
    <s v="High"/>
    <x v="1"/>
  </r>
  <r>
    <s v="ORD-2025-526650"/>
    <d v="2025-04-27T00:00:00"/>
    <d v="2025-05-25T00:00:00"/>
    <s v="Europe"/>
    <x v="7"/>
    <s v="Paris"/>
    <s v="Small Business"/>
    <s v="Marketplace"/>
    <s v="I. Johnson"/>
    <x v="3"/>
    <x v="62"/>
    <n v="603.45000000000005"/>
    <n v="1244.08"/>
    <n v="0.2"/>
    <n v="11"/>
    <d v="2025-05-25T00:00:00"/>
    <s v="Ok"/>
    <n v="1244.08"/>
    <n v="28"/>
    <x v="62"/>
    <n v="6637.9500000000007"/>
    <n v="4309.9539999999997"/>
    <n v="0.39367846119220623"/>
    <s v="Apr-2025"/>
    <m/>
    <s v="Europe. France. Paris"/>
    <s v="High"/>
    <x v="0"/>
  </r>
  <r>
    <s v="ORD-2024-247979"/>
    <d v="2024-11-02T00:00:00"/>
    <d v="2024-11-18T00:00:00"/>
    <s v="Asia"/>
    <x v="4"/>
    <s v="Mumbai"/>
    <s v="Small Business"/>
    <s v="Distributor"/>
    <s v="O. Wang"/>
    <x v="5"/>
    <x v="63"/>
    <n v="1233.58"/>
    <n v="1912.51"/>
    <n v="0.255"/>
    <n v="51"/>
    <d v="2024-11-18T00:00:00"/>
    <s v="Ok"/>
    <n v="1912.51"/>
    <n v="16"/>
    <x v="63"/>
    <n v="62912.579999999994"/>
    <n v="9753.2374500000078"/>
    <n v="0.134220432553601"/>
    <s v="Nov-2024"/>
    <m/>
    <s v="Asia. India. Mumbai"/>
    <s v="High"/>
    <x v="0"/>
  </r>
  <r>
    <s v="ORD-2023-480975"/>
    <d v="2023-02-15T00:00:00"/>
    <d v="2023-02-26T00:00:00"/>
    <s v="Africa"/>
    <x v="11"/>
    <s v="Johannesburg"/>
    <s v="Non-Profit"/>
    <s v="Retail"/>
    <s v="K. Singh"/>
    <x v="4"/>
    <x v="64"/>
    <n v="498.5"/>
    <n v="755.87"/>
    <n v="0.13"/>
    <n v="40"/>
    <d v="2023-02-26T00:00:00"/>
    <s v="Ok"/>
    <n v="755.87"/>
    <n v="11"/>
    <x v="64"/>
    <n v="19940"/>
    <n v="6364.275999999998"/>
    <n v="0.24194834330357537"/>
    <s v="Feb-2023"/>
    <m/>
    <s v="Africa. South Africa. Johannesburg"/>
    <s v="Low"/>
    <x v="0"/>
  </r>
  <r>
    <s v="ORD-2023-239789"/>
    <d v="2023-12-03T00:00:00"/>
    <d v="2023-12-26T00:00:00"/>
    <s v="Americas"/>
    <x v="5"/>
    <s v="Rio de Janeiro"/>
    <s v="Education"/>
    <s v="Retail"/>
    <s v="O. Wang"/>
    <x v="3"/>
    <x v="65"/>
    <n v="1303.1099999999999"/>
    <n v="1145.67"/>
    <n v="0.184"/>
    <n v="13"/>
    <d v="2023-12-26T00:00:00"/>
    <s v="Ok"/>
    <n v="1145.67"/>
    <n v="23"/>
    <x v="65"/>
    <n v="16940.43"/>
    <n v="-4787.1626399999986"/>
    <n v="-0.39389922875851208"/>
    <s v="Dec-2023"/>
    <m/>
    <s v="Americas. Brazil. Rio de Janeiro"/>
    <s v="Low"/>
    <x v="0"/>
  </r>
  <r>
    <s v="ORD-2023-548874"/>
    <d v="2023-03-19T00:00:00"/>
    <d v="2023-04-09T00:00:00"/>
    <s v="Europe"/>
    <x v="8"/>
    <s v="Manchester"/>
    <s v="Consumer"/>
    <s v="Retail"/>
    <s v="L. Okafor"/>
    <x v="6"/>
    <x v="66"/>
    <n v="1082.17"/>
    <n v="1234.0999999999999"/>
    <n v="0.189"/>
    <n v="16"/>
    <d v="2023-04-09T00:00:00"/>
    <s v="Ok"/>
    <n v="1234.0999999999999"/>
    <n v="21"/>
    <x v="66"/>
    <n v="17314.72"/>
    <n v="-1301.0384000000031"/>
    <n v="-8.124542703534228E-2"/>
    <s v="Mar-2023"/>
    <m/>
    <s v="Europe. United Kingdom. Manchester"/>
    <s v="High"/>
    <x v="0"/>
  </r>
  <r>
    <s v="ORD-2024-347736"/>
    <d v="2024-05-22T00:00:00"/>
    <d v="2024-06-06T00:00:00"/>
    <s v="Asia"/>
    <x v="2"/>
    <s v="Nagoya"/>
    <s v="Corporate"/>
    <s v="Distributor"/>
    <s v="C. Otieno"/>
    <x v="5"/>
    <x v="67"/>
    <n v="673.88"/>
    <n v="1228.01"/>
    <n v="0.105"/>
    <n v="13"/>
    <d v="2024-06-06T00:00:00"/>
    <s v="Ok"/>
    <n v="1228.01"/>
    <n v="15"/>
    <x v="67"/>
    <n v="8760.44"/>
    <n v="5527.4563499999986"/>
    <n v="0.38686285332689996"/>
    <s v="May-2024"/>
    <m/>
    <s v="Asia. Japan. Nagoya"/>
    <s v="High"/>
    <x v="1"/>
  </r>
  <r>
    <s v="ORD-2023-749324"/>
    <d v="2023-08-19T00:00:00"/>
    <d v="2023-09-07T00:00:00"/>
    <s v="Africa"/>
    <x v="11"/>
    <s v="Johannesburg"/>
    <s v="Enterprise"/>
    <s v="Retail"/>
    <s v="D. Smith"/>
    <x v="5"/>
    <x v="68"/>
    <n v="494.61"/>
    <n v="605.23"/>
    <n v="0.20399999999999999"/>
    <n v="18"/>
    <d v="2023-09-07T00:00:00"/>
    <s v="Ok"/>
    <n v="605.23"/>
    <n v="19"/>
    <x v="68"/>
    <n v="8902.98"/>
    <n v="-231.24455999999918"/>
    <n v="-2.6666468505639647E-2"/>
    <s v="Aug-2023"/>
    <m/>
    <s v="Africa. South Africa. Johannesburg"/>
    <s v="Low"/>
    <x v="0"/>
  </r>
  <r>
    <s v="ORD-2023-809913"/>
    <d v="2023-04-21T00:00:00"/>
    <d v="2023-05-10T00:00:00"/>
    <s v="Asia"/>
    <x v="9"/>
    <s v="Shanghai"/>
    <s v="Corporate"/>
    <s v="Retail"/>
    <s v="A. Patel"/>
    <x v="0"/>
    <x v="69"/>
    <n v="882.33"/>
    <n v="1880.15"/>
    <n v="0.05"/>
    <n v="5"/>
    <d v="2023-05-10T00:00:00"/>
    <s v="Ok"/>
    <n v="1880.15"/>
    <n v="19"/>
    <x v="69"/>
    <n v="4411.6500000000005"/>
    <n v="4519.0624999999991"/>
    <n v="0.50601365792482955"/>
    <s v="Apr-2023"/>
    <m/>
    <s v="Asia. China. Shanghai"/>
    <s v="High"/>
    <x v="0"/>
  </r>
  <r>
    <s v="ORD-2024-287210"/>
    <d v="2024-03-18T00:00:00"/>
    <d v="2024-03-21T00:00:00"/>
    <s v="Europe"/>
    <x v="6"/>
    <s v="Munich"/>
    <s v="Small Business"/>
    <s v="Online"/>
    <s v="M. Rossi"/>
    <x v="6"/>
    <x v="70"/>
    <n v="910.63"/>
    <n v="1269.4000000000001"/>
    <n v="6.8000000000000005E-2"/>
    <n v="9"/>
    <d v="2024-03-21T00:00:00"/>
    <s v="Ok"/>
    <n v="1269.4000000000001"/>
    <n v="3"/>
    <x v="70"/>
    <n v="8195.67"/>
    <n v="2452.0571999999993"/>
    <n v="0.23028925834989455"/>
    <s v="Mar-2024"/>
    <m/>
    <s v="Europe. Germany. Munich"/>
    <s v="High"/>
    <x v="0"/>
  </r>
  <r>
    <s v="ORD-2025-640677"/>
    <d v="2025-04-09T00:00:00"/>
    <d v="2025-05-06T00:00:00"/>
    <s v="Americas"/>
    <x v="5"/>
    <s v="Brasília"/>
    <s v="Enterprise"/>
    <s v="Marketplace"/>
    <s v="F. Müller"/>
    <x v="4"/>
    <x v="71"/>
    <n v="264.19"/>
    <n v="620.92999999999995"/>
    <n v="0.14199999999999999"/>
    <n v="12"/>
    <d v="2025-05-06T00:00:00"/>
    <s v="Ok"/>
    <n v="620.92999999999995"/>
    <n v="27"/>
    <x v="71"/>
    <n v="3170.2799999999997"/>
    <n v="3222.8152799999998"/>
    <n v="0.50410875152794532"/>
    <s v="Apr-2025"/>
    <m/>
    <s v="Americas. Brazil. Brasília"/>
    <s v="Low"/>
    <x v="0"/>
  </r>
  <r>
    <s v="ORD-2024-939873"/>
    <d v="2024-04-12T00:00:00"/>
    <d v="2024-05-07T00:00:00"/>
    <s v="Africa"/>
    <x v="11"/>
    <s v="Johannesburg"/>
    <s v="Education"/>
    <s v="Distributor"/>
    <s v="A. Patel"/>
    <x v="4"/>
    <x v="72"/>
    <n v="1376.51"/>
    <n v="1455.91"/>
    <n v="0.185"/>
    <n v="17"/>
    <d v="2024-05-07T00:00:00"/>
    <s v="Ok"/>
    <n v="1455.91"/>
    <n v="25"/>
    <x v="72"/>
    <n v="23400.67"/>
    <n v="-3229.0369499999979"/>
    <n v="-0.1600781127634085"/>
    <s v="Apr-2024"/>
    <m/>
    <s v="Africa. South Africa. Johannesburg"/>
    <s v="High"/>
    <x v="0"/>
  </r>
  <r>
    <s v="ORD-2024-800947"/>
    <d v="2024-12-15T00:00:00"/>
    <d v="2024-12-20T00:00:00"/>
    <s v="Asia"/>
    <x v="9"/>
    <s v="Shenzhen"/>
    <s v="Small Business"/>
    <s v="Direct"/>
    <s v="J. Njeri"/>
    <x v="2"/>
    <x v="73"/>
    <n v="717.55"/>
    <n v="546.42999999999995"/>
    <n v="4.7E-2"/>
    <n v="18"/>
    <d v="2024-12-20T00:00:00"/>
    <s v="Ok"/>
    <n v="546.42999999999995"/>
    <n v="5"/>
    <x v="73"/>
    <n v="12915.9"/>
    <n v="-3542.4397800000006"/>
    <n v="-0.37792231437026369"/>
    <s v="Dec-2024"/>
    <m/>
    <s v="Asia. China. Shenzhen"/>
    <s v="Low"/>
    <x v="0"/>
  </r>
  <r>
    <s v="ORD-2023-382272"/>
    <d v="2023-05-20T00:00:00"/>
    <d v="2023-05-18T00:00:00"/>
    <s v="Africa"/>
    <x v="11"/>
    <s v="Durban"/>
    <s v="Corporate"/>
    <s v="Distributor"/>
    <s v="A. Patel"/>
    <x v="0"/>
    <x v="74"/>
    <n v="917.88"/>
    <n v="1347.92"/>
    <n v="0.34300000000000003"/>
    <n v="5"/>
    <d v="2023-05-27T00:00:00"/>
    <s v="Ok"/>
    <n v="1347.92"/>
    <n v="7"/>
    <x v="74"/>
    <n v="4589.3999999999996"/>
    <n v="-161.48279999999886"/>
    <n v="-3.6469245630880096E-2"/>
    <s v="May-2023"/>
    <m/>
    <s v="Africa. South Africa. Durban"/>
    <s v="High"/>
    <x v="0"/>
  </r>
  <r>
    <s v="ORD-2023-722117"/>
    <d v="2023-09-18T00:00:00"/>
    <d v="2023-10-08T00:00:00"/>
    <s v="Asia"/>
    <x v="4"/>
    <s v="Delhi"/>
    <s v="Small Business"/>
    <s v="Direct"/>
    <s v="B. Chen"/>
    <x v="0"/>
    <x v="75"/>
    <n v="825.64"/>
    <n v="1108.43"/>
    <n v="0.114"/>
    <n v="7"/>
    <d v="2023-10-08T00:00:00"/>
    <s v="Ok"/>
    <n v="1108.43"/>
    <n v="20"/>
    <x v="75"/>
    <n v="5779.48"/>
    <n v="1095.0028600000005"/>
    <n v="0.15928512475773349"/>
    <s v="Sep-2023"/>
    <m/>
    <s v="Asia. India. Delhi"/>
    <s v="Low"/>
    <x v="0"/>
  </r>
  <r>
    <s v="ORD-2024-446699"/>
    <d v="2024-08-28T00:00:00"/>
    <d v="2024-09-25T00:00:00"/>
    <s v="Americas"/>
    <x v="5"/>
    <s v="Rio de Janeiro"/>
    <s v="Non-Profit"/>
    <s v="Online"/>
    <s v="Unknown"/>
    <x v="6"/>
    <x v="76"/>
    <n v="1394.65"/>
    <n v="3144.1"/>
    <n v="0.13400000000000001"/>
    <n v="13"/>
    <d v="2024-09-25T00:00:00"/>
    <s v="Ok"/>
    <n v="3144.1"/>
    <n v="28"/>
    <x v="76"/>
    <n v="18130.45"/>
    <n v="17265.827799999995"/>
    <n v="0.4877865378263021"/>
    <s v="Aug-2024"/>
    <m/>
    <s v="Americas. Brazil. Rio de Janeiro"/>
    <s v="High"/>
    <x v="0"/>
  </r>
  <r>
    <s v="ORD-2024-451005"/>
    <d v="2024-06-30T00:00:00"/>
    <d v="2024-06-28T00:00:00"/>
    <s v="Americas"/>
    <x v="5"/>
    <s v="Rio de Janeiro"/>
    <s v="Small Business"/>
    <s v="Direct"/>
    <s v="L. Okafor"/>
    <x v="6"/>
    <x v="77"/>
    <n v="1112.98"/>
    <n v="2095.73"/>
    <n v="7.1999999999999995E-2"/>
    <n v="17"/>
    <d v="2024-07-07T00:00:00"/>
    <s v="Ok"/>
    <n v="2095.73"/>
    <n v="7"/>
    <x v="77"/>
    <n v="18920.66"/>
    <n v="14141.576480000007"/>
    <n v="0.42772594916724777"/>
    <s v="Jun-2024"/>
    <m/>
    <s v="Americas. Brazil. Rio de Janeiro"/>
    <s v="High"/>
    <x v="0"/>
  </r>
  <r>
    <s v="ORD-2023-290279"/>
    <d v="2023-06-14T00:00:00"/>
    <d v="2023-06-16T00:00:00"/>
    <s v="Europe"/>
    <x v="8"/>
    <s v="Manchester"/>
    <s v="Non-Profit"/>
    <s v="Direct"/>
    <s v="K. Singh"/>
    <x v="0"/>
    <x v="78"/>
    <n v="357.36"/>
    <n v="703.62"/>
    <n v="0.25700000000000001"/>
    <n v="20"/>
    <d v="2023-06-16T00:00:00"/>
    <s v="Ok"/>
    <n v="703.62"/>
    <n v="2"/>
    <x v="78"/>
    <n v="7147.2000000000007"/>
    <n v="3308.5931999999993"/>
    <n v="0.31643636563125593"/>
    <s v="Jun-2023"/>
    <m/>
    <s v="Europe. United Kingdom. Manchester"/>
    <s v="Low"/>
    <x v="0"/>
  </r>
  <r>
    <s v="ORD-2024-192263"/>
    <d v="2024-11-21T00:00:00"/>
    <d v="2024-12-21T00:00:00"/>
    <s v="Europe"/>
    <x v="7"/>
    <s v="Marseille"/>
    <s v="Small Business"/>
    <s v="Direct"/>
    <s v="I. Johnson"/>
    <x v="5"/>
    <x v="79"/>
    <n v="1122.68"/>
    <n v="1997.19"/>
    <n v="0.186"/>
    <n v="3"/>
    <d v="2024-12-21T00:00:00"/>
    <s v="Ok"/>
    <n v="1997.19"/>
    <n v="30"/>
    <x v="79"/>
    <n v="3368.04"/>
    <n v="1509.0979800000005"/>
    <n v="0.30942285951073306"/>
    <s v="Nov-2024"/>
    <m/>
    <s v="Europe. France. Marseille"/>
    <s v="High"/>
    <x v="0"/>
  </r>
  <r>
    <s v="ORD-2023-159379"/>
    <d v="2023-02-08T00:00:00"/>
    <d v="2023-02-11T00:00:00"/>
    <s v="Africa"/>
    <x v="11"/>
    <s v="Cape Town"/>
    <s v="Corporate"/>
    <s v="Direct"/>
    <s v="M. Rossi"/>
    <x v="2"/>
    <x v="80"/>
    <n v="1410.05"/>
    <n v="2763.95"/>
    <n v="0.161"/>
    <n v="26"/>
    <d v="2023-02-11T00:00:00"/>
    <s v="Ok"/>
    <n v="2763.95"/>
    <n v="3"/>
    <x v="80"/>
    <n v="36661.299999999996"/>
    <n v="23631.505299999997"/>
    <n v="0.39194569206750779"/>
    <s v="Feb-2023"/>
    <m/>
    <s v="Africa. South Africa. Cape Town"/>
    <s v="High"/>
    <x v="0"/>
  </r>
  <r>
    <s v="ORD-2023-343322"/>
    <d v="2023-08-19T00:00:00"/>
    <d v="2023-09-12T00:00:00"/>
    <s v="Americas"/>
    <x v="3"/>
    <s v="Vancouver"/>
    <s v="Enterprise"/>
    <s v="Retail"/>
    <s v="I. Johnson"/>
    <x v="1"/>
    <x v="81"/>
    <n v="1183.95"/>
    <n v="1503.53"/>
    <n v="0.24099999999999999"/>
    <n v="16"/>
    <d v="2023-09-12T00:00:00"/>
    <s v="Ok"/>
    <n v="1503.53"/>
    <n v="24"/>
    <x v="81"/>
    <n v="18943.2"/>
    <n v="-684.33167999999932"/>
    <n v="-3.7479413729623705E-2"/>
    <s v="Aug-2023"/>
    <m/>
    <s v="Americas. Canada. Vancouver"/>
    <s v="High"/>
    <x v="0"/>
  </r>
  <r>
    <s v="ORD-2025-114382"/>
    <d v="2025-05-14T00:00:00"/>
    <d v="2025-05-24T00:00:00"/>
    <s v="Europe"/>
    <x v="7"/>
    <s v="Paris"/>
    <s v="Small Business"/>
    <s v="Marketplace"/>
    <s v="K. Singh"/>
    <x v="0"/>
    <x v="82"/>
    <n v="170.39"/>
    <n v="388.04"/>
    <n v="8.4000000000000005E-2"/>
    <n v="15"/>
    <d v="2025-05-24T00:00:00"/>
    <s v="Ok"/>
    <n v="388.04"/>
    <n v="10"/>
    <x v="82"/>
    <n v="2555.85"/>
    <n v="2775.8196000000003"/>
    <n v="0.52062858508711796"/>
    <s v="May-2025"/>
    <m/>
    <s v="Europe. France. Paris"/>
    <s v="Low"/>
    <x v="0"/>
  </r>
  <r>
    <s v="ORD-2025-488349"/>
    <d v="2025-04-23T00:00:00"/>
    <d v="2025-04-22T00:00:00"/>
    <s v="Americas"/>
    <x v="10"/>
    <s v="San Francisco"/>
    <s v="Non-Profit"/>
    <s v="Distributor"/>
    <s v="D. Smith"/>
    <x v="5"/>
    <x v="83"/>
    <n v="23.24"/>
    <n v="44.57"/>
    <n v="0.215"/>
    <n v="15"/>
    <d v="2025-04-30T00:00:00"/>
    <s v="Ok"/>
    <n v="44.57"/>
    <n v="7"/>
    <x v="83"/>
    <n v="348.59999999999997"/>
    <n v="176.21174999999999"/>
    <n v="0.33576182316802167"/>
    <s v="Apr-2025"/>
    <m/>
    <s v="Americas. USA. San Francisco"/>
    <s v="Low"/>
    <x v="0"/>
  </r>
  <r>
    <s v="ORD-2025-330203"/>
    <d v="2025-03-25T00:00:00"/>
    <d v="2025-04-17T00:00:00"/>
    <s v="Europe"/>
    <x v="8"/>
    <s v="London"/>
    <s v="Consumer"/>
    <s v="Retail"/>
    <s v="H. Kim"/>
    <x v="2"/>
    <x v="84"/>
    <n v="1421.19"/>
    <n v="1808.26"/>
    <n v="0.104"/>
    <n v="13"/>
    <d v="2025-04-17T00:00:00"/>
    <s v="Ok"/>
    <n v="1808.26"/>
    <n v="23"/>
    <x v="84"/>
    <n v="18475.47"/>
    <n v="2587.1424799999986"/>
    <n v="0.12283103449093123"/>
    <s v="Mar-2025"/>
    <m/>
    <s v="Europe. United Kingdom. London"/>
    <s v="High"/>
    <x v="0"/>
  </r>
  <r>
    <s v="ORD-2023-841426"/>
    <d v="2023-12-22T00:00:00"/>
    <d v="2023-12-23T00:00:00"/>
    <s v="Africa"/>
    <x v="11"/>
    <s v="Cape Town"/>
    <s v="Non-Profit"/>
    <s v="Marketplace"/>
    <s v="D. Smith"/>
    <x v="0"/>
    <x v="85"/>
    <n v="1186.18"/>
    <n v="1285.0899999999999"/>
    <n v="7.0000000000000007E-2"/>
    <n v="11"/>
    <d v="2023-12-23T00:00:00"/>
    <s v="Ok"/>
    <n v="1285.0899999999999"/>
    <n v="1"/>
    <x v="85"/>
    <n v="13047.980000000001"/>
    <n v="98.49069999999665"/>
    <n v="7.4917977796121861E-3"/>
    <s v="Dec-2023"/>
    <m/>
    <s v="Africa. South Africa. Cape Town"/>
    <s v="High"/>
    <x v="0"/>
  </r>
  <r>
    <s v="ORD-2024-594592"/>
    <d v="2024-04-06T00:00:00"/>
    <d v="2024-04-25T00:00:00"/>
    <s v="Asia"/>
    <x v="9"/>
    <s v="Shanghai"/>
    <s v="Corporate"/>
    <s v="Retail"/>
    <s v="K. Singh"/>
    <x v="0"/>
    <x v="86"/>
    <n v="1366.48"/>
    <n v="1678.14"/>
    <n v="0.154"/>
    <n v="10"/>
    <d v="2024-04-25T00:00:00"/>
    <s v="Ok"/>
    <n v="1678.14"/>
    <n v="19"/>
    <x v="86"/>
    <n v="13664.8"/>
    <n v="532.26440000000184"/>
    <n v="3.7491159087790132E-2"/>
    <s v="Apr-2024"/>
    <m/>
    <s v="Asia. China. Shanghai"/>
    <s v="High"/>
    <x v="0"/>
  </r>
  <r>
    <s v="ORD-2025-863978"/>
    <d v="2025-08-07T00:00:00"/>
    <d v="2025-08-19T00:00:00"/>
    <s v="Africa"/>
    <x v="0"/>
    <s v="Nakuru"/>
    <s v="Corporate"/>
    <s v="Unknown"/>
    <s v="M. Rossi"/>
    <x v="0"/>
    <x v="87"/>
    <n v="601.51"/>
    <n v="679.35"/>
    <n v="0.188"/>
    <n v="3"/>
    <d v="2025-08-19T00:00:00"/>
    <s v="Ok"/>
    <n v="679.35"/>
    <n v="12"/>
    <x v="87"/>
    <n v="1804.53"/>
    <n v="-149.63339999999971"/>
    <n v="-9.0418579626062243E-2"/>
    <s v="Aug-2025"/>
    <m/>
    <s v="Africa. Kenya. Nakuru"/>
    <s v="Low"/>
    <x v="0"/>
  </r>
  <r>
    <s v="ORD-2024-604471"/>
    <d v="2024-01-21T00:00:00"/>
    <d v="2024-01-25T00:00:00"/>
    <s v="Asia"/>
    <x v="4"/>
    <s v="Delhi"/>
    <s v="Consumer"/>
    <s v="Direct"/>
    <s v="C. Otieno"/>
    <x v="5"/>
    <x v="88"/>
    <n v="523.70000000000005"/>
    <n v="1109.92"/>
    <n v="0.03"/>
    <n v="11"/>
    <d v="2024-01-25T00:00:00"/>
    <s v="Ok"/>
    <n v="1109.92"/>
    <n v="4"/>
    <x v="88"/>
    <n v="5760.7000000000007"/>
    <n v="6082.1463999999996"/>
    <n v="0.51357133197302973"/>
    <s v="Jan-2024"/>
    <m/>
    <s v="Asia. India. Delhi"/>
    <s v="Low"/>
    <x v="0"/>
  </r>
  <r>
    <s v="ORD-2023-258768"/>
    <d v="2023-06-29T00:00:00"/>
    <d v="2023-07-02T00:00:00"/>
    <s v="Asia"/>
    <x v="2"/>
    <s v="Nagoya"/>
    <s v="Education"/>
    <s v="Marketplace"/>
    <s v="F. Müller"/>
    <x v="5"/>
    <x v="89"/>
    <n v="55.65"/>
    <n v="83.57"/>
    <n v="6.6000000000000003E-2"/>
    <n v="8"/>
    <d v="2023-07-02T00:00:00"/>
    <s v="Ok"/>
    <n v="83.57"/>
    <n v="3"/>
    <x v="89"/>
    <n v="445.2"/>
    <n v="179.23503999999997"/>
    <n v="0.2870355257449998"/>
    <s v="Jun-2023"/>
    <m/>
    <s v="Asia. Japan. Nagoya"/>
    <s v="Low"/>
    <x v="1"/>
  </r>
  <r>
    <s v="ORD-2025-626047"/>
    <d v="2025-04-28T00:00:00"/>
    <d v="2025-05-15T00:00:00"/>
    <s v="Asia"/>
    <x v="2"/>
    <s v="Nagoya"/>
    <s v="Education"/>
    <s v="Direct"/>
    <s v="N. Brown"/>
    <x v="2"/>
    <x v="90"/>
    <n v="691.19"/>
    <n v="1284.3"/>
    <n v="7.3999999999999996E-2"/>
    <n v="7"/>
    <d v="2025-05-15T00:00:00"/>
    <s v="Ok"/>
    <n v="1284.3"/>
    <n v="17"/>
    <x v="90"/>
    <n v="4838.33"/>
    <n v="3486.5026000000016"/>
    <n v="0.41880753253825198"/>
    <s v="Apr-2025"/>
    <m/>
    <s v="Asia. Japan. Nagoya"/>
    <s v="High"/>
    <x v="1"/>
  </r>
  <r>
    <s v="ORD-2025-526752"/>
    <d v="2025-06-09T00:00:00"/>
    <d v="2025-06-25T00:00:00"/>
    <s v="Asia"/>
    <x v="4"/>
    <s v="Hyderabad"/>
    <s v="Enterprise"/>
    <s v="Distributor"/>
    <s v="M. Rossi"/>
    <x v="3"/>
    <x v="91"/>
    <n v="527.33000000000004"/>
    <n v="911.72"/>
    <n v="0.14399999999999999"/>
    <n v="25"/>
    <d v="2025-06-25T00:00:00"/>
    <s v="Ok"/>
    <n v="911.72"/>
    <n v="16"/>
    <x v="91"/>
    <n v="13183.250000000002"/>
    <n v="6327.5579999999991"/>
    <n v="0.32431040272652978"/>
    <s v="Jun-2025"/>
    <m/>
    <s v="Asia. India. Hyderabad"/>
    <s v="Low"/>
    <x v="0"/>
  </r>
  <r>
    <s v="ORD-2023-374486"/>
    <d v="2023-06-24T00:00:00"/>
    <d v="2023-06-23T00:00:00"/>
    <s v="Americas"/>
    <x v="5"/>
    <s v="Rio de Janeiro"/>
    <s v="Non-Profit"/>
    <s v="Retail"/>
    <s v="E. Garcia"/>
    <x v="1"/>
    <x v="92"/>
    <n v="804.01"/>
    <n v="1405.07"/>
    <n v="9.6000000000000002E-2"/>
    <n v="8"/>
    <d v="2023-07-01T00:00:00"/>
    <s v="Ok"/>
    <n v="1405.07"/>
    <n v="7"/>
    <x v="92"/>
    <n v="6432.08"/>
    <n v="3729.3862399999998"/>
    <n v="0.36701260939287439"/>
    <s v="Jun-2023"/>
    <m/>
    <s v="Americas. Brazil. Rio de Janeiro"/>
    <s v="High"/>
    <x v="0"/>
  </r>
  <r>
    <s v="ORD-2024-997336"/>
    <d v="2024-10-04T00:00:00"/>
    <d v="2024-11-02T00:00:00"/>
    <s v="Africa"/>
    <x v="1"/>
    <s v="Abuja"/>
    <s v="Corporate"/>
    <s v="Distributor"/>
    <s v="F. Müller"/>
    <x v="6"/>
    <x v="93"/>
    <n v="412.09"/>
    <n v="968.94"/>
    <n v="9.9000000000000005E-2"/>
    <n v="23"/>
    <d v="2024-11-02T00:00:00"/>
    <s v="Ok"/>
    <n v="968.94"/>
    <n v="29"/>
    <x v="93"/>
    <n v="9478.07"/>
    <n v="10601.273620000004"/>
    <n v="0.52796913189137418"/>
    <s v="Oct-2024"/>
    <m/>
    <s v="Africa. Nigeria. Abuja"/>
    <s v="Low"/>
    <x v="0"/>
  </r>
  <r>
    <s v="ORD-2025-725646"/>
    <d v="2025-09-10T00:00:00"/>
    <d v="2025-09-30T00:00:00"/>
    <s v="Africa"/>
    <x v="0"/>
    <s v="Mombasa"/>
    <s v="Corporate"/>
    <s v="Direct"/>
    <s v="L. Okafor"/>
    <x v="3"/>
    <x v="94"/>
    <n v="1009.48"/>
    <n v="1088.81"/>
    <n v="0.16"/>
    <n v="6"/>
    <d v="2025-09-30T00:00:00"/>
    <s v="Ok"/>
    <n v="1088.81"/>
    <n v="20"/>
    <x v="94"/>
    <n v="6056.88"/>
    <n v="-569.27760000000035"/>
    <n v="-0.10373885688219693"/>
    <s v="Sep-2025"/>
    <m/>
    <s v="Africa. Kenya. Mombasa"/>
    <s v="Low"/>
    <x v="0"/>
  </r>
  <r>
    <s v="ORD-2023-868734"/>
    <d v="2023-04-06T00:00:00"/>
    <d v="2023-04-27T00:00:00"/>
    <s v="Europe"/>
    <x v="8"/>
    <s v="Manchester"/>
    <s v="Enterprise"/>
    <s v="Distributor"/>
    <s v="I. Johnson"/>
    <x v="1"/>
    <x v="95"/>
    <n v="1084.79"/>
    <n v="2484.9899999999998"/>
    <n v="3.4000000000000002E-2"/>
    <n v="18"/>
    <d v="2023-04-27T00:00:00"/>
    <s v="Ok"/>
    <n v="2484.9899999999998"/>
    <n v="21"/>
    <x v="95"/>
    <n v="19526.22"/>
    <n v="23682.78611999999"/>
    <n v="0.54809837685755114"/>
    <s v="Apr-2023"/>
    <m/>
    <s v="Europe. United Kingdom. Manchester"/>
    <s v="High"/>
    <x v="0"/>
  </r>
  <r>
    <s v="ORD-2025-262491"/>
    <d v="2025-08-01T00:00:00"/>
    <d v="2025-08-16T00:00:00"/>
    <s v="Asia"/>
    <x v="4"/>
    <s v="Unknown"/>
    <s v="Enterprise"/>
    <s v="Direct"/>
    <s v="O. Wang"/>
    <x v="5"/>
    <x v="96"/>
    <n v="24.44"/>
    <n v="28.69"/>
    <n v="0.14599999999999999"/>
    <n v="6"/>
    <d v="2025-08-16T00:00:00"/>
    <s v="Ok"/>
    <n v="28.69"/>
    <n v="15"/>
    <x v="96"/>
    <n v="146.64000000000001"/>
    <n v="0.36755999999999744"/>
    <n v="2.5002795774584476E-3"/>
    <s v="Aug-2025"/>
    <m/>
    <s v="Asia. India. Unknown"/>
    <s v="Low"/>
    <x v="0"/>
  </r>
  <r>
    <s v="ORD-2024-638884"/>
    <d v="2024-05-28T00:00:00"/>
    <d v="2024-05-26T00:00:00"/>
    <s v="Africa"/>
    <x v="1"/>
    <s v="Abuja"/>
    <s v="Enterprise"/>
    <s v="Online"/>
    <s v="F. Müller"/>
    <x v="6"/>
    <x v="97"/>
    <n v="1227.08"/>
    <n v="1896.62"/>
    <n v="0"/>
    <n v="18"/>
    <d v="2024-06-04T00:00:00"/>
    <s v="Ok"/>
    <n v="1896.62"/>
    <n v="7"/>
    <x v="97"/>
    <n v="22087.439999999999"/>
    <n v="12051.719999999998"/>
    <n v="0.353017473189147"/>
    <s v="May-2024"/>
    <m/>
    <s v="Africa. Nigeria. Abuja"/>
    <s v="High"/>
    <x v="0"/>
  </r>
  <r>
    <s v="ORD-2025-541501"/>
    <d v="2025-07-22T00:00:00"/>
    <d v="2025-08-18T00:00:00"/>
    <s v="Asia"/>
    <x v="9"/>
    <s v="Shenzhen"/>
    <s v="Non-Profit"/>
    <s v="Marketplace"/>
    <s v="M. Rossi"/>
    <x v="2"/>
    <x v="98"/>
    <n v="547.32000000000005"/>
    <n v="419.17"/>
    <n v="9.1999999999999998E-2"/>
    <n v="14"/>
    <d v="2025-08-18T00:00:00"/>
    <s v="Ok"/>
    <n v="419.17"/>
    <n v="27"/>
    <x v="98"/>
    <n v="7662.4800000000005"/>
    <n v="-2333.9909600000001"/>
    <n v="-0.43802116181137907"/>
    <s v="Jul-2025"/>
    <m/>
    <s v="Asia. China. Shenzhen"/>
    <s v="Low"/>
    <x v="0"/>
  </r>
  <r>
    <s v="ORD-2023-422918"/>
    <d v="2023-02-28T00:00:00"/>
    <d v="2023-03-20T00:00:00"/>
    <s v="Europe"/>
    <x v="6"/>
    <s v="Berlin"/>
    <s v="Small Business"/>
    <s v="Direct"/>
    <s v="H. Kim"/>
    <x v="4"/>
    <x v="99"/>
    <n v="1200.78"/>
    <n v="2001.17"/>
    <n v="0.29199999999999998"/>
    <n v="18"/>
    <d v="2023-03-20T00:00:00"/>
    <s v="Ok"/>
    <n v="2001.17"/>
    <n v="20"/>
    <x v="99"/>
    <n v="21614.04"/>
    <n v="3888.8704799999978"/>
    <n v="0.15248732034132906"/>
    <s v="Feb-2023"/>
    <m/>
    <s v="Europe. Germany. Berlin"/>
    <s v="High"/>
    <x v="0"/>
  </r>
  <r>
    <s v="ORD-2025-328504"/>
    <d v="2025-01-27T00:00:00"/>
    <d v="2025-02-15T00:00:00"/>
    <s v="Asia"/>
    <x v="9"/>
    <s v="Shenzhen"/>
    <s v="Non-Profit"/>
    <s v="Direct"/>
    <s v="L. Okafor"/>
    <x v="3"/>
    <x v="100"/>
    <n v="1253.22"/>
    <n v="3104.71"/>
    <n v="0"/>
    <n v="17"/>
    <d v="2025-02-15T00:00:00"/>
    <s v="Ok"/>
    <n v="3104.71"/>
    <n v="19"/>
    <x v="100"/>
    <n v="21304.74"/>
    <n v="31475.329999999998"/>
    <n v="0.59634877331538205"/>
    <s v="Jan-2025"/>
    <m/>
    <s v="Asia. China. Shenzhen"/>
    <s v="High"/>
    <x v="0"/>
  </r>
  <r>
    <s v="ORD-2024-851883"/>
    <d v="2024-01-13T00:00:00"/>
    <d v="2024-01-22T00:00:00"/>
    <s v="Asia"/>
    <x v="4"/>
    <s v="Mumbai"/>
    <s v="Enterprise"/>
    <s v="Marketplace"/>
    <s v="J. Njeri"/>
    <x v="0"/>
    <x v="101"/>
    <n v="313.60000000000002"/>
    <n v="334.28"/>
    <n v="0.14000000000000001"/>
    <n v="22"/>
    <d v="2024-01-22T00:00:00"/>
    <s v="Ok"/>
    <n v="334.28"/>
    <n v="9"/>
    <x v="101"/>
    <n v="6899.2000000000007"/>
    <n v="-574.62240000000111"/>
    <n v="-9.0855458868905517E-2"/>
    <s v="Jan-2024"/>
    <m/>
    <s v="Asia. India. Mumbai"/>
    <s v="Low"/>
    <x v="0"/>
  </r>
  <r>
    <s v="ORD-2025-662997"/>
    <d v="2025-03-31T00:00:00"/>
    <d v="2025-04-04T00:00:00"/>
    <s v="Africa"/>
    <x v="0"/>
    <s v="Nakuru"/>
    <s v="Corporate"/>
    <s v="Direct"/>
    <s v="C. Otieno"/>
    <x v="4"/>
    <x v="102"/>
    <n v="862.08"/>
    <n v="1952.83"/>
    <n v="0"/>
    <n v="7"/>
    <d v="2025-04-04T00:00:00"/>
    <s v="Ok"/>
    <n v="1952.83"/>
    <n v="4"/>
    <x v="102"/>
    <n v="6034.56"/>
    <n v="7635.2499999999991"/>
    <n v="0.5585483631447693"/>
    <s v="Mar-2025"/>
    <m/>
    <s v="Africa. Kenya. Nakuru"/>
    <s v="High"/>
    <x v="0"/>
  </r>
  <r>
    <s v="ORD-2024-478165"/>
    <d v="2024-12-05T00:00:00"/>
    <d v="2024-12-28T00:00:00"/>
    <s v="Americas"/>
    <x v="3"/>
    <s v="Vancouver"/>
    <s v="Corporate"/>
    <s v="Direct"/>
    <s v="F. Müller"/>
    <x v="6"/>
    <x v="103"/>
    <n v="107.03"/>
    <n v="242.29"/>
    <n v="0.18"/>
    <n v="30"/>
    <d v="2024-12-28T00:00:00"/>
    <s v="Ok"/>
    <n v="242.29"/>
    <n v="23"/>
    <x v="103"/>
    <n v="3210.9"/>
    <n v="2749.4340000000007"/>
    <n v="0.46128857879440988"/>
    <s v="Dec-2024"/>
    <m/>
    <s v="Americas. Canada. Vancouver"/>
    <s v="Low"/>
    <x v="0"/>
  </r>
  <r>
    <s v="ORD-2024-771210"/>
    <d v="2024-09-14T00:00:00"/>
    <d v="2024-10-05T00:00:00"/>
    <s v="Asia"/>
    <x v="9"/>
    <s v="Shanghai"/>
    <s v="Small Business"/>
    <s v="Online"/>
    <s v="H. Kim"/>
    <x v="4"/>
    <x v="104"/>
    <n v="1405.56"/>
    <n v="2968.87"/>
    <n v="0.16900000000000001"/>
    <n v="5"/>
    <d v="2024-10-05T00:00:00"/>
    <s v="Ok"/>
    <n v="2968.87"/>
    <n v="21"/>
    <x v="104"/>
    <n v="7027.7999999999993"/>
    <n v="5307.8548499999997"/>
    <n v="0.4302856163327235"/>
    <s v="Sep-2024"/>
    <m/>
    <s v="Asia. China. Shanghai"/>
    <s v="High"/>
    <x v="0"/>
  </r>
  <r>
    <s v="ORD-2024-155337"/>
    <d v="2024-05-21T00:00:00"/>
    <d v="2024-05-27T00:00:00"/>
    <s v="Africa"/>
    <x v="11"/>
    <s v="Johannesburg"/>
    <s v="Non-Profit"/>
    <s v="Online"/>
    <s v="M. Rossi"/>
    <x v="0"/>
    <x v="105"/>
    <n v="1157.51"/>
    <n v="1394.3"/>
    <n v="0.27800000000000002"/>
    <n v="12"/>
    <d v="2024-05-27T00:00:00"/>
    <s v="Ok"/>
    <n v="1394.3"/>
    <n v="6"/>
    <x v="105"/>
    <n v="13890.119999999999"/>
    <n v="-1809.9048000000003"/>
    <n v="-0.14982388724333326"/>
    <s v="May-2024"/>
    <m/>
    <s v="Africa. South Africa. Johannesburg"/>
    <s v="High"/>
    <x v="0"/>
  </r>
  <r>
    <s v="ORD-2023-251563"/>
    <d v="2023-05-11T00:00:00"/>
    <d v="2023-06-07T00:00:00"/>
    <s v="Africa"/>
    <x v="0"/>
    <s v="Mombasa"/>
    <s v="Corporate"/>
    <s v="Online"/>
    <s v="J. Njeri"/>
    <x v="3"/>
    <x v="106"/>
    <n v="12.85"/>
    <n v="15.41"/>
    <n v="0.13700000000000001"/>
    <n v="39"/>
    <d v="2023-06-07T00:00:00"/>
    <s v="Ok"/>
    <n v="15.41"/>
    <n v="27"/>
    <x v="106"/>
    <n v="501.15"/>
    <n v="17.504369999999994"/>
    <n v="3.3749585489851353E-2"/>
    <s v="May-2023"/>
    <m/>
    <s v="Africa. Kenya. Mombasa"/>
    <s v="Low"/>
    <x v="0"/>
  </r>
  <r>
    <s v="ORD-2024-286833"/>
    <d v="2024-08-14T00:00:00"/>
    <d v="2024-09-04T00:00:00"/>
    <s v="Europe"/>
    <x v="8"/>
    <s v="Manchester"/>
    <s v="Non-Profit"/>
    <s v="Online"/>
    <s v="J. Njeri"/>
    <x v="3"/>
    <x v="107"/>
    <n v="1138.8"/>
    <n v="2250.81"/>
    <n v="0.123"/>
    <n v="12"/>
    <d v="2024-09-04T00:00:00"/>
    <s v="Ok"/>
    <n v="2250.81"/>
    <n v="21"/>
    <x v="107"/>
    <n v="13665.599999999999"/>
    <n v="10021.924440000003"/>
    <n v="0.42308872188756258"/>
    <s v="Aug-2024"/>
    <m/>
    <s v="Europe. United Kingdom. Manchester"/>
    <s v="High"/>
    <x v="0"/>
  </r>
  <r>
    <s v="ORD-2024-792558"/>
    <d v="2024-10-16T00:00:00"/>
    <d v="2024-11-08T00:00:00"/>
    <s v="Asia"/>
    <x v="2"/>
    <s v="Osaka"/>
    <s v="Small Business"/>
    <s v="Retail"/>
    <s v="J. Njeri"/>
    <x v="2"/>
    <x v="108"/>
    <n v="82.14"/>
    <n v="166.04"/>
    <n v="0"/>
    <n v="10"/>
    <d v="2024-11-08T00:00:00"/>
    <s v="Ok"/>
    <n v="166.04"/>
    <n v="23"/>
    <x v="108"/>
    <n v="821.4"/>
    <n v="838.99999999999989"/>
    <n v="0.50529992772825827"/>
    <s v="Oct-2024"/>
    <m/>
    <s v="Asia. Japan. Osaka"/>
    <s v="Low"/>
    <x v="1"/>
  </r>
  <r>
    <s v="ORD-2024-166150"/>
    <d v="2024-06-02T00:00:00"/>
    <d v="2024-06-08T00:00:00"/>
    <s v="Africa"/>
    <x v="0"/>
    <s v="Kisumu"/>
    <s v="Consumer"/>
    <s v="Marketplace"/>
    <s v="A. Patel"/>
    <x v="6"/>
    <x v="109"/>
    <n v="292.94"/>
    <n v="356.55"/>
    <n v="0.22900000000000001"/>
    <n v="2"/>
    <d v="2024-06-08T00:00:00"/>
    <s v="Ok"/>
    <n v="356.55"/>
    <n v="6"/>
    <x v="109"/>
    <n v="585.88"/>
    <n v="-36.079899999999952"/>
    <n v="-6.5623669402751925E-2"/>
    <s v="Jun-2024"/>
    <m/>
    <s v="Africa. Kenya. Kisumu"/>
    <s v="Low"/>
    <x v="0"/>
  </r>
  <r>
    <s v="ORD-2024-909942"/>
    <d v="2024-06-09T00:00:00"/>
    <d v="2024-07-07T00:00:00"/>
    <s v="Asia"/>
    <x v="9"/>
    <s v="Shenzhen"/>
    <s v="Corporate"/>
    <s v="Online"/>
    <s v="J. Njeri"/>
    <x v="0"/>
    <x v="110"/>
    <n v="550.22"/>
    <n v="1025.05"/>
    <n v="0"/>
    <n v="27"/>
    <d v="2024-07-07T00:00:00"/>
    <s v="Ok"/>
    <n v="1025.05"/>
    <n v="28"/>
    <x v="110"/>
    <n v="14855.94"/>
    <n v="12820.409999999998"/>
    <n v="0.46322618408858102"/>
    <s v="Jun-2024"/>
    <m/>
    <s v="Asia. China. Shenzhen"/>
    <s v="Low"/>
    <x v="0"/>
  </r>
  <r>
    <s v="ORD-2024-223618"/>
    <d v="2024-06-10T00:00:00"/>
    <d v="2024-06-11T00:00:00"/>
    <s v="Europe"/>
    <x v="8"/>
    <s v="Birmingham"/>
    <s v="Small Business"/>
    <s v="Marketplace"/>
    <s v="M. Rossi"/>
    <x v="4"/>
    <x v="111"/>
    <n v="1187.1300000000001"/>
    <n v="1795.17"/>
    <n v="1.2E-2"/>
    <n v="17"/>
    <d v="2024-06-11T00:00:00"/>
    <s v="Ok"/>
    <n v="1795.17"/>
    <n v="1"/>
    <x v="111"/>
    <n v="20181.210000000003"/>
    <n v="9970.4653199999957"/>
    <n v="0.33067699271046663"/>
    <s v="Jun-2024"/>
    <m/>
    <s v="Europe. United Kingdom. Birmingham"/>
    <s v="High"/>
    <x v="0"/>
  </r>
  <r>
    <s v="ORD-2024-919471"/>
    <d v="2024-06-29T00:00:00"/>
    <d v="2024-07-26T00:00:00"/>
    <s v="Africa"/>
    <x v="11"/>
    <s v="Durban"/>
    <s v="Enterprise"/>
    <s v="Distributor"/>
    <s v="B. Chen"/>
    <x v="2"/>
    <x v="112"/>
    <n v="5.36"/>
    <n v="4.37"/>
    <n v="0.11799999999999999"/>
    <n v="9"/>
    <d v="2024-07-26T00:00:00"/>
    <s v="Ok"/>
    <n v="4.37"/>
    <n v="27"/>
    <x v="112"/>
    <n v="48.24"/>
    <n v="-13.550940000000004"/>
    <n v="-0.39064016148030545"/>
    <s v="Jun-2024"/>
    <m/>
    <s v="Africa. South Africa. Durban"/>
    <s v="Low"/>
    <x v="0"/>
  </r>
  <r>
    <s v="ORD-2025-649239"/>
    <d v="2025-01-17T00:00:00"/>
    <d v="2025-01-24T00:00:00"/>
    <s v="Americas"/>
    <x v="10"/>
    <s v="Austin"/>
    <s v="Enterprise"/>
    <s v="Online"/>
    <s v="G. Dubois"/>
    <x v="6"/>
    <x v="113"/>
    <n v="142.09"/>
    <n v="218.5"/>
    <n v="0.11899999999999999"/>
    <n v="11"/>
    <d v="2025-01-24T00:00:00"/>
    <s v="Ok"/>
    <n v="218.5"/>
    <n v="7"/>
    <x v="113"/>
    <n v="1562.99"/>
    <n v="554.49349999999981"/>
    <n v="0.26186437816398561"/>
    <s v="Jan-2025"/>
    <m/>
    <s v="Americas. USA. Austin"/>
    <s v="Low"/>
    <x v="0"/>
  </r>
  <r>
    <s v="ORD-2023-975863"/>
    <d v="2023-11-20T00:00:00"/>
    <d v="2023-12-05T00:00:00"/>
    <s v="Asia"/>
    <x v="2"/>
    <s v="Tokyo"/>
    <s v="Enterprise"/>
    <s v="Retail"/>
    <s v="L. Okafor"/>
    <x v="2"/>
    <x v="114"/>
    <n v="354.24"/>
    <n v="249.87"/>
    <n v="0"/>
    <n v="6"/>
    <d v="2023-12-05T00:00:00"/>
    <s v="Ok"/>
    <n v="249.87"/>
    <n v="15"/>
    <x v="114"/>
    <n v="2125.44"/>
    <n v="-626.22"/>
    <n v="-0.41769720254532355"/>
    <s v="Nov-2023"/>
    <m/>
    <s v="Asia. Japan. Tokyo"/>
    <s v="Low"/>
    <x v="1"/>
  </r>
  <r>
    <s v="ORD-2023-869884"/>
    <d v="2023-03-02T00:00:00"/>
    <d v="2023-03-05T00:00:00"/>
    <s v="Americas"/>
    <x v="5"/>
    <s v="Brasília"/>
    <s v="Enterprise"/>
    <s v="Direct"/>
    <s v="G. Dubois"/>
    <x v="5"/>
    <x v="115"/>
    <n v="1473.58"/>
    <n v="3436.52"/>
    <n v="0.108"/>
    <n v="8"/>
    <d v="2023-03-05T00:00:00"/>
    <s v="Ok"/>
    <n v="3436.52"/>
    <n v="3"/>
    <x v="115"/>
    <n v="11788.64"/>
    <n v="12734.366720000002"/>
    <n v="0.51928243813652564"/>
    <s v="Mar-2023"/>
    <m/>
    <s v="Americas. Brazil. Brasília"/>
    <s v="High"/>
    <x v="0"/>
  </r>
  <r>
    <s v="ORD-2025-698069"/>
    <d v="2025-06-03T00:00:00"/>
    <d v="2025-06-10T00:00:00"/>
    <s v="Americas"/>
    <x v="3"/>
    <s v="Toronto"/>
    <s v="Consumer"/>
    <s v="Distributor"/>
    <s v="O. Wang"/>
    <x v="1"/>
    <x v="116"/>
    <n v="75.180000000000007"/>
    <n v="53.45"/>
    <n v="0.157"/>
    <n v="17"/>
    <d v="2025-06-10T00:00:00"/>
    <s v="Ok"/>
    <n v="53.45"/>
    <n v="7"/>
    <x v="116"/>
    <n v="1278.0600000000002"/>
    <n v="-512.06805000000008"/>
    <n v="-0.66850317421743144"/>
    <s v="Jun-2025"/>
    <m/>
    <s v="Americas. Canada. Toronto"/>
    <s v="Low"/>
    <x v="0"/>
  </r>
  <r>
    <s v="ORD-2024-474999"/>
    <d v="2024-12-27T00:00:00"/>
    <d v="2025-01-02T00:00:00"/>
    <s v="Europe"/>
    <x v="6"/>
    <s v="Frankfurt"/>
    <s v="Education"/>
    <s v="Direct"/>
    <s v="F. Müller"/>
    <x v="4"/>
    <x v="117"/>
    <n v="1391.99"/>
    <n v="3469.7"/>
    <n v="0.184"/>
    <n v="23"/>
    <d v="2025-01-02T00:00:00"/>
    <s v="Ok"/>
    <n v="3469.7"/>
    <n v="6"/>
    <x v="117"/>
    <n v="32015.77"/>
    <n v="33103.559599999993"/>
    <n v="0.50835227886006973"/>
    <s v="Dec-2024"/>
    <m/>
    <s v="Europe. Germany. Frankfurt"/>
    <s v="High"/>
    <x v="0"/>
  </r>
  <r>
    <s v="ORD-2023-427304"/>
    <d v="2023-06-09T00:00:00"/>
    <d v="2023-06-19T00:00:00"/>
    <s v="Asia"/>
    <x v="9"/>
    <s v="Beijing"/>
    <s v="Enterprise"/>
    <s v="Retail"/>
    <s v="F. Müller"/>
    <x v="5"/>
    <x v="118"/>
    <n v="339.61"/>
    <n v="621.02"/>
    <n v="7.0999999999999994E-2"/>
    <n v="10"/>
    <d v="2023-06-19T00:00:00"/>
    <s v="Ok"/>
    <n v="621.02"/>
    <n v="10"/>
    <x v="118"/>
    <n v="3396.1000000000004"/>
    <n v="2373.1758"/>
    <n v="0.41134726129750981"/>
    <s v="Jun-2023"/>
    <m/>
    <s v="Asia. China. Beijing"/>
    <s v="Low"/>
    <x v="0"/>
  </r>
  <r>
    <s v="ORD-2025-956101"/>
    <d v="2025-07-09T00:00:00"/>
    <d v="2025-07-18T00:00:00"/>
    <s v="Americas"/>
    <x v="3"/>
    <s v="Vancouver"/>
    <s v="Education"/>
    <s v="Distributor"/>
    <s v="I. Johnson"/>
    <x v="4"/>
    <x v="119"/>
    <n v="57.96"/>
    <n v="88.51"/>
    <n v="4.2999999999999997E-2"/>
    <n v="7"/>
    <d v="2025-07-18T00:00:00"/>
    <s v="Ok"/>
    <n v="88.51"/>
    <n v="9"/>
    <x v="119"/>
    <n v="405.72"/>
    <n v="187.20848999999998"/>
    <n v="0.3157353595877978"/>
    <s v="Jul-2025"/>
    <m/>
    <s v="Americas. Canada. Vancouver"/>
    <s v="Low"/>
    <x v="0"/>
  </r>
  <r>
    <s v="ORD-2025-184082"/>
    <d v="2025-06-19T00:00:00"/>
    <d v="2025-07-12T00:00:00"/>
    <s v="Europe"/>
    <x v="8"/>
    <s v="Unknown"/>
    <s v="Non-Profit"/>
    <s v="Direct"/>
    <s v="Unknown"/>
    <x v="2"/>
    <x v="120"/>
    <n v="801.24"/>
    <n v="1959.09"/>
    <n v="0.123"/>
    <n v="23"/>
    <d v="2025-07-12T00:00:00"/>
    <s v="Ok"/>
    <n v="1959.09"/>
    <n v="23"/>
    <x v="120"/>
    <n v="18428.52"/>
    <n v="21088.284389999997"/>
    <n v="0.53365358650651762"/>
    <s v="Jun-2025"/>
    <m/>
    <s v="Europe. United Kingdom. Unknown"/>
    <s v="High"/>
    <x v="0"/>
  </r>
  <r>
    <s v="ORD-2023-576840"/>
    <d v="2023-11-19T00:00:00"/>
    <d v="2023-12-13T00:00:00"/>
    <s v="Europe"/>
    <x v="7"/>
    <s v="Lyon"/>
    <s v="Non-Profit"/>
    <s v="Direct"/>
    <s v="H. Kim"/>
    <x v="5"/>
    <x v="121"/>
    <n v="1297.42"/>
    <n v="2742.97"/>
    <n v="6.9000000000000006E-2"/>
    <n v="9"/>
    <d v="2023-12-13T00:00:00"/>
    <s v="Ok"/>
    <n v="2742.97"/>
    <n v="24"/>
    <x v="121"/>
    <n v="11676.78"/>
    <n v="11306.565629999999"/>
    <n v="0.49194602961727291"/>
    <s v="Nov-2023"/>
    <m/>
    <s v="Europe. France. Lyon"/>
    <s v="High"/>
    <x v="0"/>
  </r>
  <r>
    <s v="ORD-2023-178249"/>
    <d v="2023-12-29T00:00:00"/>
    <d v="2024-01-20T00:00:00"/>
    <s v="Africa"/>
    <x v="0"/>
    <s v="Kisumu"/>
    <s v="Corporate"/>
    <s v="Direct"/>
    <s v="L. Okafor"/>
    <x v="3"/>
    <x v="122"/>
    <n v="1395.49"/>
    <n v="1679.42"/>
    <n v="0.20300000000000001"/>
    <n v="12"/>
    <d v="2024-01-20T00:00:00"/>
    <s v="Ok"/>
    <n v="1679.42"/>
    <n v="22"/>
    <x v="122"/>
    <n v="16745.88"/>
    <n v="-683.90712000000167"/>
    <n v="-4.2579272490964493E-2"/>
    <s v="Dec-2023"/>
    <m/>
    <s v="Africa. Kenya. Kisumu"/>
    <s v="High"/>
    <x v="0"/>
  </r>
  <r>
    <s v="ORD-2024-588972"/>
    <d v="2024-11-02T00:00:00"/>
    <d v="2024-11-29T00:00:00"/>
    <s v="Americas"/>
    <x v="5"/>
    <s v="Brasília"/>
    <s v="Small Business"/>
    <s v="Direct"/>
    <s v="I. Johnson"/>
    <x v="2"/>
    <x v="123"/>
    <n v="1363.51"/>
    <n v="1433.9"/>
    <n v="5.7000000000000002E-2"/>
    <n v="8"/>
    <d v="2024-11-29T00:00:00"/>
    <s v="Ok"/>
    <n v="1433.9"/>
    <n v="27"/>
    <x v="123"/>
    <n v="10908.08"/>
    <n v="-90.738400000000183"/>
    <n v="-8.3882346842037592E-3"/>
    <s v="Nov-2024"/>
    <m/>
    <s v="Americas. Brazil. Brasília"/>
    <s v="High"/>
    <x v="0"/>
  </r>
  <r>
    <s v="ORD-2023-603238"/>
    <d v="2023-08-21T00:00:00"/>
    <d v="2023-09-04T00:00:00"/>
    <s v="Americas"/>
    <x v="3"/>
    <s v="Montreal"/>
    <s v="Education"/>
    <s v="Distributor"/>
    <s v="F. Müller"/>
    <x v="0"/>
    <x v="124"/>
    <n v="178.19"/>
    <n v="284.43"/>
    <n v="8.8999999999999996E-2"/>
    <n v="8"/>
    <d v="2023-09-04T00:00:00"/>
    <s v="Ok"/>
    <n v="284.43"/>
    <n v="14"/>
    <x v="124"/>
    <n v="1425.52"/>
    <n v="647.40584000000035"/>
    <n v="0.31231500302972742"/>
    <s v="Aug-2023"/>
    <m/>
    <s v="Americas. Canada. Montreal"/>
    <s v="Low"/>
    <x v="0"/>
  </r>
  <r>
    <s v="ORD-2023-883066"/>
    <d v="2023-08-12T00:00:00"/>
    <d v="2023-09-06T00:00:00"/>
    <s v="Asia"/>
    <x v="9"/>
    <s v="Shanghai"/>
    <s v="Small Business"/>
    <s v="Retail"/>
    <s v="B. Chen"/>
    <x v="0"/>
    <x v="125"/>
    <n v="950.77"/>
    <n v="694.78"/>
    <n v="8.4000000000000005E-2"/>
    <n v="14"/>
    <d v="2023-09-06T00:00:00"/>
    <s v="Ok"/>
    <n v="694.78"/>
    <n v="25"/>
    <x v="125"/>
    <n v="13310.779999999999"/>
    <n v="-4400.9212799999987"/>
    <n v="-0.49393839097821279"/>
    <s v="Aug-2023"/>
    <m/>
    <s v="Asia. China. Shanghai"/>
    <s v="Low"/>
    <x v="0"/>
  </r>
  <r>
    <s v="ORD-2024-584090"/>
    <d v="2024-06-07T00:00:00"/>
    <d v="2024-06-26T00:00:00"/>
    <s v="Europe"/>
    <x v="6"/>
    <s v="Berlin"/>
    <s v="Non-Profit"/>
    <s v="Marketplace"/>
    <s v="M. Rossi"/>
    <x v="0"/>
    <x v="126"/>
    <n v="1064.32"/>
    <n v="1848.39"/>
    <n v="7.2999999999999995E-2"/>
    <n v="38"/>
    <d v="2024-06-26T00:00:00"/>
    <s v="Ok"/>
    <n v="1848.39"/>
    <n v="19"/>
    <x v="126"/>
    <n v="40444.159999999996"/>
    <n v="24667.226140000013"/>
    <n v="0.3788465827921631"/>
    <s v="Jun-2024"/>
    <m/>
    <s v="Europe. Germany. Berlin"/>
    <s v="High"/>
    <x v="0"/>
  </r>
  <r>
    <s v="ORD-2025-537785"/>
    <d v="2025-08-05T00:00:00"/>
    <d v="2025-08-14T00:00:00"/>
    <s v="Europe"/>
    <x v="8"/>
    <s v="London"/>
    <s v="Non-Profit"/>
    <s v="Direct"/>
    <s v="E. Garcia"/>
    <x v="0"/>
    <x v="127"/>
    <n v="41.76"/>
    <n v="45.19"/>
    <n v="0.17899999999999999"/>
    <n v="23"/>
    <d v="2025-08-14T00:00:00"/>
    <s v="Ok"/>
    <n v="45.19"/>
    <n v="9"/>
    <x v="127"/>
    <n v="960.4799999999999"/>
    <n v="-107.15723000000003"/>
    <n v="-0.12557643340514638"/>
    <s v="Aug-2025"/>
    <m/>
    <s v="Europe. United Kingdom. London"/>
    <s v="Low"/>
    <x v="0"/>
  </r>
  <r>
    <s v="ORD-2024-605518"/>
    <d v="2024-05-30T00:00:00"/>
    <d v="2024-06-13T00:00:00"/>
    <s v="Americas"/>
    <x v="10"/>
    <s v="San Francisco"/>
    <s v="Small Business"/>
    <s v="Retail"/>
    <s v="F. Müller"/>
    <x v="3"/>
    <x v="128"/>
    <n v="157.78"/>
    <n v="361.1"/>
    <n v="0.187"/>
    <n v="9"/>
    <d v="2024-06-13T00:00:00"/>
    <s v="Ok"/>
    <n v="361.1"/>
    <n v="14"/>
    <x v="128"/>
    <n v="1420.02"/>
    <n v="1222.1486999999997"/>
    <n v="0.46255513510549112"/>
    <s v="May-2024"/>
    <m/>
    <s v="Americas. USA. San Francisco"/>
    <s v="Low"/>
    <x v="0"/>
  </r>
  <r>
    <s v="ORD-2023-521818"/>
    <d v="2023-01-22T00:00:00"/>
    <d v="2023-01-30T00:00:00"/>
    <s v="Americas"/>
    <x v="10"/>
    <s v="San Francisco"/>
    <s v="Small Business"/>
    <s v="Online"/>
    <s v="A. Patel"/>
    <x v="2"/>
    <x v="129"/>
    <n v="413.52"/>
    <n v="1004.34"/>
    <n v="0.111"/>
    <n v="18"/>
    <d v="2023-01-30T00:00:00"/>
    <s v="Ok"/>
    <n v="1004.34"/>
    <n v="8"/>
    <x v="129"/>
    <n v="7443.36"/>
    <n v="8628.0886800000007"/>
    <n v="0.53685817948304593"/>
    <s v="Jan-2023"/>
    <m/>
    <s v="Americas. USA. San Francisco"/>
    <s v="Low"/>
    <x v="0"/>
  </r>
  <r>
    <s v="ORD-2025-650719"/>
    <d v="2025-02-12T00:00:00"/>
    <d v="2025-02-28T00:00:00"/>
    <s v="Americas"/>
    <x v="5"/>
    <s v="São Paulo"/>
    <s v="Non-Profit"/>
    <s v="Direct"/>
    <s v="B. Chen"/>
    <x v="5"/>
    <x v="130"/>
    <n v="414.95"/>
    <n v="1027.73"/>
    <n v="6.3E-2"/>
    <n v="8"/>
    <d v="2025-02-28T00:00:00"/>
    <s v="Ok"/>
    <n v="1027.73"/>
    <n v="16"/>
    <x v="130"/>
    <n v="3319.6"/>
    <n v="4384.2640800000008"/>
    <n v="0.56909935513815568"/>
    <s v="Feb-2025"/>
    <m/>
    <s v="Americas. Brazil. São Paulo"/>
    <s v="Low"/>
    <x v="0"/>
  </r>
  <r>
    <s v="ORD-2025-501927"/>
    <d v="2025-03-03T00:00:00"/>
    <d v="2025-03-24T00:00:00"/>
    <s v="Africa"/>
    <x v="1"/>
    <s v="Abuja"/>
    <s v="Enterprise"/>
    <s v="Direct"/>
    <s v="H. Kim"/>
    <x v="6"/>
    <x v="131"/>
    <n v="555.95000000000005"/>
    <n v="468.09"/>
    <n v="0.14199999999999999"/>
    <n v="11"/>
    <d v="2025-03-24T00:00:00"/>
    <s v="Ok"/>
    <n v="468.09"/>
    <n v="21"/>
    <x v="131"/>
    <n v="6115.4500000000007"/>
    <n v="-1697.6165800000008"/>
    <n v="-0.38426450674095375"/>
    <s v="Mar-2025"/>
    <m/>
    <s v="Africa. Nigeria. Abuja"/>
    <s v="Low"/>
    <x v="0"/>
  </r>
  <r>
    <s v="ORD-2023-430904"/>
    <d v="2023-01-27T00:00:00"/>
    <d v="2023-01-31T00:00:00"/>
    <s v="Europe"/>
    <x v="8"/>
    <s v="Manchester"/>
    <s v="Enterprise"/>
    <s v="Online"/>
    <s v="N. Brown"/>
    <x v="4"/>
    <x v="132"/>
    <n v="941.2"/>
    <n v="668.02"/>
    <n v="0.22"/>
    <n v="16"/>
    <d v="2023-01-31T00:00:00"/>
    <s v="Ok"/>
    <n v="668.02"/>
    <n v="4"/>
    <x v="132"/>
    <n v="15059.2"/>
    <n v="-6722.3104000000003"/>
    <n v="-0.80633314371825193"/>
    <s v="Jan-2023"/>
    <m/>
    <s v="Europe. United Kingdom. Manchester"/>
    <s v="Low"/>
    <x v="0"/>
  </r>
  <r>
    <s v="ORD-2025-354346"/>
    <d v="2025-01-09T00:00:00"/>
    <d v="2025-01-15T00:00:00"/>
    <s v="Asia"/>
    <x v="9"/>
    <s v="Beijing"/>
    <s v="Education"/>
    <s v="Online"/>
    <s v="C. Otieno"/>
    <x v="3"/>
    <x v="133"/>
    <n v="304.77999999999997"/>
    <n v="537.27"/>
    <n v="0.187"/>
    <n v="8"/>
    <d v="2025-01-15T00:00:00"/>
    <s v="Ok"/>
    <n v="537.27"/>
    <n v="6"/>
    <x v="133"/>
    <n v="2438.2399999999998"/>
    <n v="1056.16408"/>
    <n v="0.3022444044307549"/>
    <s v="Jan-2025"/>
    <m/>
    <s v="Asia. China. Beijing"/>
    <s v="Low"/>
    <x v="0"/>
  </r>
  <r>
    <s v="ORD-2024-164288"/>
    <d v="2024-12-21T00:00:00"/>
    <d v="2024-12-26T00:00:00"/>
    <s v="Americas"/>
    <x v="10"/>
    <s v="San Francisco"/>
    <s v="Consumer"/>
    <s v="Marketplace"/>
    <s v="M. Rossi"/>
    <x v="1"/>
    <x v="134"/>
    <n v="699.57"/>
    <n v="572.71"/>
    <n v="0.192"/>
    <n v="26"/>
    <d v="2024-12-26T00:00:00"/>
    <s v="Ok"/>
    <n v="572.71"/>
    <n v="5"/>
    <x v="134"/>
    <n v="18188.82"/>
    <n v="-6157.3283199999987"/>
    <n v="-0.51176765805651114"/>
    <s v="Dec-2024"/>
    <m/>
    <s v="Americas. USA. San Francisco"/>
    <s v="Low"/>
    <x v="0"/>
  </r>
  <r>
    <s v="ORD-2023-867285"/>
    <d v="2023-04-12T00:00:00"/>
    <d v="2023-04-17T00:00:00"/>
    <s v="Europe"/>
    <x v="7"/>
    <s v="Lyon"/>
    <s v="Enterprise"/>
    <s v="Direct"/>
    <s v="E. Garcia"/>
    <x v="5"/>
    <x v="135"/>
    <n v="1087.81"/>
    <n v="2323.87"/>
    <n v="9.4E-2"/>
    <n v="13"/>
    <d v="2023-04-17T00:00:00"/>
    <s v="Ok"/>
    <n v="2323.87"/>
    <n v="5"/>
    <x v="135"/>
    <n v="14141.529999999999"/>
    <n v="13229.010859999999"/>
    <n v="0.48333026839572651"/>
    <s v="Apr-2023"/>
    <m/>
    <s v="Europe. France. Lyon"/>
    <s v="High"/>
    <x v="0"/>
  </r>
  <r>
    <s v="ORD-2024-836421"/>
    <d v="2024-12-14T00:00:00"/>
    <d v="2025-01-12T00:00:00"/>
    <s v="Asia"/>
    <x v="9"/>
    <s v="Shenzhen"/>
    <s v="Education"/>
    <s v="Online"/>
    <s v="J. Njeri"/>
    <x v="0"/>
    <x v="136"/>
    <n v="1412.15"/>
    <n v="1631.04"/>
    <n v="8.9999999999999993E-3"/>
    <n v="6"/>
    <d v="2025-01-12T00:00:00"/>
    <s v="Ok"/>
    <n v="1631.04"/>
    <n v="29"/>
    <x v="136"/>
    <n v="8472.9000000000015"/>
    <n v="1225.2638399999978"/>
    <n v="0.12633977526203535"/>
    <s v="Dec-2024"/>
    <m/>
    <s v="Asia. China. Shenzhen"/>
    <s v="High"/>
    <x v="0"/>
  </r>
  <r>
    <s v="ORD-2023-613287"/>
    <d v="2023-03-31T00:00:00"/>
    <d v="2023-04-12T00:00:00"/>
    <s v="Africa"/>
    <x v="0"/>
    <s v="Mombasa"/>
    <s v="Small Business"/>
    <s v="Online"/>
    <s v="C. Otieno"/>
    <x v="3"/>
    <x v="137"/>
    <n v="304.22000000000003"/>
    <n v="393.31"/>
    <n v="0.26500000000000001"/>
    <n v="15"/>
    <d v="2023-04-12T00:00:00"/>
    <s v="Ok"/>
    <n v="393.31"/>
    <n v="12"/>
    <x v="137"/>
    <n v="4563.3"/>
    <n v="-227.05725000000075"/>
    <n v="-5.2362670424759034E-2"/>
    <s v="Mar-2023"/>
    <m/>
    <s v="Africa. Kenya. Mombasa"/>
    <s v="Low"/>
    <x v="0"/>
  </r>
  <r>
    <s v="ORD-2024-783321"/>
    <d v="2024-11-20T00:00:00"/>
    <d v="2024-12-15T00:00:00"/>
    <s v="Europe"/>
    <x v="7"/>
    <s v="Paris"/>
    <s v="Corporate"/>
    <s v="Online"/>
    <s v="G. Dubois"/>
    <x v="1"/>
    <x v="138"/>
    <n v="1203.58"/>
    <n v="1856.16"/>
    <n v="0.129"/>
    <n v="22"/>
    <d v="2024-12-15T00:00:00"/>
    <s v="Ok"/>
    <n v="1856.16"/>
    <n v="25"/>
    <x v="138"/>
    <n v="26478.76"/>
    <n v="9088.9779200000085"/>
    <n v="0.25553994860295032"/>
    <s v="Nov-2024"/>
    <m/>
    <s v="Europe. France. Paris"/>
    <s v="High"/>
    <x v="0"/>
  </r>
  <r>
    <s v="ORD-2024-232632"/>
    <d v="2024-02-14T00:00:00"/>
    <d v="2024-02-14T00:00:00"/>
    <s v="Asia"/>
    <x v="9"/>
    <s v="Beijing"/>
    <s v="Corporate"/>
    <s v="Distributor"/>
    <s v="L. Okafor"/>
    <x v="6"/>
    <x v="139"/>
    <n v="65.930000000000007"/>
    <n v="84.9"/>
    <n v="0.25900000000000001"/>
    <n v="23"/>
    <d v="2024-02-14T00:00:00"/>
    <s v="Ok"/>
    <n v="84.9"/>
    <n v="0"/>
    <x v="139"/>
    <n v="1516.39"/>
    <n v="-69.439300000000003"/>
    <n v="-4.7990093926489688E-2"/>
    <s v="Feb-2024"/>
    <m/>
    <s v="Asia. China. Beijing"/>
    <s v="Low"/>
    <x v="0"/>
  </r>
  <r>
    <s v="ORD-2023-906481"/>
    <d v="2023-05-02T00:00:00"/>
    <d v="2023-05-18T00:00:00"/>
    <s v="Asia"/>
    <x v="4"/>
    <s v="Delhi"/>
    <s v="Small Business"/>
    <s v="Marketplace"/>
    <s v="K. Singh"/>
    <x v="5"/>
    <x v="140"/>
    <n v="1463.92"/>
    <n v="2252.2399999999998"/>
    <n v="0.11799999999999999"/>
    <n v="44"/>
    <d v="2023-05-18T00:00:00"/>
    <s v="Ok"/>
    <n v="2252.2399999999998"/>
    <n v="16"/>
    <x v="140"/>
    <n v="64412.480000000003"/>
    <n v="22992.449919999992"/>
    <n v="0.26305667130040061"/>
    <s v="May-2023"/>
    <m/>
    <s v="Asia. India. Delhi"/>
    <s v="High"/>
    <x v="0"/>
  </r>
  <r>
    <s v="ORD-2024-902741"/>
    <d v="2024-12-23T00:00:00"/>
    <d v="2025-01-11T00:00:00"/>
    <s v="Europe"/>
    <x v="6"/>
    <s v="Berlin"/>
    <s v="Education"/>
    <s v="Retail"/>
    <s v="K. Singh"/>
    <x v="3"/>
    <x v="141"/>
    <n v="501.81"/>
    <n v="921.62"/>
    <n v="0.01"/>
    <n v="9"/>
    <d v="2025-01-11T00:00:00"/>
    <s v="Ok"/>
    <n v="921.62"/>
    <n v="19"/>
    <x v="141"/>
    <n v="4516.29"/>
    <n v="3695.3442000000005"/>
    <n v="0.45001325071202031"/>
    <s v="Dec-2024"/>
    <m/>
    <s v="Europe. Germany. Berlin"/>
    <s v="Low"/>
    <x v="0"/>
  </r>
  <r>
    <s v="ORD-2023-912395"/>
    <d v="2023-07-26T00:00:00"/>
    <d v="2023-08-25T00:00:00"/>
    <s v="Americas"/>
    <x v="10"/>
    <s v="New York"/>
    <s v="Consumer"/>
    <s v="Retail"/>
    <s v="M. Rossi"/>
    <x v="6"/>
    <x v="142"/>
    <n v="1261.48"/>
    <n v="1643.18"/>
    <n v="0.151"/>
    <n v="23"/>
    <d v="2023-08-25T00:00:00"/>
    <s v="Ok"/>
    <n v="1643.18"/>
    <n v="30"/>
    <x v="142"/>
    <n v="29014.04"/>
    <n v="3072.3358599999992"/>
    <n v="9.5752037357079045E-2"/>
    <s v="Jul-2023"/>
    <m/>
    <s v="Americas. USA. New York"/>
    <s v="High"/>
    <x v="0"/>
  </r>
  <r>
    <s v="ORD-2024-389102"/>
    <d v="2024-06-15T00:00:00"/>
    <d v="2024-07-06T00:00:00"/>
    <s v="Americas"/>
    <x v="3"/>
    <s v="Toronto"/>
    <s v="Enterprise"/>
    <s v="Distributor"/>
    <s v="L. Okafor"/>
    <x v="1"/>
    <x v="143"/>
    <n v="817.23"/>
    <n v="1467.17"/>
    <n v="0.245"/>
    <n v="9"/>
    <d v="2024-07-06T00:00:00"/>
    <s v="Ok"/>
    <n v="1467.17"/>
    <n v="21"/>
    <x v="143"/>
    <n v="7355.07"/>
    <n v="2614.3501500000002"/>
    <n v="0.26223693160328893"/>
    <s v="Jun-2024"/>
    <m/>
    <s v="Americas. Canada. Toronto"/>
    <s v="High"/>
    <x v="0"/>
  </r>
  <r>
    <s v="ORD-2023-309373"/>
    <d v="2023-07-05T00:00:00"/>
    <d v="2023-07-14T00:00:00"/>
    <s v="Americas"/>
    <x v="5"/>
    <s v="Brasília"/>
    <s v="Enterprise"/>
    <s v="Direct"/>
    <s v="B. Chen"/>
    <x v="2"/>
    <x v="144"/>
    <n v="578.85"/>
    <n v="998.76"/>
    <n v="8.2000000000000003E-2"/>
    <n v="28"/>
    <d v="2023-07-14T00:00:00"/>
    <s v="Ok"/>
    <n v="998.76"/>
    <n v="9"/>
    <x v="144"/>
    <n v="16207.800000000001"/>
    <n v="9464.3270399999983"/>
    <n v="0.36866158480960831"/>
    <s v="Jul-2023"/>
    <m/>
    <s v="Americas. Brazil. Brasília"/>
    <s v="Low"/>
    <x v="0"/>
  </r>
  <r>
    <s v="ORD-2023-825495"/>
    <d v="2023-11-30T00:00:00"/>
    <d v="2023-11-29T00:00:00"/>
    <s v="Africa"/>
    <x v="11"/>
    <s v="Durban"/>
    <s v="Small Business"/>
    <s v="Marketplace"/>
    <s v="E. Garcia"/>
    <x v="4"/>
    <x v="145"/>
    <n v="275.56"/>
    <n v="630.72"/>
    <n v="0.107"/>
    <n v="23"/>
    <d v="2023-12-07T00:00:00"/>
    <s v="Ok"/>
    <n v="630.72"/>
    <n v="7"/>
    <x v="145"/>
    <n v="6337.88"/>
    <n v="6616.4780800000017"/>
    <n v="0.5107530638831933"/>
    <s v="Nov-2023"/>
    <m/>
    <s v="Africa. South Africa. Durban"/>
    <s v="Low"/>
    <x v="0"/>
  </r>
  <r>
    <s v="ORD-2025-244832"/>
    <d v="2025-09-11T00:00:00"/>
    <d v="2025-09-28T00:00:00"/>
    <s v="Africa"/>
    <x v="0"/>
    <s v="Nairobi"/>
    <s v="Non-Profit"/>
    <s v="Distributor"/>
    <s v="J. Njeri"/>
    <x v="4"/>
    <x v="146"/>
    <n v="891.46"/>
    <n v="728.61"/>
    <n v="0.185"/>
    <n v="6"/>
    <d v="2025-09-28T00:00:00"/>
    <s v="Ok"/>
    <n v="728.61"/>
    <n v="17"/>
    <x v="146"/>
    <n v="5348.76"/>
    <n v="-1785.8571000000006"/>
    <n v="-0.50123653383874167"/>
    <s v="Sep-2025"/>
    <m/>
    <s v="Africa. Kenya. Nairobi"/>
    <s v="Low"/>
    <x v="0"/>
  </r>
  <r>
    <s v="ORD-2024-211453"/>
    <d v="2024-04-04T00:00:00"/>
    <d v="2024-04-24T00:00:00"/>
    <s v="Europe"/>
    <x v="6"/>
    <s v="Frankfurt"/>
    <s v="Non-Profit"/>
    <s v="Direct"/>
    <s v="O. Wang"/>
    <x v="6"/>
    <x v="147"/>
    <n v="683.42"/>
    <n v="951.51"/>
    <n v="0"/>
    <n v="14"/>
    <d v="2024-04-24T00:00:00"/>
    <s v="Ok"/>
    <n v="951.51"/>
    <n v="20"/>
    <x v="147"/>
    <n v="9567.8799999999992"/>
    <n v="3753.26"/>
    <n v="0.28175216235247136"/>
    <s v="Apr-2024"/>
    <m/>
    <s v="Europe. Germany. Frankfurt"/>
    <s v="Low"/>
    <x v="0"/>
  </r>
  <r>
    <s v="ORD-2023-192324"/>
    <d v="2023-09-14T00:00:00"/>
    <d v="2023-09-16T00:00:00"/>
    <s v="Europe"/>
    <x v="7"/>
    <s v="Lyon"/>
    <s v="Non-Profit"/>
    <s v="Direct"/>
    <s v="B. Chen"/>
    <x v="1"/>
    <x v="148"/>
    <n v="376.83"/>
    <n v="732.88"/>
    <n v="0.188"/>
    <n v="25"/>
    <d v="2023-09-16T00:00:00"/>
    <s v="Ok"/>
    <n v="732.88"/>
    <n v="2"/>
    <x v="148"/>
    <n v="9420.75"/>
    <n v="5456.7140000000018"/>
    <n v="0.36677716040852132"/>
    <s v="Sep-2023"/>
    <m/>
    <s v="Europe. France. Lyon"/>
    <s v="Low"/>
    <x v="0"/>
  </r>
  <r>
    <s v="ORD-2024-438404"/>
    <d v="2024-09-23T00:00:00"/>
    <d v="2024-10-18T00:00:00"/>
    <s v="Americas"/>
    <x v="3"/>
    <s v="Vancouver"/>
    <s v="Small Business"/>
    <s v="Online"/>
    <s v="N. Brown"/>
    <x v="3"/>
    <x v="149"/>
    <n v="1297"/>
    <n v="2411.52"/>
    <n v="2.1000000000000001E-2"/>
    <n v="18"/>
    <d v="2024-10-18T00:00:00"/>
    <s v="Ok"/>
    <n v="2411.52"/>
    <n v="25"/>
    <x v="149"/>
    <n v="23346"/>
    <n v="19149.805439999996"/>
    <n v="0.45062813239385913"/>
    <s v="Sep-2024"/>
    <m/>
    <s v="Americas. Canada. Vancouver"/>
    <s v="High"/>
    <x v="0"/>
  </r>
  <r>
    <s v="ORD-2025-246470"/>
    <d v="2025-04-16T00:00:00"/>
    <d v="2025-05-16T00:00:00"/>
    <s v="Americas"/>
    <x v="3"/>
    <s v="Montreal"/>
    <s v="Enterprise"/>
    <s v="Distributor"/>
    <s v="K. Singh"/>
    <x v="1"/>
    <x v="150"/>
    <n v="763.32"/>
    <n v="568.29"/>
    <n v="0.13100000000000001"/>
    <n v="16"/>
    <d v="2025-05-16T00:00:00"/>
    <s v="Ok"/>
    <n v="568.29"/>
    <n v="30"/>
    <x v="150"/>
    <n v="12213.12"/>
    <n v="-4311.6158400000013"/>
    <n v="-0.54567026134426555"/>
    <s v="Apr-2025"/>
    <m/>
    <s v="Americas. Canada. Montreal"/>
    <s v="Low"/>
    <x v="0"/>
  </r>
  <r>
    <s v="ORD-2023-497686"/>
    <d v="2023-07-03T00:00:00"/>
    <d v="2023-07-23T00:00:00"/>
    <s v="Africa"/>
    <x v="11"/>
    <s v="Johannesburg"/>
    <s v="Small Business"/>
    <s v="Distributor"/>
    <s v="F. Müller"/>
    <x v="4"/>
    <x v="151"/>
    <n v="1001.96"/>
    <n v="1254.95"/>
    <n v="4.4999999999999998E-2"/>
    <n v="18"/>
    <d v="2023-07-23T00:00:00"/>
    <s v="Ok"/>
    <n v="1254.95"/>
    <n v="20"/>
    <x v="151"/>
    <n v="18035.28"/>
    <n v="3537.3105000000032"/>
    <n v="0.16397244920585699"/>
    <s v="Jul-2023"/>
    <m/>
    <s v="Africa. South Africa. Johannesburg"/>
    <s v="High"/>
    <x v="0"/>
  </r>
  <r>
    <s v="ORD-2023-596758"/>
    <d v="2023-12-07T00:00:00"/>
    <d v="2023-12-05T00:00:00"/>
    <s v="Asia"/>
    <x v="2"/>
    <s v="Tokyo"/>
    <s v="Non-Profit"/>
    <s v="Marketplace"/>
    <s v="H. Kim"/>
    <x v="1"/>
    <x v="152"/>
    <n v="1097.5899999999999"/>
    <n v="845.55"/>
    <n v="0.184"/>
    <n v="6"/>
    <d v="2023-12-14T00:00:00"/>
    <s v="Ok"/>
    <n v="845.55"/>
    <n v="7"/>
    <x v="152"/>
    <n v="6585.5399999999991"/>
    <n v="-2445.7271999999994"/>
    <n v="-0.59078207594314402"/>
    <s v="Dec-2023"/>
    <m/>
    <s v="Asia. Japan. Tokyo"/>
    <s v="Low"/>
    <x v="1"/>
  </r>
  <r>
    <s v="ORD-2024-201376"/>
    <d v="2024-02-18T00:00:00"/>
    <d v="2024-03-04T00:00:00"/>
    <s v="Africa"/>
    <x v="0"/>
    <s v="Kisumu"/>
    <s v="Education"/>
    <s v="Direct"/>
    <s v="K. Singh"/>
    <x v="1"/>
    <x v="153"/>
    <n v="928.68"/>
    <n v="2145.17"/>
    <n v="0.13600000000000001"/>
    <n v="16"/>
    <d v="2024-03-04T00:00:00"/>
    <s v="Ok"/>
    <n v="2145.17"/>
    <n v="15"/>
    <x v="153"/>
    <n v="14858.88"/>
    <n v="14795.950080000001"/>
    <n v="0.49893896003062177"/>
    <s v="Feb-2024"/>
    <m/>
    <s v="Africa. Kenya. Kisumu"/>
    <s v="High"/>
    <x v="0"/>
  </r>
  <r>
    <s v="ORD-2023-842488"/>
    <d v="2023-10-31T00:00:00"/>
    <d v="2023-11-02T00:00:00"/>
    <s v="Africa"/>
    <x v="0"/>
    <s v="Kisumu"/>
    <s v="Education"/>
    <s v="Retail"/>
    <s v="O. Wang"/>
    <x v="6"/>
    <x v="154"/>
    <n v="867.89"/>
    <n v="1349.94"/>
    <n v="0.184"/>
    <n v="10"/>
    <d v="2023-11-02T00:00:00"/>
    <s v="Ok"/>
    <n v="1349.94"/>
    <n v="2"/>
    <x v="154"/>
    <n v="8678.9"/>
    <n v="2336.6104000000032"/>
    <n v="0.21212003031652557"/>
    <s v="Oct-2023"/>
    <m/>
    <s v="Africa. Kenya. Kisumu"/>
    <s v="High"/>
    <x v="0"/>
  </r>
  <r>
    <s v="ORD-2024-136321"/>
    <d v="2024-08-07T00:00:00"/>
    <d v="2024-08-17T00:00:00"/>
    <s v="Asia"/>
    <x v="2"/>
    <s v="Osaka"/>
    <s v="Consumer"/>
    <s v="Online"/>
    <s v="K. Singh"/>
    <x v="2"/>
    <x v="155"/>
    <n v="436.58"/>
    <n v="527.48"/>
    <n v="0.111"/>
    <n v="19"/>
    <d v="2024-08-17T00:00:00"/>
    <s v="Ok"/>
    <n v="527.48"/>
    <n v="10"/>
    <x v="155"/>
    <n v="8295.02"/>
    <n v="614.64468000000124"/>
    <n v="6.8986286473802644E-2"/>
    <s v="Aug-2024"/>
    <m/>
    <s v="Asia. Japan. Osaka"/>
    <s v="Low"/>
    <x v="1"/>
  </r>
  <r>
    <s v="ORD-2024-764468"/>
    <d v="2024-02-01T00:00:00"/>
    <d v="2024-02-21T00:00:00"/>
    <s v="Europe"/>
    <x v="7"/>
    <s v="Paris"/>
    <s v="Small Business"/>
    <s v="Marketplace"/>
    <s v="A. Patel"/>
    <x v="2"/>
    <x v="156"/>
    <n v="656.2"/>
    <n v="1467.17"/>
    <n v="1.7999999999999999E-2"/>
    <n v="5"/>
    <d v="2024-02-21T00:00:00"/>
    <s v="Ok"/>
    <n v="1467.17"/>
    <n v="20"/>
    <x v="156"/>
    <n v="3281"/>
    <n v="3922.8047000000006"/>
    <n v="0.54454623124360946"/>
    <s v="Feb-2024"/>
    <m/>
    <s v="Europe. France. Paris"/>
    <s v="High"/>
    <x v="0"/>
  </r>
  <r>
    <s v="ORD-2024-553449"/>
    <d v="2024-08-27T00:00:00"/>
    <d v="2024-09-18T00:00:00"/>
    <s v="Asia"/>
    <x v="4"/>
    <s v="Delhi"/>
    <s v="Consumer"/>
    <s v="Direct"/>
    <s v="B. Chen"/>
    <x v="0"/>
    <x v="157"/>
    <n v="896.75"/>
    <n v="1651.14"/>
    <n v="2.5000000000000001E-2"/>
    <n v="15"/>
    <d v="2024-09-18T00:00:00"/>
    <s v="Ok"/>
    <n v="1651.14"/>
    <n v="22"/>
    <x v="157"/>
    <n v="13451.25"/>
    <n v="10696.672500000001"/>
    <n v="0.44296450346815552"/>
    <s v="Aug-2024"/>
    <m/>
    <s v="Asia. India. Delhi"/>
    <s v="High"/>
    <x v="0"/>
  </r>
  <r>
    <s v="ORD-2025-766923"/>
    <d v="2025-02-15T00:00:00"/>
    <d v="2025-02-15T00:00:00"/>
    <s v="Europe"/>
    <x v="6"/>
    <s v="Frankfurt"/>
    <s v="Small Business"/>
    <s v="Marketplace"/>
    <s v="L. Okafor"/>
    <x v="6"/>
    <x v="158"/>
    <n v="815.83"/>
    <n v="1982.18"/>
    <n v="0.127"/>
    <n v="6"/>
    <d v="2025-02-15T00:00:00"/>
    <s v="Ok"/>
    <n v="1982.18"/>
    <n v="0"/>
    <x v="158"/>
    <n v="4894.9800000000005"/>
    <n v="5487.6788399999996"/>
    <n v="0.52854272923408507"/>
    <s v="Feb-2025"/>
    <m/>
    <s v="Europe. Germany. Frankfurt"/>
    <s v="High"/>
    <x v="0"/>
  </r>
  <r>
    <s v="ORD-2025-418232"/>
    <d v="2025-08-01T00:00:00"/>
    <d v="2025-08-21T00:00:00"/>
    <s v="Asia"/>
    <x v="9"/>
    <s v="Shanghai"/>
    <s v="Corporate"/>
    <s v="Direct"/>
    <s v="I. Johnson"/>
    <x v="3"/>
    <x v="159"/>
    <n v="1220.4100000000001"/>
    <n v="2552.2199999999998"/>
    <n v="0.18099999999999999"/>
    <n v="14"/>
    <d v="2025-08-21T00:00:00"/>
    <s v="Ok"/>
    <n v="2552.2199999999998"/>
    <n v="20"/>
    <x v="159"/>
    <n v="17085.740000000002"/>
    <n v="12178.014519999993"/>
    <n v="0.41614668793360271"/>
    <s v="Aug-2025"/>
    <m/>
    <s v="Asia. China. Shanghai"/>
    <s v="High"/>
    <x v="0"/>
  </r>
  <r>
    <s v="ORD-2023-848013"/>
    <d v="2023-02-20T00:00:00"/>
    <d v="2023-03-04T00:00:00"/>
    <s v="Asia"/>
    <x v="4"/>
    <s v="Delhi"/>
    <s v="Consumer"/>
    <s v="Distributor"/>
    <s v="M. Rossi"/>
    <x v="5"/>
    <x v="160"/>
    <n v="299.75"/>
    <n v="523.01"/>
    <n v="0.157"/>
    <n v="50"/>
    <d v="2023-03-04T00:00:00"/>
    <s v="Ok"/>
    <n v="523.01"/>
    <n v="12"/>
    <x v="160"/>
    <n v="14987.5"/>
    <n v="7057.3714999999975"/>
    <n v="0.32013665854210122"/>
    <s v="Feb-2023"/>
    <m/>
    <s v="Asia. India. Delhi"/>
    <s v="Low"/>
    <x v="0"/>
  </r>
  <r>
    <s v="ORD-2024-357368"/>
    <d v="2024-10-30T00:00:00"/>
    <d v="2024-11-24T00:00:00"/>
    <s v="Asia"/>
    <x v="9"/>
    <s v="Shenzhen"/>
    <s v="Small Business"/>
    <s v="Online"/>
    <s v="E. Garcia"/>
    <x v="0"/>
    <x v="161"/>
    <n v="811.05"/>
    <n v="1217.71"/>
    <n v="7.1999999999999995E-2"/>
    <n v="5"/>
    <d v="2024-11-24T00:00:00"/>
    <s v="Ok"/>
    <n v="1217.71"/>
    <n v="25"/>
    <x v="161"/>
    <n v="4055.25"/>
    <n v="1594.9244000000008"/>
    <n v="0.28227879125288602"/>
    <s v="Oct-2024"/>
    <m/>
    <s v="Asia. China. Shenzhen"/>
    <s v="High"/>
    <x v="0"/>
  </r>
  <r>
    <s v="ORD-2024-219735"/>
    <d v="2024-04-03T00:00:00"/>
    <d v="2024-04-07T00:00:00"/>
    <s v="Americas"/>
    <x v="5"/>
    <s v="Brasília"/>
    <s v="Non-Profit"/>
    <s v="Direct"/>
    <s v="N. Brown"/>
    <x v="3"/>
    <x v="162"/>
    <n v="1023.27"/>
    <n v="1343.64"/>
    <n v="0.13300000000000001"/>
    <n v="7"/>
    <d v="2024-04-07T00:00:00"/>
    <s v="Ok"/>
    <n v="1343.64"/>
    <n v="4"/>
    <x v="162"/>
    <n v="7162.8899999999994"/>
    <n v="991.66116000000147"/>
    <n v="0.12160830688810116"/>
    <s v="Apr-2024"/>
    <m/>
    <s v="Americas. Brazil. Brasília"/>
    <s v="High"/>
    <x v="0"/>
  </r>
  <r>
    <s v="ORD-2023-240507"/>
    <d v="2023-03-25T00:00:00"/>
    <d v="2023-03-26T00:00:00"/>
    <s v="Asia"/>
    <x v="2"/>
    <s v="Osaka"/>
    <s v="Small Business"/>
    <s v="Distributor"/>
    <s v="I. Johnson"/>
    <x v="5"/>
    <x v="163"/>
    <n v="135.12"/>
    <n v="301.7"/>
    <n v="0.14000000000000001"/>
    <n v="47"/>
    <d v="2023-03-26T00:00:00"/>
    <s v="Ok"/>
    <n v="301.7"/>
    <n v="1"/>
    <x v="163"/>
    <n v="6350.64"/>
    <n v="5844.0739999999996"/>
    <n v="0.47923009920527859"/>
    <s v="Mar-2023"/>
    <m/>
    <s v="Asia. Japan. Osaka"/>
    <s v="Low"/>
    <x v="1"/>
  </r>
  <r>
    <s v="ORD-2024-134084"/>
    <d v="2024-06-04T00:00:00"/>
    <d v="2024-06-16T00:00:00"/>
    <s v="Asia"/>
    <x v="9"/>
    <s v="Shanghai"/>
    <s v="Corporate"/>
    <s v="Retail"/>
    <s v="J. Njeri"/>
    <x v="1"/>
    <x v="164"/>
    <n v="918.42"/>
    <n v="1511.71"/>
    <n v="0.02"/>
    <n v="8"/>
    <d v="2024-06-16T00:00:00"/>
    <s v="Ok"/>
    <n v="1511.71"/>
    <n v="12"/>
    <x v="164"/>
    <n v="7347.36"/>
    <n v="4504.4463999999998"/>
    <n v="0.38006412254590999"/>
    <s v="Jun-2024"/>
    <m/>
    <s v="Asia. China. Shanghai"/>
    <s v="High"/>
    <x v="0"/>
  </r>
  <r>
    <s v="ORD-2023-884625"/>
    <d v="2023-02-19T00:00:00"/>
    <d v="2023-03-12T00:00:00"/>
    <s v="Europe"/>
    <x v="6"/>
    <s v="Berlin"/>
    <s v="Small Business"/>
    <s v="Direct"/>
    <s v="L. Okafor"/>
    <x v="5"/>
    <x v="165"/>
    <n v="1234.81"/>
    <n v="2055.2399999999998"/>
    <n v="5.2999999999999999E-2"/>
    <n v="44"/>
    <d v="2023-03-12T00:00:00"/>
    <s v="Ok"/>
    <n v="2055.2399999999998"/>
    <n v="21"/>
    <x v="165"/>
    <n v="54331.64"/>
    <n v="31306.100319999998"/>
    <n v="0.36556429680441616"/>
    <s v="Feb-2023"/>
    <m/>
    <s v="Europe. Germany. Berlin"/>
    <s v="High"/>
    <x v="0"/>
  </r>
  <r>
    <s v="ORD-2023-157993"/>
    <d v="2023-04-18T00:00:00"/>
    <d v="2023-05-18T00:00:00"/>
    <s v="Asia"/>
    <x v="9"/>
    <s v="Shenzhen"/>
    <s v="Non-Profit"/>
    <s v="Retail"/>
    <s v="H. Kim"/>
    <x v="4"/>
    <x v="166"/>
    <n v="329.03"/>
    <n v="391.15"/>
    <n v="0.19700000000000001"/>
    <n v="46"/>
    <d v="2023-05-18T00:00:00"/>
    <s v="Ok"/>
    <n v="391.15"/>
    <n v="30"/>
    <x v="166"/>
    <n v="15135.38"/>
    <n v="-687.08130000000165"/>
    <n v="-4.7554477815440081E-2"/>
    <s v="Apr-2023"/>
    <m/>
    <s v="Asia. China. Shenzhen"/>
    <s v="Low"/>
    <x v="0"/>
  </r>
  <r>
    <s v="ORD-2024-329104"/>
    <d v="2024-05-23T00:00:00"/>
    <d v="2024-06-14T00:00:00"/>
    <s v="Europe"/>
    <x v="7"/>
    <s v="Marseille"/>
    <s v="Small Business"/>
    <s v="Online"/>
    <s v="N. Brown"/>
    <x v="5"/>
    <x v="167"/>
    <n v="1481.74"/>
    <n v="1848.97"/>
    <n v="0.254"/>
    <n v="9"/>
    <d v="2024-06-14T00:00:00"/>
    <s v="Ok"/>
    <n v="1848.97"/>
    <n v="22"/>
    <x v="167"/>
    <n v="13335.66"/>
    <n v="-921.67541999999958"/>
    <n v="-7.4244930309072407E-2"/>
    <s v="May-2024"/>
    <m/>
    <s v="Europe. France. Marseille"/>
    <s v="High"/>
    <x v="0"/>
  </r>
  <r>
    <s v="ORD-2023-304451"/>
    <d v="2023-10-07T00:00:00"/>
    <d v="2023-10-23T00:00:00"/>
    <s v="Asia"/>
    <x v="4"/>
    <s v="Hyderabad"/>
    <s v="Consumer"/>
    <s v="Retail"/>
    <s v="G. Dubois"/>
    <x v="5"/>
    <x v="168"/>
    <n v="906.81"/>
    <n v="1395.56"/>
    <n v="0.185"/>
    <n v="6"/>
    <d v="2023-10-23T00:00:00"/>
    <s v="Ok"/>
    <n v="1395.56"/>
    <n v="16"/>
    <x v="168"/>
    <n v="5440.86"/>
    <n v="1383.4284000000007"/>
    <n v="0.20272126834498974"/>
    <s v="Oct-2023"/>
    <m/>
    <s v="Asia. India. Hyderabad"/>
    <s v="High"/>
    <x v="0"/>
  </r>
  <r>
    <s v="ORD-2024-942981"/>
    <d v="2024-10-09T00:00:00"/>
    <d v="2024-11-08T00:00:00"/>
    <s v="Europe"/>
    <x v="8"/>
    <s v="Manchester"/>
    <s v="Small Business"/>
    <s v="Distributor"/>
    <s v="J. Njeri"/>
    <x v="0"/>
    <x v="169"/>
    <n v="343.85"/>
    <n v="538.04"/>
    <n v="0.13900000000000001"/>
    <n v="5"/>
    <d v="2024-11-08T00:00:00"/>
    <s v="Ok"/>
    <n v="538.04"/>
    <n v="30"/>
    <x v="169"/>
    <n v="1719.25"/>
    <n v="597.01219999999967"/>
    <n v="0.25774810813732563"/>
    <s v="Oct-2024"/>
    <m/>
    <s v="Europe. United Kingdom. Manchester"/>
    <s v="Low"/>
    <x v="0"/>
  </r>
  <r>
    <s v="ORD-2024-605629"/>
    <d v="2024-07-15T00:00:00"/>
    <d v="2024-07-15T00:00:00"/>
    <s v="Asia"/>
    <x v="2"/>
    <s v="Tokyo"/>
    <s v="Small Business"/>
    <s v="Marketplace"/>
    <s v="G. Dubois"/>
    <x v="6"/>
    <x v="170"/>
    <n v="801.77"/>
    <n v="1218.92"/>
    <n v="0.254"/>
    <n v="16"/>
    <d v="2024-07-15T00:00:00"/>
    <s v="Ok"/>
    <n v="1218.92"/>
    <n v="0"/>
    <x v="170"/>
    <n v="12828.32"/>
    <n v="1720.7091200000013"/>
    <n v="0.11826968698788344"/>
    <s v="Jul-2024"/>
    <m/>
    <s v="Asia. Japan. Tokyo"/>
    <s v="High"/>
    <x v="1"/>
  </r>
  <r>
    <s v="ORD-2023-450877"/>
    <d v="2023-09-21T00:00:00"/>
    <d v="2023-10-10T00:00:00"/>
    <s v="Asia"/>
    <x v="2"/>
    <s v="Tokyo"/>
    <s v="Education"/>
    <s v="Online"/>
    <s v="D. Smith"/>
    <x v="0"/>
    <x v="171"/>
    <n v="845.63"/>
    <n v="2062.12"/>
    <n v="0.13400000000000001"/>
    <n v="5"/>
    <d v="2023-10-10T00:00:00"/>
    <s v="Ok"/>
    <n v="2062.12"/>
    <n v="19"/>
    <x v="171"/>
    <n v="4228.1499999999996"/>
    <n v="4700.8295999999991"/>
    <n v="0.52646884757133949"/>
    <s v="Sep-2023"/>
    <m/>
    <s v="Asia. Japan. Tokyo"/>
    <s v="High"/>
    <x v="1"/>
  </r>
  <r>
    <s v="ORD-2023-286994"/>
    <d v="2023-02-24T00:00:00"/>
    <d v="2023-03-09T00:00:00"/>
    <s v="Americas"/>
    <x v="10"/>
    <s v="New York"/>
    <s v="Enterprise"/>
    <s v="Online"/>
    <s v="M. Rossi"/>
    <x v="0"/>
    <x v="172"/>
    <n v="6.85"/>
    <n v="10.18"/>
    <n v="4.7E-2"/>
    <n v="10"/>
    <d v="2023-03-09T00:00:00"/>
    <s v="Ok"/>
    <n v="10.18"/>
    <n v="13"/>
    <x v="172"/>
    <n v="68.5"/>
    <n v="28.5154"/>
    <n v="0.2939265312517394"/>
    <s v="Feb-2023"/>
    <m/>
    <s v="Americas. USA. New York"/>
    <s v="Low"/>
    <x v="0"/>
  </r>
  <r>
    <s v="ORD-2025-700847"/>
    <d v="2025-05-21T00:00:00"/>
    <d v="2025-05-19T00:00:00"/>
    <s v="Africa"/>
    <x v="11"/>
    <s v="Johannesburg"/>
    <s v="Non-Profit"/>
    <s v="Distributor"/>
    <s v="O. Wang"/>
    <x v="4"/>
    <x v="173"/>
    <n v="1263.8399999999999"/>
    <n v="2281.7199999999998"/>
    <n v="7.8E-2"/>
    <n v="15"/>
    <d v="2025-05-28T00:00:00"/>
    <s v="Ok"/>
    <n v="2281.7199999999998"/>
    <n v="7"/>
    <x v="173"/>
    <n v="18957.599999999999"/>
    <n v="12598.587599999999"/>
    <n v="0.39924301882398494"/>
    <s v="May-2025"/>
    <m/>
    <s v="Africa. South Africa. Johannesburg"/>
    <s v="High"/>
    <x v="0"/>
  </r>
  <r>
    <s v="ORD-2024-970848"/>
    <d v="2024-05-23T00:00:00"/>
    <d v="2024-06-03T00:00:00"/>
    <s v="Africa"/>
    <x v="11"/>
    <s v="Johannesburg"/>
    <s v="Small Business"/>
    <s v="Distributor"/>
    <s v="F. Müller"/>
    <x v="1"/>
    <x v="174"/>
    <n v="180.89"/>
    <n v="249.57"/>
    <n v="2.1999999999999999E-2"/>
    <n v="8"/>
    <d v="2024-06-03T00:00:00"/>
    <s v="Ok"/>
    <n v="249.57"/>
    <n v="11"/>
    <x v="174"/>
    <n v="1447.12"/>
    <n v="505.51567999999997"/>
    <n v="0.25888888806948362"/>
    <s v="May-2024"/>
    <m/>
    <s v="Africa. South Africa. Johannesburg"/>
    <s v="Low"/>
    <x v="0"/>
  </r>
  <r>
    <s v="ORD-2025-845715"/>
    <d v="2025-04-14T00:00:00"/>
    <d v="2025-05-04T00:00:00"/>
    <s v="Europe"/>
    <x v="8"/>
    <s v="Birmingham"/>
    <s v="Enterprise"/>
    <s v="Marketplace"/>
    <s v="K. Singh"/>
    <x v="5"/>
    <x v="175"/>
    <n v="1413.87"/>
    <n v="3275"/>
    <n v="0.255"/>
    <n v="38"/>
    <d v="2025-05-04T00:00:00"/>
    <s v="Ok"/>
    <n v="3275"/>
    <n v="20"/>
    <x v="175"/>
    <n v="53727.06"/>
    <n v="38988.19"/>
    <n v="0.42051539525590453"/>
    <s v="Apr-2025"/>
    <m/>
    <s v="Europe. United Kingdom. Birmingham"/>
    <s v="High"/>
    <x v="0"/>
  </r>
  <r>
    <s v="ORD-2023-664749"/>
    <d v="2023-08-27T00:00:00"/>
    <d v="2023-09-11T00:00:00"/>
    <s v="Europe"/>
    <x v="8"/>
    <s v="London"/>
    <s v="Consumer"/>
    <s v="Marketplace"/>
    <s v="N. Brown"/>
    <x v="1"/>
    <x v="176"/>
    <n v="943.79"/>
    <n v="1913.76"/>
    <n v="9.0999999999999998E-2"/>
    <n v="9"/>
    <d v="2023-09-11T00:00:00"/>
    <s v="Ok"/>
    <n v="1913.76"/>
    <n v="15"/>
    <x v="176"/>
    <n v="8494.11"/>
    <n v="7162.3605599999992"/>
    <n v="0.45746967891338081"/>
    <s v="Aug-2023"/>
    <m/>
    <s v="Europe. United Kingdom. London"/>
    <s v="High"/>
    <x v="0"/>
  </r>
  <r>
    <s v="ORD-2024-960952"/>
    <d v="2024-02-03T00:00:00"/>
    <d v="2024-02-21T00:00:00"/>
    <s v="Europe"/>
    <x v="6"/>
    <s v="Frankfurt"/>
    <s v="Corporate"/>
    <s v="Retail"/>
    <s v="H. Kim"/>
    <x v="0"/>
    <x v="177"/>
    <n v="39.229999999999997"/>
    <n v="30.09"/>
    <n v="0.17699999999999999"/>
    <n v="13"/>
    <d v="2024-02-21T00:00:00"/>
    <s v="Ok"/>
    <n v="30.09"/>
    <n v="18"/>
    <x v="177"/>
    <n v="509.98999999999995"/>
    <n v="-188.05708999999996"/>
    <n v="-0.58414993981199359"/>
    <s v="Feb-2024"/>
    <m/>
    <s v="Europe. Germany. Frankfurt"/>
    <s v="Low"/>
    <x v="0"/>
  </r>
  <r>
    <s v="ORD-2023-987700"/>
    <d v="2023-04-05T00:00:00"/>
    <d v="2023-04-16T00:00:00"/>
    <s v="Americas"/>
    <x v="3"/>
    <s v="Vancouver"/>
    <s v="Non-Profit"/>
    <s v="Online"/>
    <s v="O. Wang"/>
    <x v="5"/>
    <x v="178"/>
    <n v="213.1"/>
    <n v="501.31"/>
    <n v="5.6000000000000001E-2"/>
    <n v="15"/>
    <d v="2023-04-16T00:00:00"/>
    <s v="Ok"/>
    <n v="501.31"/>
    <n v="11"/>
    <x v="178"/>
    <n v="3196.5"/>
    <n v="3902.0495999999994"/>
    <n v="0.54969674368409005"/>
    <s v="Apr-2023"/>
    <m/>
    <s v="Americas. Canada. Vancouver"/>
    <s v="Low"/>
    <x v="0"/>
  </r>
  <r>
    <s v="ORD-2025-652467"/>
    <d v="2025-08-21T00:00:00"/>
    <d v="2025-09-12T00:00:00"/>
    <s v="Asia"/>
    <x v="9"/>
    <s v="Shenzhen"/>
    <s v="Education"/>
    <s v="Retail"/>
    <s v="B. Chen"/>
    <x v="1"/>
    <x v="179"/>
    <n v="352.66"/>
    <n v="411.18"/>
    <n v="0.17299999999999999"/>
    <n v="13"/>
    <d v="2025-09-12T00:00:00"/>
    <s v="Ok"/>
    <n v="411.18"/>
    <n v="22"/>
    <x v="179"/>
    <n v="4584.58"/>
    <n v="-163.98382000000038"/>
    <n v="-3.7095408248758066E-2"/>
    <s v="Aug-2025"/>
    <m/>
    <s v="Asia. China. Shenzhen"/>
    <s v="Low"/>
    <x v="0"/>
  </r>
  <r>
    <s v="ORD-2025-667201"/>
    <d v="2025-09-15T00:00:00"/>
    <d v="2025-09-18T00:00:00"/>
    <s v="Americas"/>
    <x v="5"/>
    <s v="Rio de Janeiro"/>
    <s v="Non-Profit"/>
    <s v="Direct"/>
    <s v="L. Okafor"/>
    <x v="6"/>
    <x v="180"/>
    <n v="5.5"/>
    <n v="5.92"/>
    <n v="0.21199999999999999"/>
    <n v="4"/>
    <d v="2025-09-18T00:00:00"/>
    <s v="Ok"/>
    <n v="5.92"/>
    <n v="3"/>
    <x v="180"/>
    <n v="22"/>
    <n v="-3.3401600000000009"/>
    <n v="-0.17900260666758133"/>
    <s v="Sep-2025"/>
    <m/>
    <s v="Americas. Brazil. Rio de Janeiro"/>
    <s v="Low"/>
    <x v="0"/>
  </r>
  <r>
    <s v="ORD-2024-237478"/>
    <d v="2024-10-03T00:00:00"/>
    <d v="2024-10-11T00:00:00"/>
    <s v="Asia"/>
    <x v="9"/>
    <s v="Beijing"/>
    <s v="Enterprise"/>
    <s v="Direct"/>
    <s v="B. Chen"/>
    <x v="3"/>
    <x v="181"/>
    <n v="1132.6099999999999"/>
    <n v="2206.63"/>
    <n v="6.3E-2"/>
    <n v="20"/>
    <d v="2024-10-11T00:00:00"/>
    <s v="Ok"/>
    <n v="2206.63"/>
    <n v="8"/>
    <x v="181"/>
    <n v="22652.199999999997"/>
    <n v="18700.046200000012"/>
    <n v="0.45221355351671338"/>
    <s v="Oct-2024"/>
    <m/>
    <s v="Asia. China. Beijing"/>
    <s v="High"/>
    <x v="0"/>
  </r>
  <r>
    <s v="ORD-2025-898843"/>
    <d v="2025-02-02T00:00:00"/>
    <d v="2025-03-04T00:00:00"/>
    <s v="Asia"/>
    <x v="2"/>
    <s v="Osaka"/>
    <s v="Education"/>
    <s v="Distributor"/>
    <s v="L. Okafor"/>
    <x v="6"/>
    <x v="182"/>
    <n v="766.59"/>
    <n v="1912.8"/>
    <n v="0.19600000000000001"/>
    <n v="5"/>
    <d v="2025-03-04T00:00:00"/>
    <s v="Ok"/>
    <n v="1912.8"/>
    <n v="30"/>
    <x v="182"/>
    <n v="3832.9500000000003"/>
    <n v="3856.5059999999999"/>
    <n v="0.50153170783472845"/>
    <s v="Feb-2025"/>
    <m/>
    <s v="Asia. Japan. Osaka"/>
    <s v="High"/>
    <x v="1"/>
  </r>
  <r>
    <s v="ORD-2023-334213"/>
    <d v="2023-08-19T00:00:00"/>
    <d v="2023-08-23T00:00:00"/>
    <s v="Africa"/>
    <x v="1"/>
    <s v="Abuja"/>
    <s v="Small Business"/>
    <s v="Online"/>
    <s v="J. Njeri"/>
    <x v="5"/>
    <x v="183"/>
    <n v="790.63"/>
    <n v="1382.31"/>
    <n v="0.10100000000000001"/>
    <n v="7"/>
    <d v="2023-08-23T00:00:00"/>
    <s v="Ok"/>
    <n v="1382.31"/>
    <n v="4"/>
    <x v="183"/>
    <n v="5534.41"/>
    <n v="3164.4668300000012"/>
    <n v="0.36377878338116448"/>
    <s v="Aug-2023"/>
    <m/>
    <s v="Africa. Nigeria. Abuja"/>
    <s v="High"/>
    <x v="0"/>
  </r>
  <r>
    <s v="ORD-2024-640340"/>
    <d v="2024-10-22T00:00:00"/>
    <d v="2024-10-29T00:00:00"/>
    <s v="Africa"/>
    <x v="1"/>
    <s v="Port Harcourt"/>
    <s v="Enterprise"/>
    <s v="Distributor"/>
    <s v="M. Rossi"/>
    <x v="5"/>
    <x v="184"/>
    <n v="1023.06"/>
    <n v="1355.61"/>
    <n v="0.153"/>
    <n v="23"/>
    <d v="2024-10-29T00:00:00"/>
    <s v="Ok"/>
    <n v="1355.61"/>
    <n v="7"/>
    <x v="184"/>
    <n v="23530.379999999997"/>
    <n v="2878.2584100000022"/>
    <n v="0.10898927711888809"/>
    <s v="Oct-2024"/>
    <m/>
    <s v="Africa. Nigeria. Port Harcourt"/>
    <s v="High"/>
    <x v="0"/>
  </r>
  <r>
    <s v="ORD-2023-399631"/>
    <d v="2023-06-22T00:00:00"/>
    <d v="2023-07-21T00:00:00"/>
    <s v="Europe"/>
    <x v="7"/>
    <s v="Lyon"/>
    <s v="Corporate"/>
    <s v="Retail"/>
    <s v="J. Njeri"/>
    <x v="6"/>
    <x v="185"/>
    <n v="734.34"/>
    <n v="887.9"/>
    <n v="2.5000000000000001E-2"/>
    <n v="12"/>
    <d v="2023-07-21T00:00:00"/>
    <s v="Ok"/>
    <n v="887.9"/>
    <n v="29"/>
    <x v="185"/>
    <n v="8812.08"/>
    <n v="1576.3499999999985"/>
    <n v="0.15174092716608753"/>
    <s v="Jun-2023"/>
    <m/>
    <s v="Europe. France. Lyon"/>
    <s v="Low"/>
    <x v="0"/>
  </r>
  <r>
    <s v="ORD-2025-542939"/>
    <d v="2025-01-13T00:00:00"/>
    <d v="2025-02-08T00:00:00"/>
    <s v="Europe"/>
    <x v="7"/>
    <s v="Paris"/>
    <s v="Non-Profit"/>
    <s v="Unknown"/>
    <s v="E. Garcia"/>
    <x v="5"/>
    <x v="186"/>
    <n v="594.74"/>
    <n v="1020.69"/>
    <n v="0.21099999999999999"/>
    <n v="6"/>
    <d v="2025-02-08T00:00:00"/>
    <s v="Ok"/>
    <n v="1020.69"/>
    <n v="26"/>
    <x v="186"/>
    <n v="3568.44"/>
    <n v="1263.5064600000001"/>
    <n v="0.26149016146176424"/>
    <s v="Jan-2025"/>
    <m/>
    <s v="Europe. France. Paris"/>
    <s v="Low"/>
    <x v="0"/>
  </r>
  <r>
    <s v="ORD-2023-521818"/>
    <d v="2023-01-29T00:00:00"/>
    <d v="2023-02-28T00:00:00"/>
    <s v="Asia"/>
    <x v="4"/>
    <s v="Bengaluru"/>
    <s v="Non-Profit"/>
    <s v="Retail"/>
    <s v="B. Chen"/>
    <x v="6"/>
    <x v="187"/>
    <n v="1262.0999999999999"/>
    <n v="1395.53"/>
    <n v="0.23300000000000001"/>
    <n v="25"/>
    <d v="2023-02-28T00:00:00"/>
    <s v="Ok"/>
    <n v="1395.53"/>
    <n v="30"/>
    <x v="187"/>
    <n v="31552.499999999996"/>
    <n v="-4793.2122499999969"/>
    <n v="-0.17912331205452198"/>
    <s v="Jan-2023"/>
    <m/>
    <s v="Asia. India. Bengaluru"/>
    <s v="High"/>
    <x v="0"/>
  </r>
  <r>
    <s v="ORD-2023-825836"/>
    <d v="2023-07-19T00:00:00"/>
    <d v="2023-07-31T00:00:00"/>
    <s v="Americas"/>
    <x v="5"/>
    <s v="Rio de Janeiro"/>
    <s v="Corporate"/>
    <s v="Retail"/>
    <s v="C. Otieno"/>
    <x v="5"/>
    <x v="188"/>
    <n v="1334.64"/>
    <n v="2273.42"/>
    <n v="0.11799999999999999"/>
    <n v="14"/>
    <d v="2023-07-31T00:00:00"/>
    <s v="Ok"/>
    <n v="2273.42"/>
    <n v="12"/>
    <x v="188"/>
    <n v="18684.960000000003"/>
    <n v="9387.2301599999992"/>
    <n v="0.33439607335575267"/>
    <s v="Jul-2023"/>
    <m/>
    <s v="Americas. Brazil. Rio de Janeiro"/>
    <s v="High"/>
    <x v="0"/>
  </r>
  <r>
    <s v="ORD-2024-503082"/>
    <d v="2024-05-19T00:00:00"/>
    <d v="2024-06-08T00:00:00"/>
    <s v="Americas"/>
    <x v="5"/>
    <s v="Brasília"/>
    <s v="Small Business"/>
    <s v="Retail"/>
    <s v="E. Garcia"/>
    <x v="5"/>
    <x v="189"/>
    <n v="1075.9000000000001"/>
    <n v="1242.1500000000001"/>
    <n v="1.2E-2"/>
    <n v="7"/>
    <d v="2024-06-08T00:00:00"/>
    <s v="Ok"/>
    <n v="1242.1500000000001"/>
    <n v="20"/>
    <x v="189"/>
    <n v="7531.3000000000011"/>
    <n v="1059.4094000000005"/>
    <n v="0.12332036280961853"/>
    <s v="May-2024"/>
    <m/>
    <s v="Americas. Brazil. Brasília"/>
    <s v="High"/>
    <x v="0"/>
  </r>
  <r>
    <s v="ORD-2024-760799"/>
    <d v="2024-02-03T00:00:00"/>
    <d v="2024-02-19T00:00:00"/>
    <s v="Asia"/>
    <x v="9"/>
    <s v="Shenzhen"/>
    <s v="Small Business"/>
    <s v="Online"/>
    <s v="H. Kim"/>
    <x v="4"/>
    <x v="190"/>
    <n v="993.75"/>
    <n v="1310.29"/>
    <n v="0.215"/>
    <n v="19"/>
    <d v="2024-02-19T00:00:00"/>
    <s v="Ok"/>
    <n v="1310.29"/>
    <n v="16"/>
    <x v="190"/>
    <n v="18881.25"/>
    <n v="661.72535000000062"/>
    <n v="3.3860010471742245E-2"/>
    <s v="Feb-2024"/>
    <m/>
    <s v="Asia. China. Shenzhen"/>
    <s v="High"/>
    <x v="0"/>
  </r>
  <r>
    <s v="ORD-2023-197661"/>
    <d v="2023-08-08T00:00:00"/>
    <d v="2023-08-22T00:00:00"/>
    <s v="Europe"/>
    <x v="8"/>
    <s v="Birmingham"/>
    <s v="Non-Profit"/>
    <s v="Direct"/>
    <s v="N. Brown"/>
    <x v="5"/>
    <x v="191"/>
    <n v="446.69"/>
    <n v="967.25"/>
    <n v="9.4E-2"/>
    <n v="10"/>
    <d v="2023-08-22T00:00:00"/>
    <s v="Ok"/>
    <n v="967.25"/>
    <n v="14"/>
    <x v="191"/>
    <n v="4466.8999999999996"/>
    <n v="4296.3850000000002"/>
    <n v="0.49027105702941309"/>
    <s v="Aug-2023"/>
    <m/>
    <s v="Europe. United Kingdom. Birmingham"/>
    <s v="Low"/>
    <x v="0"/>
  </r>
  <r>
    <s v="ORD-2024-212990"/>
    <d v="2024-08-12T00:00:00"/>
    <d v="2024-09-03T00:00:00"/>
    <s v="Americas"/>
    <x v="10"/>
    <s v="Austin"/>
    <s v="Consumer"/>
    <s v="Distributor"/>
    <s v="I. Johnson"/>
    <x v="4"/>
    <x v="192"/>
    <n v="797.8"/>
    <n v="886.22"/>
    <n v="0.23599999999999999"/>
    <n v="36"/>
    <d v="2024-09-03T00:00:00"/>
    <s v="Ok"/>
    <n v="886.22"/>
    <n v="22"/>
    <x v="192"/>
    <n v="28720.799999999999"/>
    <n v="-4346.2051199999987"/>
    <n v="-0.17830881462428633"/>
    <s v="Aug-2024"/>
    <m/>
    <s v="Americas. USA. Austin"/>
    <s v="Low"/>
    <x v="0"/>
  </r>
  <r>
    <s v="ORD-2023-925146"/>
    <d v="2023-10-15T00:00:00"/>
    <d v="2023-11-13T00:00:00"/>
    <s v="Asia"/>
    <x v="9"/>
    <s v="Shenzhen"/>
    <s v="Non-Profit"/>
    <s v="Distributor"/>
    <s v="J. Njeri"/>
    <x v="1"/>
    <x v="193"/>
    <n v="986.44"/>
    <n v="790.61"/>
    <n v="7.1999999999999995E-2"/>
    <n v="6"/>
    <d v="2023-11-13T00:00:00"/>
    <s v="Ok"/>
    <n v="790.61"/>
    <n v="29"/>
    <x v="193"/>
    <n v="5918.64"/>
    <n v="-1516.5235200000006"/>
    <n v="-0.34449872621271499"/>
    <s v="Oct-2023"/>
    <m/>
    <s v="Asia. China. Shenzhen"/>
    <s v="Low"/>
    <x v="0"/>
  </r>
  <r>
    <s v="ORD-2023-177794"/>
    <d v="2023-05-04T00:00:00"/>
    <d v="2023-05-26T00:00:00"/>
    <s v="Americas"/>
    <x v="10"/>
    <s v="San Francisco"/>
    <s v="Enterprise"/>
    <s v="Online"/>
    <s v="J. Njeri"/>
    <x v="2"/>
    <x v="194"/>
    <n v="249.71"/>
    <n v="361.33"/>
    <n v="9.4E-2"/>
    <n v="12"/>
    <d v="2023-05-26T00:00:00"/>
    <s v="Ok"/>
    <n v="361.33"/>
    <n v="22"/>
    <x v="194"/>
    <n v="2996.52"/>
    <n v="931.85976000000028"/>
    <n v="0.23721223937881206"/>
    <s v="May-2023"/>
    <m/>
    <s v="Americas. USA. San Francisco"/>
    <s v="Low"/>
    <x v="0"/>
  </r>
  <r>
    <s v="ORD-2024-444710"/>
    <d v="2024-09-22T00:00:00"/>
    <d v="2024-10-01T00:00:00"/>
    <s v="Americas"/>
    <x v="5"/>
    <s v="São Paulo"/>
    <s v="Non-Profit"/>
    <s v="Online"/>
    <s v="K. Singh"/>
    <x v="5"/>
    <x v="195"/>
    <n v="1378.8"/>
    <n v="1952.04"/>
    <n v="0.159"/>
    <n v="19"/>
    <d v="2024-10-01T00:00:00"/>
    <s v="Ok"/>
    <n v="1952.04"/>
    <n v="9"/>
    <x v="195"/>
    <n v="26197.200000000001"/>
    <n v="4994.4471599999997"/>
    <n v="0.16012130216723058"/>
    <s v="Sep-2024"/>
    <m/>
    <s v="Americas. Brazil. São Paulo"/>
    <s v="High"/>
    <x v="0"/>
  </r>
  <r>
    <s v="ORD-2024-668926"/>
    <d v="2024-10-23T00:00:00"/>
    <d v="2024-11-14T00:00:00"/>
    <s v="Asia"/>
    <x v="2"/>
    <s v="Osaka"/>
    <s v="Non-Profit"/>
    <s v="Direct"/>
    <s v="B. Chen"/>
    <x v="3"/>
    <x v="196"/>
    <n v="1406.4"/>
    <n v="1564.76"/>
    <n v="0.185"/>
    <n v="17"/>
    <d v="2024-11-14T00:00:00"/>
    <s v="Ok"/>
    <n v="1564.76"/>
    <n v="22"/>
    <x v="196"/>
    <n v="23908.800000000003"/>
    <n v="-2229.0502000000051"/>
    <n v="-0.10281715520536151"/>
    <s v="Oct-2024"/>
    <m/>
    <s v="Asia. Japan. Osaka"/>
    <s v="High"/>
    <x v="1"/>
  </r>
  <r>
    <s v="ORD-2024-968374"/>
    <d v="2024-02-11T00:00:00"/>
    <d v="2024-03-03T00:00:00"/>
    <s v="Africa"/>
    <x v="0"/>
    <s v="Kisumu"/>
    <s v="Enterprise"/>
    <s v="Online"/>
    <s v="B. Chen"/>
    <x v="3"/>
    <x v="197"/>
    <n v="516.86"/>
    <n v="852.54"/>
    <n v="5.0999999999999997E-2"/>
    <n v="14"/>
    <d v="2024-03-03T00:00:00"/>
    <s v="Ok"/>
    <n v="852.54"/>
    <n v="21"/>
    <x v="197"/>
    <n v="7236.04"/>
    <n v="4090.8064399999994"/>
    <n v="0.36116022775355994"/>
    <s v="Feb-2024"/>
    <m/>
    <s v="Africa. Kenya. Kisumu"/>
    <s v="Low"/>
    <x v="0"/>
  </r>
  <r>
    <s v="ORD-2023-575584"/>
    <d v="2023-01-30T00:00:00"/>
    <d v="2023-02-21T00:00:00"/>
    <s v="Europe"/>
    <x v="6"/>
    <s v="Munich"/>
    <s v="Small Business"/>
    <s v="Marketplace"/>
    <s v="G. Dubois"/>
    <x v="2"/>
    <x v="198"/>
    <n v="1142.8800000000001"/>
    <n v="1465.29"/>
    <n v="0.186"/>
    <n v="7"/>
    <d v="2023-02-21T00:00:00"/>
    <s v="Ok"/>
    <n v="1465.29"/>
    <n v="22"/>
    <x v="198"/>
    <n v="8000.1600000000008"/>
    <n v="349.06241999999929"/>
    <n v="4.1807775915017401E-2"/>
    <s v="Jan-2023"/>
    <m/>
    <s v="Europe. Germany. Munich"/>
    <s v="High"/>
    <x v="0"/>
  </r>
  <r>
    <s v="ORD-2023-701153"/>
    <d v="2023-04-14T00:00:00"/>
    <d v="2023-05-13T00:00:00"/>
    <s v="Europe"/>
    <x v="6"/>
    <s v="Frankfurt"/>
    <s v="Consumer"/>
    <s v="Direct"/>
    <s v="J. Njeri"/>
    <x v="1"/>
    <x v="199"/>
    <n v="1320.33"/>
    <n v="2645.23"/>
    <n v="0.155"/>
    <n v="25"/>
    <d v="2023-05-13T00:00:00"/>
    <s v="Ok"/>
    <n v="2645.23"/>
    <n v="29"/>
    <x v="199"/>
    <n v="33008.25"/>
    <n v="22872.233749999999"/>
    <n v="0.40930629470436536"/>
    <s v="Apr-2023"/>
    <m/>
    <s v="Europe. Germany. Frankfurt"/>
    <s v="High"/>
    <x v="0"/>
  </r>
  <r>
    <s v="ORD-2023-382017"/>
    <d v="2023-01-13T00:00:00"/>
    <d v="2023-01-19T00:00:00"/>
    <s v="Americas"/>
    <x v="10"/>
    <s v="Chicago"/>
    <s v="Corporate"/>
    <s v="Direct"/>
    <s v="H. Kim"/>
    <x v="3"/>
    <x v="200"/>
    <n v="833.57"/>
    <n v="881.57"/>
    <n v="5.7000000000000002E-2"/>
    <n v="18"/>
    <d v="2023-01-19T00:00:00"/>
    <s v="Ok"/>
    <n v="881.57"/>
    <n v="6"/>
    <x v="200"/>
    <n v="15004.26"/>
    <n v="-40.490820000000895"/>
    <n v="-2.7059238560107821E-3"/>
    <s v="Jan-2023"/>
    <m/>
    <s v="Americas. USA. Chicago"/>
    <s v="Low"/>
    <x v="0"/>
  </r>
  <r>
    <s v="ORD-2024-999607"/>
    <d v="2024-01-12T00:00:00"/>
    <d v="2024-01-29T00:00:00"/>
    <s v="Americas"/>
    <x v="10"/>
    <s v="Chicago"/>
    <s v="Education"/>
    <s v="Distributor"/>
    <s v="A. Patel"/>
    <x v="1"/>
    <x v="201"/>
    <n v="493.76"/>
    <n v="625.04"/>
    <n v="0.25800000000000001"/>
    <n v="10"/>
    <d v="2024-01-29T00:00:00"/>
    <s v="Ok"/>
    <n v="625.04"/>
    <n v="17"/>
    <x v="201"/>
    <n v="4937.6000000000004"/>
    <n v="-299.80320000000029"/>
    <n v="-6.464345311549663E-2"/>
    <s v="Jan-2024"/>
    <m/>
    <s v="Americas. USA. Chicago"/>
    <s v="Low"/>
    <x v="0"/>
  </r>
  <r>
    <s v="ORD-2023-133848"/>
    <d v="2023-08-15T00:00:00"/>
    <d v="2023-09-07T00:00:00"/>
    <s v="Americas"/>
    <x v="10"/>
    <s v="New York"/>
    <s v="Enterprise"/>
    <s v="Online"/>
    <s v="K. Singh"/>
    <x v="3"/>
    <x v="202"/>
    <n v="590.33000000000004"/>
    <n v="973.04"/>
    <n v="0"/>
    <n v="26"/>
    <d v="2023-09-07T00:00:00"/>
    <s v="Ok"/>
    <n v="973.04"/>
    <n v="23"/>
    <x v="202"/>
    <n v="15348.580000000002"/>
    <n v="9950.4599999999991"/>
    <n v="0.39331373838691108"/>
    <s v="Aug-2023"/>
    <m/>
    <s v="Americas. USA. New York"/>
    <s v="Low"/>
    <x v="0"/>
  </r>
  <r>
    <s v="ORD-2023-586275"/>
    <d v="2023-01-20T00:00:00"/>
    <d v="2023-02-03T00:00:00"/>
    <s v="Africa"/>
    <x v="0"/>
    <s v="Kisumu"/>
    <s v="Corporate"/>
    <s v="Retail"/>
    <s v="M. Rossi"/>
    <x v="2"/>
    <x v="203"/>
    <n v="884.36"/>
    <n v="1545.34"/>
    <n v="0.24299999999999999"/>
    <n v="41"/>
    <d v="2023-02-03T00:00:00"/>
    <s v="Ok"/>
    <n v="1545.34"/>
    <n v="14"/>
    <x v="203"/>
    <n v="36258.76"/>
    <n v="11703.957579999995"/>
    <n v="0.24402198562827965"/>
    <s v="Jan-2023"/>
    <m/>
    <s v="Africa. Kenya. Kisumu"/>
    <s v="High"/>
    <x v="0"/>
  </r>
  <r>
    <s v="ORD-2025-964661"/>
    <d v="2025-02-04T00:00:00"/>
    <d v="2025-02-25T00:00:00"/>
    <s v="Europe"/>
    <x v="8"/>
    <s v="Birmingham"/>
    <s v="Corporate"/>
    <s v="Marketplace"/>
    <s v="D. Smith"/>
    <x v="5"/>
    <x v="204"/>
    <n v="1016.32"/>
    <n v="2253.42"/>
    <n v="5.5E-2"/>
    <n v="12"/>
    <d v="2025-02-25T00:00:00"/>
    <s v="Ok"/>
    <n v="2253.42"/>
    <n v="21"/>
    <x v="204"/>
    <n v="12195.84"/>
    <n v="13357.942800000001"/>
    <n v="0.52273837124419797"/>
    <s v="Feb-2025"/>
    <m/>
    <s v="Europe. United Kingdom. Birmingham"/>
    <s v="High"/>
    <x v="0"/>
  </r>
  <r>
    <s v="ORD-2023-390998"/>
    <d v="2023-04-19T00:00:00"/>
    <d v="2023-04-28T00:00:00"/>
    <s v="Europe"/>
    <x v="6"/>
    <s v="Berlin"/>
    <s v="Education"/>
    <s v="Online"/>
    <s v="E. Garcia"/>
    <x v="5"/>
    <x v="205"/>
    <n v="1178.42"/>
    <n v="2446.56"/>
    <n v="2.9000000000000001E-2"/>
    <n v="11"/>
    <d v="2023-04-28T00:00:00"/>
    <s v="Ok"/>
    <n v="2446.56"/>
    <n v="9"/>
    <x v="205"/>
    <n v="12962.62"/>
    <n v="13169.08736"/>
    <n v="0.5039505141618883"/>
    <s v="Apr-2023"/>
    <m/>
    <s v="Europe. Germany. Berlin"/>
    <s v="High"/>
    <x v="0"/>
  </r>
  <r>
    <s v="ORD-2023-920483"/>
    <d v="2023-07-02T00:00:00"/>
    <d v="2023-08-01T00:00:00"/>
    <s v="Europe"/>
    <x v="8"/>
    <s v="Birmingham"/>
    <s v="Small Business"/>
    <s v="Retail"/>
    <s v="B. Chen"/>
    <x v="0"/>
    <x v="206"/>
    <n v="137.46"/>
    <n v="188.3"/>
    <n v="3.7999999999999999E-2"/>
    <n v="37"/>
    <d v="2023-08-01T00:00:00"/>
    <s v="Ok"/>
    <n v="188.3"/>
    <n v="30"/>
    <x v="206"/>
    <n v="5086.0200000000004"/>
    <n v="1616.3301999999994"/>
    <n v="0.24115872071262398"/>
    <s v="Jul-2023"/>
    <m/>
    <s v="Europe. United Kingdom. Birmingham"/>
    <s v="Low"/>
    <x v="0"/>
  </r>
  <r>
    <s v="ORD-2025-146850"/>
    <d v="2025-01-21T00:00:00"/>
    <d v="2025-02-14T00:00:00"/>
    <s v="Africa"/>
    <x v="0"/>
    <s v="Nairobi"/>
    <s v="Small Business"/>
    <s v="Retail"/>
    <s v="J. Njeri"/>
    <x v="6"/>
    <x v="207"/>
    <n v="1030.44"/>
    <n v="2562.84"/>
    <n v="0.14799999999999999"/>
    <n v="13"/>
    <d v="2025-02-14T00:00:00"/>
    <s v="Ok"/>
    <n v="2562.84"/>
    <n v="24"/>
    <x v="207"/>
    <n v="13395.720000000001"/>
    <n v="14990.295839999995"/>
    <n v="0.52808734852027039"/>
    <s v="Jan-2025"/>
    <m/>
    <s v="Africa. Kenya. Nairobi"/>
    <s v="High"/>
    <x v="0"/>
  </r>
  <r>
    <s v="ORD-2024-687100"/>
    <d v="2024-09-10T00:00:00"/>
    <d v="2024-10-07T00:00:00"/>
    <s v="Africa"/>
    <x v="0"/>
    <s v="Kisumu"/>
    <s v="Consumer"/>
    <s v="Retail"/>
    <s v="L. Okafor"/>
    <x v="1"/>
    <x v="208"/>
    <n v="1248.3900000000001"/>
    <n v="1805.11"/>
    <n v="0.20300000000000001"/>
    <n v="11"/>
    <d v="2024-10-07T00:00:00"/>
    <s v="Ok"/>
    <n v="1805.11"/>
    <n v="27"/>
    <x v="208"/>
    <n v="13732.29"/>
    <n v="2093.1093699999965"/>
    <n v="0.13226265707820786"/>
    <s v="Sep-2024"/>
    <m/>
    <s v="Africa. Kenya. Kisumu"/>
    <s v="High"/>
    <x v="0"/>
  </r>
  <r>
    <s v="ORD-2025-629393"/>
    <d v="2025-07-21T00:00:00"/>
    <d v="2025-08-07T00:00:00"/>
    <s v="Africa"/>
    <x v="1"/>
    <s v="Lagos"/>
    <s v="Enterprise"/>
    <s v="Direct"/>
    <s v="M. Rossi"/>
    <x v="6"/>
    <x v="209"/>
    <n v="1204.95"/>
    <n v="2065.73"/>
    <n v="0.13600000000000001"/>
    <n v="10"/>
    <d v="2025-08-07T00:00:00"/>
    <s v="Ok"/>
    <n v="2065.73"/>
    <n v="17"/>
    <x v="209"/>
    <n v="12049.5"/>
    <n v="5798.4071999999978"/>
    <n v="0.32487882949100039"/>
    <s v="Jul-2025"/>
    <m/>
    <s v="Africa. Nigeria. Lagos"/>
    <s v="High"/>
    <x v="0"/>
  </r>
  <r>
    <s v="ORD-2024-686712"/>
    <d v="2024-10-02T00:00:00"/>
    <d v="2024-10-23T00:00:00"/>
    <s v="Africa"/>
    <x v="11"/>
    <s v="Durban"/>
    <s v="Corporate"/>
    <s v="Marketplace"/>
    <s v="A. Patel"/>
    <x v="0"/>
    <x v="210"/>
    <n v="1095.6099999999999"/>
    <n v="2366.5100000000002"/>
    <n v="0.152"/>
    <n v="9"/>
    <d v="2024-10-23T00:00:00"/>
    <s v="Ok"/>
    <n v="2366.5100000000002"/>
    <n v="21"/>
    <x v="210"/>
    <n v="9860.49"/>
    <n v="8200.7143200000046"/>
    <n v="0.4540513564158607"/>
    <s v="Oct-2024"/>
    <m/>
    <s v="Africa. South Africa. Durban"/>
    <s v="High"/>
    <x v="0"/>
  </r>
  <r>
    <s v="ORD-2025-586799"/>
    <d v="2025-07-14T00:00:00"/>
    <d v="2025-08-04T00:00:00"/>
    <s v="Americas"/>
    <x v="3"/>
    <s v="Montreal"/>
    <s v="Consumer"/>
    <s v="Online"/>
    <s v="H. Kim"/>
    <x v="5"/>
    <x v="211"/>
    <n v="90.3"/>
    <n v="131.76"/>
    <n v="0.10199999999999999"/>
    <n v="15"/>
    <d v="2025-08-04T00:00:00"/>
    <s v="Ok"/>
    <n v="131.76"/>
    <n v="21"/>
    <x v="211"/>
    <n v="1354.5"/>
    <n v="420.30719999999997"/>
    <n v="0.23681851189244668"/>
    <s v="Jul-2025"/>
    <m/>
    <s v="Americas. Canada. Montreal"/>
    <s v="Low"/>
    <x v="0"/>
  </r>
  <r>
    <s v="ORD-2024-988736"/>
    <d v="2024-09-09T00:00:00"/>
    <d v="2024-10-01T00:00:00"/>
    <s v="Asia"/>
    <x v="9"/>
    <s v="Shenzhen"/>
    <s v="Consumer"/>
    <s v="Direct"/>
    <s v="L. Okafor"/>
    <x v="1"/>
    <x v="212"/>
    <n v="1166.18"/>
    <n v="1335.02"/>
    <n v="0.128"/>
    <n v="6"/>
    <d v="2024-10-01T00:00:00"/>
    <s v="Ok"/>
    <n v="1335.02"/>
    <n v="22"/>
    <x v="212"/>
    <n v="6997.08"/>
    <n v="-12.25536000000011"/>
    <n v="-1.7545694604582242E-3"/>
    <s v="Sep-2024"/>
    <m/>
    <s v="Asia. China. Shenzhen"/>
    <s v="High"/>
    <x v="0"/>
  </r>
  <r>
    <s v="ORD-2025-564184"/>
    <d v="2025-01-29T00:00:00"/>
    <d v="2025-02-06T00:00:00"/>
    <s v="Africa"/>
    <x v="0"/>
    <s v="Kisumu"/>
    <s v="Education"/>
    <s v="Retail"/>
    <s v="B. Chen"/>
    <x v="3"/>
    <x v="213"/>
    <n v="1445.27"/>
    <n v="2691.45"/>
    <n v="0"/>
    <n v="9"/>
    <d v="2025-02-06T00:00:00"/>
    <s v="Ok"/>
    <n v="2691.45"/>
    <n v="8"/>
    <x v="213"/>
    <n v="13007.43"/>
    <n v="11215.619999999999"/>
    <n v="0.46301436028906351"/>
    <s v="Jan-2025"/>
    <m/>
    <s v="Africa. Kenya. Kisumu"/>
    <s v="High"/>
    <x v="0"/>
  </r>
  <r>
    <s v="ORD-2023-653343"/>
    <d v="2023-11-10T00:00:00"/>
    <d v="2023-11-28T00:00:00"/>
    <s v="Americas"/>
    <x v="5"/>
    <s v="Brasília"/>
    <s v="Education"/>
    <s v="Marketplace"/>
    <s v="L. Okafor"/>
    <x v="6"/>
    <x v="214"/>
    <n v="388.51"/>
    <n v="776.46"/>
    <n v="0.157"/>
    <n v="12"/>
    <d v="2023-11-28T00:00:00"/>
    <s v="Ok"/>
    <n v="776.46"/>
    <n v="18"/>
    <x v="214"/>
    <n v="4662.12"/>
    <n v="3192.54936"/>
    <n v="0.40645241876864946"/>
    <s v="Nov-2023"/>
    <m/>
    <s v="Americas. Brazil. Brasília"/>
    <s v="Low"/>
    <x v="0"/>
  </r>
  <r>
    <s v="ORD-2024-197852"/>
    <d v="2024-02-29T00:00:00"/>
    <d v="2024-03-30T00:00:00"/>
    <s v="Asia"/>
    <x v="2"/>
    <s v="Nagoya"/>
    <s v="Small Business"/>
    <s v="Direct"/>
    <s v="I. Johnson"/>
    <x v="2"/>
    <x v="215"/>
    <n v="231.11"/>
    <n v="318.17"/>
    <n v="0.20100000000000001"/>
    <n v="60"/>
    <d v="2024-03-30T00:00:00"/>
    <s v="Ok"/>
    <n v="318.17"/>
    <n v="30"/>
    <x v="215"/>
    <n v="13866.6"/>
    <n v="1386.4697999999989"/>
    <n v="9.0897754889969692E-2"/>
    <s v="Feb-2024"/>
    <m/>
    <s v="Asia. Japan. Nagoya"/>
    <s v="Low"/>
    <x v="1"/>
  </r>
  <r>
    <s v="ORD-2023-431328"/>
    <d v="2023-12-20T00:00:00"/>
    <d v="2024-01-14T00:00:00"/>
    <s v="Asia"/>
    <x v="4"/>
    <s v="Mumbai"/>
    <s v="Non-Profit"/>
    <s v="Marketplace"/>
    <s v="L. Okafor"/>
    <x v="5"/>
    <x v="216"/>
    <n v="1085.6099999999999"/>
    <n v="1246.4100000000001"/>
    <n v="0.113"/>
    <n v="7"/>
    <d v="2024-01-14T00:00:00"/>
    <s v="Ok"/>
    <n v="1246.4100000000001"/>
    <n v="25"/>
    <x v="216"/>
    <n v="7599.2699999999995"/>
    <n v="139.68969000000106"/>
    <n v="1.8050189637310417E-2"/>
    <s v="Dec-2023"/>
    <m/>
    <s v="Asia. India. Mumbai"/>
    <s v="High"/>
    <x v="0"/>
  </r>
  <r>
    <s v="ORD-2023-613317"/>
    <d v="2023-01-22T00:00:00"/>
    <d v="2023-01-21T00:00:00"/>
    <s v="Europe"/>
    <x v="6"/>
    <s v="Munich"/>
    <s v="Corporate"/>
    <s v="Direct"/>
    <s v="F. Müller"/>
    <x v="5"/>
    <x v="217"/>
    <n v="150.86000000000001"/>
    <n v="346.96"/>
    <n v="0.19600000000000001"/>
    <n v="8"/>
    <d v="2023-01-29T00:00:00"/>
    <s v="Ok"/>
    <n v="346.96"/>
    <n v="7"/>
    <x v="217"/>
    <n v="1206.8800000000001"/>
    <n v="1024.7667200000001"/>
    <n v="0.45919755614365343"/>
    <s v="Jan-2023"/>
    <m/>
    <s v="Europe. Germany. Munich"/>
    <s v="Low"/>
    <x v="0"/>
  </r>
  <r>
    <s v="ORD-2024-720756"/>
    <d v="2024-10-11T00:00:00"/>
    <d v="2024-11-09T00:00:00"/>
    <s v="Asia"/>
    <x v="9"/>
    <s v="Shanghai"/>
    <s v="Non-Profit"/>
    <s v="Online"/>
    <s v="F. Müller"/>
    <x v="1"/>
    <x v="218"/>
    <n v="391.64"/>
    <n v="504.76"/>
    <n v="4.0000000000000001E-3"/>
    <n v="13"/>
    <d v="2024-11-09T00:00:00"/>
    <s v="Ok"/>
    <n v="504.76"/>
    <n v="29"/>
    <x v="218"/>
    <n v="5091.32"/>
    <n v="1444.3124800000005"/>
    <n v="0.22099046793402319"/>
    <s v="Oct-2024"/>
    <m/>
    <s v="Asia. China. Shanghai"/>
    <s v="Low"/>
    <x v="0"/>
  </r>
  <r>
    <s v="ORD-2024-777623"/>
    <d v="2024-09-19T00:00:00"/>
    <d v="2024-10-14T00:00:00"/>
    <s v="Americas"/>
    <x v="5"/>
    <s v="Rio de Janeiro"/>
    <s v="Small Business"/>
    <s v="Retail"/>
    <s v="K. Singh"/>
    <x v="1"/>
    <x v="219"/>
    <n v="386.96"/>
    <n v="937.46"/>
    <n v="0.26600000000000001"/>
    <n v="41"/>
    <d v="2024-10-14T00:00:00"/>
    <s v="Ok"/>
    <n v="937.46"/>
    <n v="25"/>
    <x v="219"/>
    <n v="15865.359999999999"/>
    <n v="12346.561240000001"/>
    <n v="0.43763631462626335"/>
    <s v="Sep-2024"/>
    <m/>
    <s v="Americas. Brazil. Rio de Janeiro"/>
    <s v="Low"/>
    <x v="0"/>
  </r>
  <r>
    <s v="ORD-2025-762212"/>
    <d v="2025-08-25T00:00:00"/>
    <d v="2025-09-24T00:00:00"/>
    <s v="Africa"/>
    <x v="0"/>
    <s v="Nairobi"/>
    <s v="Consumer"/>
    <s v="Direct"/>
    <s v="B. Chen"/>
    <x v="0"/>
    <x v="220"/>
    <n v="589.14"/>
    <n v="1300.58"/>
    <n v="5.5E-2"/>
    <n v="11"/>
    <d v="2025-09-24T00:00:00"/>
    <s v="Ok"/>
    <n v="1300.58"/>
    <n v="30"/>
    <x v="220"/>
    <n v="6480.54"/>
    <n v="7038.989099999998"/>
    <n v="0.52065342275863724"/>
    <s v="Aug-2025"/>
    <m/>
    <s v="Africa. Kenya. Nairobi"/>
    <s v="High"/>
    <x v="0"/>
  </r>
  <r>
    <s v="ORD-2023-271918"/>
    <d v="2023-09-25T00:00:00"/>
    <d v="2023-10-02T00:00:00"/>
    <s v="Americas"/>
    <x v="10"/>
    <s v="New York"/>
    <s v="Education"/>
    <s v="Marketplace"/>
    <s v="I. Johnson"/>
    <x v="6"/>
    <x v="221"/>
    <n v="145.58000000000001"/>
    <n v="228.15"/>
    <n v="0.20399999999999999"/>
    <n v="5"/>
    <d v="2023-10-02T00:00:00"/>
    <s v="Ok"/>
    <n v="228.15"/>
    <n v="7"/>
    <x v="221"/>
    <n v="727.90000000000009"/>
    <n v="180.13699999999994"/>
    <n v="0.19838068272548359"/>
    <s v="Sep-2023"/>
    <m/>
    <s v="Americas. USA. New York"/>
    <s v="Low"/>
    <x v="0"/>
  </r>
  <r>
    <s v="ORD-2023-713375"/>
    <d v="2023-08-26T00:00:00"/>
    <d v="2023-09-10T00:00:00"/>
    <s v="Africa"/>
    <x v="11"/>
    <s v="Cape Town"/>
    <s v="Non-Profit"/>
    <s v="Direct"/>
    <s v="N. Brown"/>
    <x v="0"/>
    <x v="222"/>
    <n v="241.14"/>
    <n v="496.52"/>
    <n v="9.2999999999999999E-2"/>
    <n v="10"/>
    <d v="2023-09-10T00:00:00"/>
    <s v="Ok"/>
    <n v="496.52"/>
    <n v="15"/>
    <x v="222"/>
    <n v="2411.3999999999996"/>
    <n v="2092.0364"/>
    <n v="0.46454223268257994"/>
    <s v="Aug-2023"/>
    <m/>
    <s v="Africa. South Africa. Cape Town"/>
    <s v="Low"/>
    <x v="0"/>
  </r>
  <r>
    <s v="ORD-2025-678688"/>
    <d v="2025-07-16T00:00:00"/>
    <d v="2025-07-17T00:00:00"/>
    <s v="Africa"/>
    <x v="11"/>
    <s v="Durban"/>
    <s v="Small Business"/>
    <s v="Distributor"/>
    <s v="B. Chen"/>
    <x v="2"/>
    <x v="223"/>
    <n v="1198.9000000000001"/>
    <n v="2941.2"/>
    <n v="5.0999999999999997E-2"/>
    <n v="24"/>
    <d v="2025-07-17T00:00:00"/>
    <s v="Ok"/>
    <n v="2941.2"/>
    <n v="1"/>
    <x v="223"/>
    <n v="28773.600000000002"/>
    <n v="38215.171199999982"/>
    <n v="0.57047129713583977"/>
    <s v="Jul-2025"/>
    <m/>
    <s v="Africa. South Africa. Durban"/>
    <s v="High"/>
    <x v="0"/>
  </r>
  <r>
    <s v="ORD-2023-501220"/>
    <d v="2023-04-19T00:00:00"/>
    <d v="2023-05-07T00:00:00"/>
    <s v="Europe"/>
    <x v="8"/>
    <s v="Birmingham"/>
    <s v="Enterprise"/>
    <s v="Retail"/>
    <s v="N. Brown"/>
    <x v="4"/>
    <x v="224"/>
    <n v="1089.1500000000001"/>
    <n v="1088.2"/>
    <n v="5.0999999999999997E-2"/>
    <n v="15"/>
    <d v="2023-05-07T00:00:00"/>
    <s v="Ok"/>
    <n v="1088.2"/>
    <n v="18"/>
    <x v="224"/>
    <n v="16337.250000000002"/>
    <n v="-846.72300000000178"/>
    <n v="-5.4660696824582002E-2"/>
    <s v="Apr-2023"/>
    <m/>
    <s v="Europe. United Kingdom. Birmingham"/>
    <s v="Low"/>
    <x v="0"/>
  </r>
  <r>
    <s v="ORD-2023-195665"/>
    <d v="2023-12-19T00:00:00"/>
    <d v="2023-12-20T00:00:00"/>
    <s v="Americas"/>
    <x v="5"/>
    <s v="Rio de Janeiro"/>
    <s v="Consumer"/>
    <s v="Distributor"/>
    <s v="J. Njeri"/>
    <x v="3"/>
    <x v="225"/>
    <n v="1080.43"/>
    <n v="2529.15"/>
    <n v="0.14699999999999999"/>
    <n v="10"/>
    <d v="2023-12-20T00:00:00"/>
    <s v="Ok"/>
    <n v="2529.15"/>
    <n v="1"/>
    <x v="225"/>
    <n v="10804.300000000001"/>
    <n v="10769.349499999998"/>
    <n v="0.49918997247081437"/>
    <s v="Dec-2023"/>
    <m/>
    <s v="Americas. Brazil. Rio de Janeiro"/>
    <s v="High"/>
    <x v="0"/>
  </r>
  <r>
    <s v="ORD-2023-290237"/>
    <d v="2023-07-30T00:00:00"/>
    <d v="2023-08-07T00:00:00"/>
    <s v="Asia"/>
    <x v="2"/>
    <s v="Nagoya"/>
    <s v="Education"/>
    <s v="Marketplace"/>
    <s v="A. Patel"/>
    <x v="2"/>
    <x v="226"/>
    <n v="1352.44"/>
    <n v="2698.01"/>
    <n v="0.13100000000000001"/>
    <n v="13"/>
    <d v="2023-08-07T00:00:00"/>
    <s v="Ok"/>
    <n v="2698.01"/>
    <n v="8"/>
    <x v="226"/>
    <n v="17581.72"/>
    <n v="12897.698970000001"/>
    <n v="0.42316091992090887"/>
    <s v="Jul-2023"/>
    <m/>
    <s v="Asia. Japan. Nagoya"/>
    <s v="High"/>
    <x v="1"/>
  </r>
  <r>
    <s v="ORD-2023-302041"/>
    <d v="2023-10-04T00:00:00"/>
    <d v="2023-10-29T00:00:00"/>
    <s v="Americas"/>
    <x v="10"/>
    <s v="San Francisco"/>
    <s v="Small Business"/>
    <s v="Distributor"/>
    <s v="O. Wang"/>
    <x v="6"/>
    <x v="227"/>
    <n v="1239.8399999999999"/>
    <n v="1482.75"/>
    <n v="6.7000000000000004E-2"/>
    <n v="4"/>
    <d v="2023-10-29T00:00:00"/>
    <s v="Ok"/>
    <n v="1482.75"/>
    <n v="25"/>
    <x v="227"/>
    <n v="4959.3599999999997"/>
    <n v="574.26300000000083"/>
    <n v="0.10377703721413634"/>
    <s v="Oct-2023"/>
    <m/>
    <s v="Americas. USA. San Francisco"/>
    <s v="High"/>
    <x v="0"/>
  </r>
  <r>
    <s v="ORD-2025-289139"/>
    <d v="2025-08-10T00:00:00"/>
    <d v="2025-08-30T00:00:00"/>
    <s v="Americas"/>
    <x v="10"/>
    <s v="San Francisco"/>
    <s v="Corporate"/>
    <s v="Marketplace"/>
    <s v="K. Singh"/>
    <x v="1"/>
    <x v="228"/>
    <n v="933.29"/>
    <n v="1456.81"/>
    <n v="0.123"/>
    <n v="13"/>
    <d v="2025-08-30T00:00:00"/>
    <s v="Ok"/>
    <n v="1456.81"/>
    <n v="20"/>
    <x v="228"/>
    <n v="12132.77"/>
    <n v="4476.3208099999974"/>
    <n v="0.26951028573489977"/>
    <s v="Aug-2025"/>
    <m/>
    <s v="Americas. USA. San Francisco"/>
    <s v="High"/>
    <x v="0"/>
  </r>
  <r>
    <s v="ORD-2023-949710"/>
    <d v="2023-03-07T00:00:00"/>
    <d v="2023-04-01T00:00:00"/>
    <s v="Africa"/>
    <x v="0"/>
    <s v="Nairobi"/>
    <s v="Consumer"/>
    <s v="Marketplace"/>
    <s v="D. Smith"/>
    <x v="1"/>
    <x v="229"/>
    <n v="1024.0999999999999"/>
    <n v="918.19"/>
    <n v="0.189"/>
    <n v="10"/>
    <d v="2023-04-01T00:00:00"/>
    <s v="Ok"/>
    <n v="918.19"/>
    <n v="25"/>
    <x v="229"/>
    <n v="10241"/>
    <n v="-2794.4790999999996"/>
    <n v="-0.37527311579827827"/>
    <s v="Mar-2023"/>
    <m/>
    <s v="Africa. Kenya. Nairobi"/>
    <s v="Low"/>
    <x v="0"/>
  </r>
  <r>
    <s v="ORD-2023-603650"/>
    <d v="2023-05-23T00:00:00"/>
    <d v="2023-06-10T00:00:00"/>
    <s v="Asia"/>
    <x v="9"/>
    <s v="Shanghai"/>
    <s v="Corporate"/>
    <s v="Distributor"/>
    <s v="E. Garcia"/>
    <x v="0"/>
    <x v="230"/>
    <n v="54.62"/>
    <n v="48.94"/>
    <n v="0.14799999999999999"/>
    <n v="16"/>
    <d v="2023-06-10T00:00:00"/>
    <s v="Ok"/>
    <n v="48.94"/>
    <n v="18"/>
    <x v="230"/>
    <n v="873.92"/>
    <n v="-206.76991999999996"/>
    <n v="-0.3099301434543783"/>
    <s v="May-2023"/>
    <m/>
    <s v="Asia. China. Shanghai"/>
    <s v="Low"/>
    <x v="0"/>
  </r>
  <r>
    <s v="ORD-2025-757957"/>
    <d v="2025-04-24T00:00:00"/>
    <d v="2025-05-06T00:00:00"/>
    <s v="Americas"/>
    <x v="5"/>
    <s v="Brasília"/>
    <s v="Consumer"/>
    <s v="Online"/>
    <s v="C. Otieno"/>
    <x v="3"/>
    <x v="231"/>
    <n v="394.13"/>
    <n v="932.29"/>
    <n v="0.109"/>
    <n v="7"/>
    <d v="2025-05-06T00:00:00"/>
    <s v="Ok"/>
    <n v="932.29"/>
    <n v="12"/>
    <x v="231"/>
    <n v="2758.91"/>
    <n v="3055.7827299999999"/>
    <n v="0.5255278089303268"/>
    <s v="Apr-2025"/>
    <m/>
    <s v="Americas. Brazil. Brasília"/>
    <s v="Low"/>
    <x v="0"/>
  </r>
  <r>
    <s v="ORD-2024-423853"/>
    <d v="2024-09-03T00:00:00"/>
    <d v="2024-09-08T00:00:00"/>
    <s v="Africa"/>
    <x v="1"/>
    <s v="Lagos"/>
    <s v="Small Business"/>
    <s v="Direct"/>
    <s v="K. Singh"/>
    <x v="1"/>
    <x v="232"/>
    <n v="197.63"/>
    <n v="325.79000000000002"/>
    <n v="0.11600000000000001"/>
    <n v="10"/>
    <d v="2024-09-08T00:00:00"/>
    <s v="Ok"/>
    <n v="325.79000000000002"/>
    <n v="5"/>
    <x v="232"/>
    <n v="1976.3"/>
    <n v="903.68360000000007"/>
    <n v="0.31378081458519419"/>
    <s v="Sep-2024"/>
    <m/>
    <s v="Africa. Nigeria. Lagos"/>
    <s v="Low"/>
    <x v="0"/>
  </r>
  <r>
    <s v="ORD-2024-569164"/>
    <d v="2024-09-05T00:00:00"/>
    <d v="2024-09-25T00:00:00"/>
    <s v="Asia"/>
    <x v="2"/>
    <s v="Osaka"/>
    <s v="Enterprise"/>
    <s v="Distributor"/>
    <s v="D. Smith"/>
    <x v="5"/>
    <x v="233"/>
    <n v="195.54"/>
    <n v="405.97"/>
    <n v="0.187"/>
    <n v="16"/>
    <d v="2024-09-25T00:00:00"/>
    <s v="Ok"/>
    <n v="405.97"/>
    <n v="20"/>
    <x v="233"/>
    <n v="3128.64"/>
    <n v="2152.21776"/>
    <n v="0.40755079152141377"/>
    <s v="Sep-2024"/>
    <m/>
    <s v="Asia. Japan. Osaka"/>
    <s v="Low"/>
    <x v="1"/>
  </r>
  <r>
    <s v="ORD-2023-946143"/>
    <d v="2023-03-14T00:00:00"/>
    <d v="2023-03-30T00:00:00"/>
    <s v="Africa"/>
    <x v="11"/>
    <s v="Cape Town"/>
    <s v="Consumer"/>
    <s v="Distributor"/>
    <s v="K. Singh"/>
    <x v="0"/>
    <x v="234"/>
    <n v="1309.77"/>
    <n v="1589.07"/>
    <n v="0.10199999999999999"/>
    <n v="10"/>
    <d v="2023-03-30T00:00:00"/>
    <s v="Ok"/>
    <n v="1589.07"/>
    <n v="16"/>
    <x v="234"/>
    <n v="13097.7"/>
    <n v="1172.1485999999986"/>
    <n v="8.2141628328137886E-2"/>
    <s v="Mar-2023"/>
    <m/>
    <s v="Africa. South Africa. Cape Town"/>
    <s v="High"/>
    <x v="0"/>
  </r>
  <r>
    <s v="ORD-2024-281211"/>
    <d v="2024-01-11T00:00:00"/>
    <d v="2024-02-02T00:00:00"/>
    <s v="Asia"/>
    <x v="2"/>
    <s v="Nagoya"/>
    <s v="Small Business"/>
    <s v="Online"/>
    <s v="Unknown"/>
    <x v="1"/>
    <x v="235"/>
    <n v="1237.68"/>
    <n v="1432.8"/>
    <n v="6.8000000000000005E-2"/>
    <n v="13"/>
    <d v="2024-02-02T00:00:00"/>
    <s v="Ok"/>
    <n v="1432.8"/>
    <n v="22"/>
    <x v="235"/>
    <n v="16089.84"/>
    <n v="1269.9647999999979"/>
    <n v="7.315547695559331E-2"/>
    <s v="Jan-2024"/>
    <m/>
    <s v="Asia. Japan. Nagoya"/>
    <s v="High"/>
    <x v="1"/>
  </r>
  <r>
    <s v="ORD-2024-805860"/>
    <d v="2024-09-13T00:00:00"/>
    <d v="2024-10-02T00:00:00"/>
    <s v="Africa"/>
    <x v="0"/>
    <s v="Mombasa"/>
    <s v="Small Business"/>
    <s v="Retail"/>
    <s v="M. Rossi"/>
    <x v="3"/>
    <x v="236"/>
    <n v="1338.99"/>
    <n v="1765.76"/>
    <n v="0.126"/>
    <n v="24"/>
    <d v="2024-10-02T00:00:00"/>
    <s v="Ok"/>
    <n v="1765.76"/>
    <n v="19"/>
    <x v="236"/>
    <n v="32135.760000000002"/>
    <n v="4902.8217599999989"/>
    <n v="0.1323706666677725"/>
    <s v="Sep-2024"/>
    <m/>
    <s v="Africa. Kenya. Mombasa"/>
    <s v="High"/>
    <x v="0"/>
  </r>
  <r>
    <s v="ORD-2025-132174"/>
    <d v="2025-07-17T00:00:00"/>
    <d v="2025-07-23T00:00:00"/>
    <s v="Americas"/>
    <x v="3"/>
    <s v="Vancouver"/>
    <s v="Consumer"/>
    <s v="Online"/>
    <s v="H. Kim"/>
    <x v="0"/>
    <x v="237"/>
    <n v="1364.89"/>
    <n v="2757.54"/>
    <n v="0.17199999999999999"/>
    <n v="61"/>
    <d v="2025-07-23T00:00:00"/>
    <s v="Ok"/>
    <n v="2757.54"/>
    <n v="6"/>
    <x v="237"/>
    <n v="83258.290000000008"/>
    <n v="56019.54032"/>
    <n v="0.4022143379983118"/>
    <s v="Jul-2025"/>
    <m/>
    <s v="Americas. Canada. Vancouver"/>
    <s v="High"/>
    <x v="0"/>
  </r>
  <r>
    <s v="ORD-2023-964434"/>
    <d v="2023-11-28T00:00:00"/>
    <d v="2023-12-07T00:00:00"/>
    <s v="Asia"/>
    <x v="4"/>
    <s v="Delhi"/>
    <s v="Enterprise"/>
    <s v="Marketplace"/>
    <s v="L. Okafor"/>
    <x v="3"/>
    <x v="238"/>
    <n v="699.33"/>
    <n v="873.75"/>
    <n v="0.23499999999999999"/>
    <n v="10"/>
    <d v="2023-12-07T00:00:00"/>
    <s v="Ok"/>
    <n v="873.75"/>
    <n v="9"/>
    <x v="238"/>
    <n v="6993.3"/>
    <n v="-309.11250000000018"/>
    <n v="-4.6245336475076469E-2"/>
    <s v="Nov-2023"/>
    <m/>
    <s v="Asia. India. Delhi"/>
    <s v="Low"/>
    <x v="0"/>
  </r>
  <r>
    <s v="ORD-2024-897622"/>
    <d v="2024-03-30T00:00:00"/>
    <d v="2024-04-24T00:00:00"/>
    <s v="Americas"/>
    <x v="10"/>
    <s v="Austin"/>
    <s v="Non-Profit"/>
    <s v="Online"/>
    <s v="G. Dubois"/>
    <x v="4"/>
    <x v="239"/>
    <n v="160.82"/>
    <n v="258.52"/>
    <n v="0.13"/>
    <n v="17"/>
    <d v="2024-04-24T00:00:00"/>
    <s v="Ok"/>
    <n v="258.52"/>
    <n v="25"/>
    <x v="239"/>
    <n v="2733.94"/>
    <n v="1089.5708"/>
    <n v="0.28496605789631874"/>
    <s v="Mar-2024"/>
    <m/>
    <s v="Americas. USA. Austin"/>
    <s v="Low"/>
    <x v="0"/>
  </r>
  <r>
    <s v="ORD-2023-517216"/>
    <d v="2023-09-19T00:00:00"/>
    <d v="2023-10-08T00:00:00"/>
    <s v="Asia"/>
    <x v="4"/>
    <s v="Bengaluru"/>
    <s v="Education"/>
    <s v="Direct"/>
    <s v="J. Njeri"/>
    <x v="1"/>
    <x v="240"/>
    <n v="385.32"/>
    <n v="606.76"/>
    <n v="8.5999999999999993E-2"/>
    <n v="8"/>
    <d v="2023-10-08T00:00:00"/>
    <s v="Ok"/>
    <n v="606.76"/>
    <n v="19"/>
    <x v="240"/>
    <n v="3082.56"/>
    <n v="1354.0691200000006"/>
    <n v="0.30520223425842735"/>
    <s v="Sep-2023"/>
    <m/>
    <s v="Asia. India. Bengaluru"/>
    <s v="Low"/>
    <x v="0"/>
  </r>
  <r>
    <s v="ORD-2025-509940"/>
    <d v="2025-05-16T00:00:00"/>
    <d v="2025-05-27T00:00:00"/>
    <s v="Asia"/>
    <x v="9"/>
    <s v="Beijing"/>
    <s v="Enterprise"/>
    <s v="Online"/>
    <s v="F. Müller"/>
    <x v="3"/>
    <x v="241"/>
    <n v="918.12"/>
    <n v="1337.69"/>
    <n v="9.5000000000000001E-2"/>
    <n v="8"/>
    <d v="2025-05-27T00:00:00"/>
    <s v="Ok"/>
    <n v="1337.69"/>
    <n v="11"/>
    <x v="241"/>
    <n v="7344.96"/>
    <n v="2339.9156000000012"/>
    <n v="0.24160512707050164"/>
    <s v="May-2025"/>
    <m/>
    <s v="Asia. China. Beijing"/>
    <s v="High"/>
    <x v="0"/>
  </r>
  <r>
    <s v="ORD-2025-646342"/>
    <d v="2025-08-02T00:00:00"/>
    <d v="2025-08-08T00:00:00"/>
    <s v="Asia"/>
    <x v="2"/>
    <s v="Osaka"/>
    <s v="Consumer"/>
    <s v="Direct"/>
    <s v="N. Brown"/>
    <x v="4"/>
    <x v="242"/>
    <n v="1225.94"/>
    <n v="1793.08"/>
    <n v="0.13600000000000001"/>
    <n v="22"/>
    <d v="2025-08-08T00:00:00"/>
    <s v="Ok"/>
    <n v="1793.08"/>
    <n v="6"/>
    <x v="242"/>
    <n v="26970.68"/>
    <n v="7112.1846399999922"/>
    <n v="0.20867332353434462"/>
    <s v="Aug-2025"/>
    <m/>
    <s v="Asia. Japan. Osaka"/>
    <s v="High"/>
    <x v="1"/>
  </r>
  <r>
    <s v="ORD-2024-866535"/>
    <d v="2024-12-04T00:00:00"/>
    <d v="2024-12-12T00:00:00"/>
    <s v="Europe"/>
    <x v="6"/>
    <s v="Frankfurt"/>
    <s v="Enterprise"/>
    <s v="Marketplace"/>
    <s v="B. Chen"/>
    <x v="1"/>
    <x v="243"/>
    <n v="72.06"/>
    <n v="122.74"/>
    <n v="0.23799999999999999"/>
    <n v="8"/>
    <d v="2024-12-12T00:00:00"/>
    <s v="Ok"/>
    <n v="122.74"/>
    <n v="8"/>
    <x v="243"/>
    <n v="576.48"/>
    <n v="171.74303999999995"/>
    <n v="0.22953455162246802"/>
    <s v="Dec-2024"/>
    <m/>
    <s v="Europe. Germany. Frankfurt"/>
    <s v="Low"/>
    <x v="0"/>
  </r>
  <r>
    <s v="ORD-2023-747341"/>
    <d v="2023-04-19T00:00:00"/>
    <d v="2023-04-28T00:00:00"/>
    <s v="Americas"/>
    <x v="5"/>
    <s v="Rio de Janeiro"/>
    <s v="Corporate"/>
    <s v="Distributor"/>
    <s v="M. Rossi"/>
    <x v="3"/>
    <x v="244"/>
    <n v="1013.54"/>
    <n v="927.93"/>
    <n v="0.17499999999999999"/>
    <n v="16"/>
    <d v="2023-04-28T00:00:00"/>
    <s v="Ok"/>
    <n v="927.93"/>
    <n v="9"/>
    <x v="244"/>
    <n v="16216.64"/>
    <n v="-3967.9639999999999"/>
    <n v="-0.32395044166406234"/>
    <s v="Apr-2023"/>
    <m/>
    <s v="Americas. Brazil. Rio de Janeiro"/>
    <s v="Low"/>
    <x v="0"/>
  </r>
  <r>
    <s v="ORD-2024-853298"/>
    <d v="2024-03-06T00:00:00"/>
    <d v="2024-03-26T00:00:00"/>
    <s v="Africa"/>
    <x v="1"/>
    <s v="Port Harcourt"/>
    <s v="Consumer"/>
    <s v="Marketplace"/>
    <s v="I. Johnson"/>
    <x v="3"/>
    <x v="245"/>
    <n v="65.64"/>
    <n v="151.88"/>
    <n v="0.16700000000000001"/>
    <n v="23"/>
    <d v="2024-03-26T00:00:00"/>
    <s v="Ok"/>
    <n v="151.88"/>
    <n v="20"/>
    <x v="245"/>
    <n v="1509.72"/>
    <n v="1400.1489199999999"/>
    <n v="0.48117250587356353"/>
    <s v="Mar-2024"/>
    <m/>
    <s v="Africa. Nigeria. Port Harcourt"/>
    <s v="Low"/>
    <x v="0"/>
  </r>
  <r>
    <s v="ORD-2024-544865"/>
    <d v="2024-02-16T00:00:00"/>
    <d v="2024-03-04T00:00:00"/>
    <s v="Americas"/>
    <x v="3"/>
    <s v="Montreal"/>
    <s v="Non-Profit"/>
    <s v="Retail"/>
    <s v="D. Smith"/>
    <x v="4"/>
    <x v="246"/>
    <n v="1350.98"/>
    <n v="2210.4"/>
    <n v="0.26300000000000001"/>
    <n v="6"/>
    <d v="2024-03-04T00:00:00"/>
    <s v="Ok"/>
    <n v="2210.4"/>
    <n v="17"/>
    <x v="246"/>
    <n v="8105.88"/>
    <n v="1668.5088000000005"/>
    <n v="0.17070211080615091"/>
    <s v="Feb-2024"/>
    <m/>
    <s v="Americas. Canada. Montreal"/>
    <s v="High"/>
    <x v="0"/>
  </r>
  <r>
    <s v="ORD-2025-946490"/>
    <d v="2025-04-22T00:00:00"/>
    <d v="2025-05-02T00:00:00"/>
    <s v="Europe"/>
    <x v="6"/>
    <s v="Berlin"/>
    <s v="Corporate"/>
    <s v="Marketplace"/>
    <s v="C. Otieno"/>
    <x v="5"/>
    <x v="247"/>
    <n v="20.149999999999999"/>
    <n v="39.74"/>
    <n v="0.151"/>
    <n v="18"/>
    <d v="2025-05-02T00:00:00"/>
    <s v="Ok"/>
    <n v="39.74"/>
    <n v="10"/>
    <x v="247"/>
    <n v="362.7"/>
    <n v="244.60668000000004"/>
    <n v="0.4027729120318585"/>
    <s v="Apr-2025"/>
    <m/>
    <s v="Europe. Germany. Berlin"/>
    <s v="Low"/>
    <x v="0"/>
  </r>
  <r>
    <s v="ORD-2024-320972"/>
    <d v="2024-11-08T00:00:00"/>
    <d v="2024-11-08T00:00:00"/>
    <s v="Africa"/>
    <x v="0"/>
    <s v="Nakuru"/>
    <s v="Enterprise"/>
    <s v="Marketplace"/>
    <s v="M. Rossi"/>
    <x v="2"/>
    <x v="248"/>
    <n v="803.28"/>
    <n v="1009"/>
    <n v="0.11"/>
    <n v="4"/>
    <d v="2024-11-08T00:00:00"/>
    <s v="Ok"/>
    <n v="1009"/>
    <n v="0"/>
    <x v="248"/>
    <n v="3213.12"/>
    <n v="378.92000000000007"/>
    <n v="0.10548880302001093"/>
    <s v="Nov-2024"/>
    <m/>
    <s v="Africa. Kenya. Nakuru"/>
    <s v="Low"/>
    <x v="0"/>
  </r>
  <r>
    <s v="ORD-2025-248586"/>
    <d v="2025-09-12T00:00:00"/>
    <d v="2025-09-30T00:00:00"/>
    <s v="Asia"/>
    <x v="2"/>
    <s v="Nagoya"/>
    <s v="Non-Profit"/>
    <s v="Marketplace"/>
    <s v="F. Müller"/>
    <x v="5"/>
    <x v="249"/>
    <n v="1212.99"/>
    <n v="1653.64"/>
    <n v="0.107"/>
    <n v="8"/>
    <d v="2025-09-30T00:00:00"/>
    <s v="Ok"/>
    <n v="1653.64"/>
    <n v="18"/>
    <x v="249"/>
    <n v="9703.92"/>
    <n v="2109.6841600000007"/>
    <n v="0.17858090819931455"/>
    <s v="Sep-2025"/>
    <m/>
    <s v="Asia. Japan. Nagoya"/>
    <s v="High"/>
    <x v="1"/>
  </r>
  <r>
    <s v="ORD-2024-664046"/>
    <d v="2024-09-02T00:00:00"/>
    <d v="2024-09-08T00:00:00"/>
    <s v="Americas"/>
    <x v="10"/>
    <s v="Austin"/>
    <s v="Consumer"/>
    <s v="Direct"/>
    <s v="H. Kim"/>
    <x v="0"/>
    <x v="250"/>
    <n v="462.94"/>
    <n v="1015.7"/>
    <n v="0.14299999999999999"/>
    <n v="14"/>
    <d v="2024-09-08T00:00:00"/>
    <s v="Ok"/>
    <n v="1015.7"/>
    <n v="6"/>
    <x v="250"/>
    <n v="6481.16"/>
    <n v="5705.2086000000018"/>
    <n v="0.46816314090483041"/>
    <s v="Sep-2024"/>
    <m/>
    <s v="Americas. USA. Austin"/>
    <s v="Low"/>
    <x v="0"/>
  </r>
  <r>
    <s v="ORD-2023-276806"/>
    <d v="2023-03-04T00:00:00"/>
    <d v="2023-03-24T00:00:00"/>
    <s v="Americas"/>
    <x v="3"/>
    <s v="Montreal"/>
    <s v="Consumer"/>
    <s v="Distributor"/>
    <s v="I. Johnson"/>
    <x v="4"/>
    <x v="251"/>
    <n v="481.71"/>
    <n v="912.45"/>
    <n v="0.20300000000000001"/>
    <n v="24"/>
    <d v="2023-03-24T00:00:00"/>
    <s v="Ok"/>
    <n v="912.45"/>
    <n v="20"/>
    <x v="251"/>
    <n v="11561.039999999999"/>
    <n v="5892.3036000000011"/>
    <n v="0.33760313983619739"/>
    <s v="Mar-2023"/>
    <m/>
    <s v="Americas. Canada. Montreal"/>
    <s v="Low"/>
    <x v="0"/>
  </r>
  <r>
    <s v="ORD-2024-220234"/>
    <d v="2024-03-15T00:00:00"/>
    <d v="2024-04-09T00:00:00"/>
    <s v="Americas"/>
    <x v="3"/>
    <s v="Vancouver"/>
    <s v="Consumer"/>
    <s v="Online"/>
    <s v="F. Müller"/>
    <x v="5"/>
    <x v="252"/>
    <n v="648.64"/>
    <n v="815.19"/>
    <n v="0.22500000000000001"/>
    <n v="28"/>
    <d v="2024-04-09T00:00:00"/>
    <s v="Ok"/>
    <n v="815.19"/>
    <n v="25"/>
    <x v="252"/>
    <n v="18161.919999999998"/>
    <n v="-472.29699999999866"/>
    <n v="-2.6699099240272032E-2"/>
    <s v="Mar-2024"/>
    <m/>
    <s v="Americas. Canada. Vancouver"/>
    <s v="Low"/>
    <x v="0"/>
  </r>
  <r>
    <s v="ORD-2024-301260"/>
    <d v="2024-07-29T00:00:00"/>
    <d v="2024-07-31T00:00:00"/>
    <s v="Americas"/>
    <x v="10"/>
    <s v="New York"/>
    <s v="Education"/>
    <s v="Marketplace"/>
    <s v="I. Johnson"/>
    <x v="1"/>
    <x v="253"/>
    <n v="798.97"/>
    <n v="1814.06"/>
    <n v="0.122"/>
    <n v="16"/>
    <d v="2024-07-31T00:00:00"/>
    <s v="Ok"/>
    <n v="1814.06"/>
    <n v="2"/>
    <x v="253"/>
    <n v="12783.52"/>
    <n v="12700.39488"/>
    <n v="0.49836906691159061"/>
    <s v="Jul-2024"/>
    <m/>
    <s v="Americas. USA. New York"/>
    <s v="High"/>
    <x v="0"/>
  </r>
  <r>
    <s v="ORD-2024-350100"/>
    <d v="2024-10-27T00:00:00"/>
    <d v="2024-11-20T00:00:00"/>
    <s v="Asia"/>
    <x v="2"/>
    <s v="Nagoya"/>
    <s v="Non-Profit"/>
    <s v="Online"/>
    <s v="H. Kim"/>
    <x v="5"/>
    <x v="254"/>
    <n v="317.25"/>
    <n v="758.92"/>
    <n v="5.2999999999999999E-2"/>
    <n v="9"/>
    <d v="2024-11-20T00:00:00"/>
    <s v="Ok"/>
    <n v="758.92"/>
    <n v="24"/>
    <x v="254"/>
    <n v="2855.25"/>
    <n v="3613.0251599999992"/>
    <n v="0.5585762928489888"/>
    <s v="Oct-2024"/>
    <m/>
    <s v="Asia. Japan. Nagoya"/>
    <s v="Low"/>
    <x v="1"/>
  </r>
  <r>
    <s v="ORD-2024-855600"/>
    <d v="2024-04-29T00:00:00"/>
    <d v="2024-05-19T00:00:00"/>
    <s v="Europe"/>
    <x v="6"/>
    <s v="Frankfurt"/>
    <s v="Enterprise"/>
    <s v="Marketplace"/>
    <s v="C. Otieno"/>
    <x v="4"/>
    <x v="255"/>
    <n v="668.97"/>
    <n v="1667.44"/>
    <n v="3.4000000000000002E-2"/>
    <n v="15"/>
    <d v="2024-05-19T00:00:00"/>
    <s v="Ok"/>
    <n v="1667.44"/>
    <n v="20"/>
    <x v="255"/>
    <n v="10034.550000000001"/>
    <n v="14126.6556"/>
    <n v="0.58468339013679016"/>
    <s v="Apr-2024"/>
    <m/>
    <s v="Europe. Germany. Frankfurt"/>
    <s v="High"/>
    <x v="0"/>
  </r>
  <r>
    <s v="ORD-2023-474313"/>
    <d v="2023-10-05T00:00:00"/>
    <d v="2023-10-06T00:00:00"/>
    <s v="Asia"/>
    <x v="4"/>
    <s v="Bengaluru"/>
    <s v="Non-Profit"/>
    <s v="Online"/>
    <s v="I. Johnson"/>
    <x v="0"/>
    <x v="256"/>
    <n v="1470.26"/>
    <n v="2562.5500000000002"/>
    <n v="0.17299999999999999"/>
    <n v="9"/>
    <d v="2023-10-06T00:00:00"/>
    <s v="Ok"/>
    <n v="2562.5500000000002"/>
    <n v="1"/>
    <x v="256"/>
    <n v="13232.34"/>
    <n v="5840.7196499999991"/>
    <n v="0.30622877279157462"/>
    <s v="Oct-2023"/>
    <m/>
    <s v="Asia. India. Bengaluru"/>
    <s v="High"/>
    <x v="0"/>
  </r>
  <r>
    <s v="ORD-2023-256951"/>
    <d v="2023-04-19T00:00:00"/>
    <d v="2023-05-07T00:00:00"/>
    <s v="Europe"/>
    <x v="8"/>
    <s v="London"/>
    <s v="Non-Profit"/>
    <s v="Direct"/>
    <s v="H. Kim"/>
    <x v="2"/>
    <x v="257"/>
    <n v="516.96"/>
    <n v="745.38"/>
    <n v="0.19700000000000001"/>
    <n v="4"/>
    <d v="2023-05-07T00:00:00"/>
    <s v="Ok"/>
    <n v="745.38"/>
    <n v="18"/>
    <x v="257"/>
    <n v="2067.84"/>
    <n v="326.32055999999966"/>
    <n v="0.13629852794835101"/>
    <s v="Apr-2023"/>
    <m/>
    <s v="Europe. United Kingdom. London"/>
    <s v="Low"/>
    <x v="0"/>
  </r>
  <r>
    <s v="ORD-2025-184754"/>
    <d v="2025-06-27T00:00:00"/>
    <d v="2025-07-05T00:00:00"/>
    <s v="Europe"/>
    <x v="6"/>
    <s v="Munich"/>
    <s v="Small Business"/>
    <s v="Direct"/>
    <s v="G. Dubois"/>
    <x v="5"/>
    <x v="258"/>
    <n v="314.93"/>
    <n v="687.95"/>
    <n v="0.20499999999999999"/>
    <n v="8"/>
    <d v="2025-07-05T00:00:00"/>
    <s v="Ok"/>
    <n v="687.95"/>
    <n v="8"/>
    <x v="258"/>
    <n v="2519.44"/>
    <n v="1855.922"/>
    <n v="0.424175645352316"/>
    <s v="Jun-2025"/>
    <m/>
    <s v="Europe. Germany. Munich"/>
    <s v="Low"/>
    <x v="0"/>
  </r>
  <r>
    <s v="ORD-2023-888140"/>
    <d v="2023-10-11T00:00:00"/>
    <d v="2023-10-13T00:00:00"/>
    <s v="Americas"/>
    <x v="5"/>
    <s v="Brasília"/>
    <s v="Consumer"/>
    <s v="Distributor"/>
    <s v="Unknown"/>
    <x v="6"/>
    <x v="259"/>
    <n v="715.94"/>
    <n v="550.07000000000005"/>
    <n v="0.14000000000000001"/>
    <n v="16"/>
    <d v="2023-10-13T00:00:00"/>
    <s v="Ok"/>
    <n v="550.07000000000005"/>
    <n v="2"/>
    <x v="259"/>
    <n v="11455.04"/>
    <n v="-3886.0768000000007"/>
    <n v="-0.51342260456491595"/>
    <s v="Oct-2023"/>
    <m/>
    <s v="Americas. Brazil. Brasília"/>
    <s v="Low"/>
    <x v="0"/>
  </r>
  <r>
    <s v="ORD-2023-638181"/>
    <d v="2023-05-20T00:00:00"/>
    <d v="2023-06-07T00:00:00"/>
    <s v="Africa"/>
    <x v="1"/>
    <s v="Port Harcourt"/>
    <s v="Enterprise"/>
    <s v="Distributor"/>
    <s v="E. Garcia"/>
    <x v="0"/>
    <x v="260"/>
    <n v="1120.06"/>
    <n v="2068.21"/>
    <n v="7.8E-2"/>
    <n v="12"/>
    <d v="2023-06-07T00:00:00"/>
    <s v="Ok"/>
    <n v="2068.21"/>
    <n v="18"/>
    <x v="260"/>
    <n v="13440.72"/>
    <n v="9441.9554400000034"/>
    <n v="0.41262462795303284"/>
    <s v="May-2023"/>
    <m/>
    <s v="Africa. Nigeria. Port Harcourt"/>
    <s v="High"/>
    <x v="0"/>
  </r>
  <r>
    <s v="ORD-2023-521280"/>
    <d v="2023-05-27T00:00:00"/>
    <d v="2023-06-19T00:00:00"/>
    <s v="Europe"/>
    <x v="6"/>
    <s v="Berlin"/>
    <s v="Education"/>
    <s v="Retail"/>
    <s v="O. Wang"/>
    <x v="6"/>
    <x v="261"/>
    <n v="1471.58"/>
    <n v="2576.65"/>
    <n v="4.0000000000000001E-3"/>
    <n v="7"/>
    <d v="2023-06-19T00:00:00"/>
    <s v="Ok"/>
    <n v="2576.65"/>
    <n v="23"/>
    <x v="261"/>
    <n v="10301.06"/>
    <n v="7663.3438000000006"/>
    <n v="0.4265849223451546"/>
    <s v="May-2023"/>
    <m/>
    <s v="Europe. Germany. Berlin"/>
    <s v="High"/>
    <x v="0"/>
  </r>
  <r>
    <s v="ORD-2023-630430"/>
    <d v="2023-08-04T00:00:00"/>
    <d v="2023-08-24T00:00:00"/>
    <s v="Americas"/>
    <x v="5"/>
    <s v="Brasília"/>
    <s v="Non-Profit"/>
    <s v="Direct"/>
    <s v="Unknown"/>
    <x v="2"/>
    <x v="262"/>
    <n v="582.88"/>
    <n v="1044.1400000000001"/>
    <n v="0.216"/>
    <n v="10"/>
    <d v="2023-08-24T00:00:00"/>
    <s v="Ok"/>
    <n v="1044.1400000000001"/>
    <n v="20"/>
    <x v="262"/>
    <n v="5828.8"/>
    <n v="2357.2576000000008"/>
    <n v="0.28796005539956138"/>
    <s v="Aug-2023"/>
    <m/>
    <s v="Americas. Brazil. Brasília"/>
    <s v="Low"/>
    <x v="0"/>
  </r>
  <r>
    <s v="ORD-2025-908258"/>
    <d v="2025-06-21T00:00:00"/>
    <d v="2025-06-27T00:00:00"/>
    <s v="Africa"/>
    <x v="11"/>
    <s v="Durban"/>
    <s v="Enterprise"/>
    <s v="Distributor"/>
    <s v="N. Brown"/>
    <x v="3"/>
    <x v="263"/>
    <n v="93.91"/>
    <n v="99.04"/>
    <n v="5.7000000000000002E-2"/>
    <n v="6"/>
    <d v="2025-06-27T00:00:00"/>
    <s v="Ok"/>
    <n v="99.04"/>
    <n v="6"/>
    <x v="263"/>
    <n v="563.46"/>
    <n v="-3.0916800000001103"/>
    <n v="-5.5172283829323376E-3"/>
    <s v="Jun-2025"/>
    <m/>
    <s v="Africa. South Africa. Durban"/>
    <s v="Low"/>
    <x v="0"/>
  </r>
  <r>
    <s v="ORD-2025-440093"/>
    <d v="2025-04-16T00:00:00"/>
    <d v="2025-04-26T00:00:00"/>
    <s v="Africa"/>
    <x v="1"/>
    <s v="Port Harcourt"/>
    <s v="Enterprise"/>
    <s v="Marketplace"/>
    <s v="F. Müller"/>
    <x v="4"/>
    <x v="264"/>
    <n v="1457.44"/>
    <n v="1996.81"/>
    <n v="0.126"/>
    <n v="23"/>
    <d v="2025-04-26T00:00:00"/>
    <s v="Ok"/>
    <n v="1996.81"/>
    <n v="10"/>
    <x v="264"/>
    <n v="33521.120000000003"/>
    <n v="6618.7546199999924"/>
    <n v="0.16489225944672353"/>
    <s v="Apr-2025"/>
    <m/>
    <s v="Africa. Nigeria. Port Harcourt"/>
    <s v="High"/>
    <x v="0"/>
  </r>
  <r>
    <s v="ORD-2025-898022"/>
    <d v="2025-09-02T00:00:00"/>
    <d v="2025-09-11T00:00:00"/>
    <s v="Americas"/>
    <x v="3"/>
    <s v="Toronto"/>
    <s v="Corporate"/>
    <s v="Distributor"/>
    <s v="M. Rossi"/>
    <x v="1"/>
    <x v="265"/>
    <n v="1207.6300000000001"/>
    <n v="921.68"/>
    <n v="0.19600000000000001"/>
    <n v="17"/>
    <d v="2025-09-11T00:00:00"/>
    <s v="Ok"/>
    <n v="921.68"/>
    <n v="9"/>
    <x v="265"/>
    <n v="20529.710000000003"/>
    <n v="-7932.1877600000025"/>
    <n v="-0.62966253274897988"/>
    <s v="Sep-2025"/>
    <m/>
    <s v="Americas. Canada. Toronto"/>
    <s v="Low"/>
    <x v="0"/>
  </r>
  <r>
    <s v="ORD-2024-500511"/>
    <d v="2024-10-08T00:00:00"/>
    <d v="2024-10-08T00:00:00"/>
    <s v="Europe"/>
    <x v="8"/>
    <s v="London"/>
    <s v="Corporate"/>
    <s v="Online"/>
    <s v="E. Garcia"/>
    <x v="5"/>
    <x v="266"/>
    <n v="1108.1099999999999"/>
    <n v="2503.79"/>
    <n v="0.184"/>
    <n v="19"/>
    <d v="2024-10-08T00:00:00"/>
    <s v="Ok"/>
    <n v="2503.79"/>
    <n v="0"/>
    <x v="266"/>
    <n v="21054.089999999997"/>
    <n v="17764.670160000009"/>
    <n v="0.45763105485025896"/>
    <s v="Oct-2024"/>
    <m/>
    <s v="Europe. United Kingdom. London"/>
    <s v="High"/>
    <x v="0"/>
  </r>
  <r>
    <s v="ORD-2023-632893"/>
    <d v="2023-05-07T00:00:00"/>
    <d v="2023-05-05T00:00:00"/>
    <s v="Africa"/>
    <x v="1"/>
    <s v="Port Harcourt"/>
    <s v="Non-Profit"/>
    <s v="Marketplace"/>
    <s v="A. Patel"/>
    <x v="0"/>
    <x v="267"/>
    <n v="1269.6500000000001"/>
    <n v="2462.77"/>
    <n v="0.107"/>
    <n v="8"/>
    <d v="2023-05-14T00:00:00"/>
    <s v="Ok"/>
    <n v="2462.77"/>
    <n v="7"/>
    <x v="267"/>
    <n v="10157.200000000001"/>
    <n v="7436.8288800000009"/>
    <n v="0.42269050089225502"/>
    <s v="May-2023"/>
    <m/>
    <s v="Africa. Nigeria. Port Harcourt"/>
    <s v="High"/>
    <x v="0"/>
  </r>
  <r>
    <s v="ORD-2023-967239"/>
    <d v="2023-12-24T00:00:00"/>
    <d v="2024-01-01T00:00:00"/>
    <s v="Americas"/>
    <x v="5"/>
    <s v="São Paulo"/>
    <s v="Education"/>
    <s v="Direct"/>
    <s v="C. Otieno"/>
    <x v="3"/>
    <x v="268"/>
    <n v="526.49"/>
    <n v="496.2"/>
    <n v="0"/>
    <n v="14"/>
    <d v="2024-01-01T00:00:00"/>
    <s v="Ok"/>
    <n v="496.2"/>
    <n v="8"/>
    <x v="268"/>
    <n v="7370.8600000000006"/>
    <n v="-424.0600000000004"/>
    <n v="-6.1043933897621985E-2"/>
    <s v="Dec-2023"/>
    <m/>
    <s v="Americas. Brazil. São Paulo"/>
    <s v="Low"/>
    <x v="0"/>
  </r>
  <r>
    <s v="ORD-2024-885858"/>
    <d v="2024-01-10T00:00:00"/>
    <d v="2024-01-23T00:00:00"/>
    <s v="Europe"/>
    <x v="7"/>
    <s v="Marseille"/>
    <s v="Corporate"/>
    <s v="Direct"/>
    <s v="A. Patel"/>
    <x v="1"/>
    <x v="269"/>
    <n v="720"/>
    <n v="907.59"/>
    <n v="0.154"/>
    <n v="10"/>
    <d v="2024-01-23T00:00:00"/>
    <s v="Ok"/>
    <n v="907.59"/>
    <n v="13"/>
    <x v="269"/>
    <n v="7200"/>
    <n v="478.21139999999923"/>
    <n v="6.2281614179052078E-2"/>
    <s v="Jan-2024"/>
    <m/>
    <s v="Europe. France. Marseille"/>
    <s v="Low"/>
    <x v="0"/>
  </r>
  <r>
    <s v="ORD-2023-253245"/>
    <d v="2023-08-03T00:00:00"/>
    <d v="2023-08-14T00:00:00"/>
    <s v="Americas"/>
    <x v="5"/>
    <s v="Brasília"/>
    <s v="Corporate"/>
    <s v="Direct"/>
    <s v="J. Njeri"/>
    <x v="6"/>
    <x v="270"/>
    <n v="232.73"/>
    <n v="334.19"/>
    <n v="0.13400000000000001"/>
    <n v="25"/>
    <d v="2023-08-14T00:00:00"/>
    <s v="Ok"/>
    <n v="334.19"/>
    <n v="11"/>
    <x v="270"/>
    <n v="5818.25"/>
    <n v="1416.9634999999998"/>
    <n v="0.1958426658729559"/>
    <s v="Aug-2023"/>
    <m/>
    <s v="Americas. Brazil. Brasília"/>
    <s v="Low"/>
    <x v="0"/>
  </r>
  <r>
    <s v="ORD-2025-484073"/>
    <d v="2025-02-19T00:00:00"/>
    <d v="2025-03-09T00:00:00"/>
    <s v="Asia"/>
    <x v="4"/>
    <s v="Delhi"/>
    <s v="Small Business"/>
    <s v="Direct"/>
    <s v="O. Wang"/>
    <x v="5"/>
    <x v="271"/>
    <n v="325.87"/>
    <n v="538.79"/>
    <n v="0.17399999999999999"/>
    <n v="16"/>
    <d v="2025-03-09T00:00:00"/>
    <s v="Ok"/>
    <n v="538.79"/>
    <n v="18"/>
    <x v="271"/>
    <n v="5213.92"/>
    <n v="1906.7286400000003"/>
    <n v="0.26777457172778013"/>
    <s v="Feb-2025"/>
    <m/>
    <s v="Asia. India. Delhi"/>
    <s v="Low"/>
    <x v="0"/>
  </r>
  <r>
    <s v="ORD-2024-745822"/>
    <d v="2024-03-31T00:00:00"/>
    <d v="2024-04-17T00:00:00"/>
    <s v="Europe"/>
    <x v="6"/>
    <s v="Frankfurt"/>
    <s v="Education"/>
    <s v="Direct"/>
    <s v="H. Kim"/>
    <x v="5"/>
    <x v="272"/>
    <n v="1025.51"/>
    <n v="1436.54"/>
    <n v="0.13900000000000001"/>
    <n v="28"/>
    <d v="2024-04-17T00:00:00"/>
    <s v="Ok"/>
    <n v="1436.54"/>
    <n v="17"/>
    <x v="272"/>
    <n v="28714.28"/>
    <n v="5917.8263200000001"/>
    <n v="0.17087688127656453"/>
    <s v="Mar-2024"/>
    <m/>
    <s v="Europe. Germany. Frankfurt"/>
    <s v="High"/>
    <x v="0"/>
  </r>
  <r>
    <s v="ORD-2023-369160"/>
    <d v="2023-07-24T00:00:00"/>
    <d v="2023-08-13T00:00:00"/>
    <s v="Americas"/>
    <x v="3"/>
    <s v="Montreal"/>
    <s v="Education"/>
    <s v="Direct"/>
    <s v="C. Otieno"/>
    <x v="5"/>
    <x v="273"/>
    <n v="1082.3800000000001"/>
    <n v="1766.55"/>
    <n v="0.16400000000000001"/>
    <n v="20"/>
    <d v="2023-08-13T00:00:00"/>
    <s v="Ok"/>
    <n v="1766.55"/>
    <n v="20"/>
    <x v="273"/>
    <n v="21647.600000000002"/>
    <n v="7889.1159999999982"/>
    <n v="0.26709523157550752"/>
    <s v="Jul-2023"/>
    <m/>
    <s v="Americas. Canada. Montreal"/>
    <s v="High"/>
    <x v="0"/>
  </r>
  <r>
    <s v="ORD-2024-834983"/>
    <d v="2024-03-16T00:00:00"/>
    <d v="2024-04-13T00:00:00"/>
    <s v="Europe"/>
    <x v="7"/>
    <s v="Paris"/>
    <s v="Small Business"/>
    <s v="Online"/>
    <s v="K. Singh"/>
    <x v="1"/>
    <x v="274"/>
    <n v="287.61"/>
    <n v="628.54"/>
    <n v="0.13500000000000001"/>
    <n v="21"/>
    <d v="2024-04-13T00:00:00"/>
    <s v="Ok"/>
    <n v="628.54"/>
    <n v="28"/>
    <x v="274"/>
    <n v="6039.81"/>
    <n v="5377.619099999999"/>
    <n v="0.47100087531964613"/>
    <s v="Mar-2024"/>
    <m/>
    <s v="Europe. France. Paris"/>
    <s v="Low"/>
    <x v="0"/>
  </r>
  <r>
    <s v="ORD-2024-499009"/>
    <d v="2024-01-25T00:00:00"/>
    <d v="2024-01-27T00:00:00"/>
    <s v="Americas"/>
    <x v="5"/>
    <s v="São Paulo"/>
    <s v="Non-Profit"/>
    <s v="Marketplace"/>
    <s v="N. Brown"/>
    <x v="4"/>
    <x v="275"/>
    <n v="1410.97"/>
    <n v="1650.75"/>
    <n v="0.13500000000000001"/>
    <n v="6"/>
    <d v="2024-01-27T00:00:00"/>
    <s v="Ok"/>
    <n v="1650.75"/>
    <n v="2"/>
    <x v="275"/>
    <n v="8465.82"/>
    <n v="101.57250000000022"/>
    <n v="1.1855707556295596E-2"/>
    <s v="Jan-2024"/>
    <m/>
    <s v="Americas. Brazil. São Paulo"/>
    <s v="High"/>
    <x v="0"/>
  </r>
  <r>
    <s v="ORD-2024-948800"/>
    <d v="2024-03-27T00:00:00"/>
    <d v="2024-04-11T00:00:00"/>
    <s v="Americas"/>
    <x v="10"/>
    <s v="San Francisco"/>
    <s v="Small Business"/>
    <s v="Direct"/>
    <s v="O. Wang"/>
    <x v="2"/>
    <x v="276"/>
    <n v="1338.35"/>
    <n v="2247.14"/>
    <n v="0.115"/>
    <n v="40"/>
    <d v="2024-04-11T00:00:00"/>
    <s v="Ok"/>
    <n v="2247.14"/>
    <n v="15"/>
    <x v="276"/>
    <n v="53534"/>
    <n v="26014.755999999994"/>
    <n v="0.32702907384246205"/>
    <s v="Mar-2024"/>
    <m/>
    <s v="Americas. USA. San Francisco"/>
    <s v="High"/>
    <x v="0"/>
  </r>
  <r>
    <s v="ORD-2025-678328"/>
    <d v="2025-06-24T00:00:00"/>
    <d v="2025-07-14T00:00:00"/>
    <s v="Europe"/>
    <x v="6"/>
    <s v="Berlin"/>
    <s v="Corporate"/>
    <s v="Direct"/>
    <s v="O. Wang"/>
    <x v="6"/>
    <x v="277"/>
    <n v="385.08"/>
    <n v="893.19"/>
    <n v="0.151"/>
    <n v="8"/>
    <d v="2025-07-14T00:00:00"/>
    <s v="Ok"/>
    <n v="893.19"/>
    <n v="20"/>
    <x v="277"/>
    <n v="3080.64"/>
    <n v="2985.9064800000001"/>
    <n v="0.49219213762621666"/>
    <s v="Jun-2025"/>
    <m/>
    <s v="Europe. Germany. Berlin"/>
    <s v="Low"/>
    <x v="0"/>
  </r>
  <r>
    <s v="ORD-2024-580808"/>
    <d v="2024-06-16T00:00:00"/>
    <d v="2024-07-03T00:00:00"/>
    <s v="Africa"/>
    <x v="11"/>
    <s v="Johannesburg"/>
    <s v="Enterprise"/>
    <s v="Marketplace"/>
    <s v="F. Müller"/>
    <x v="3"/>
    <x v="278"/>
    <n v="1173.83"/>
    <n v="2328.9"/>
    <n v="0.12"/>
    <n v="17"/>
    <d v="2024-07-03T00:00:00"/>
    <s v="Ok"/>
    <n v="2328.9"/>
    <n v="17"/>
    <x v="278"/>
    <n v="19955.11"/>
    <n v="14885.234000000004"/>
    <n v="0.42724130393201637"/>
    <s v="Jun-2024"/>
    <m/>
    <s v="Africa. South Africa. Johannesburg"/>
    <s v="High"/>
    <x v="0"/>
  </r>
  <r>
    <s v="ORD-2023-211715"/>
    <d v="2023-10-30T00:00:00"/>
    <d v="2023-11-14T00:00:00"/>
    <s v="Asia"/>
    <x v="4"/>
    <s v="Bengaluru"/>
    <s v="Corporate"/>
    <s v="Online"/>
    <s v="F. Müller"/>
    <x v="4"/>
    <x v="279"/>
    <n v="953.46"/>
    <n v="2066.75"/>
    <n v="0.13800000000000001"/>
    <n v="5"/>
    <d v="2023-11-14T00:00:00"/>
    <s v="Ok"/>
    <n v="2066.75"/>
    <n v="15"/>
    <x v="279"/>
    <n v="4767.3"/>
    <n v="4140.392499999999"/>
    <n v="0.46481089238318446"/>
    <s v="Oct-2023"/>
    <m/>
    <s v="Asia. India. Bengaluru"/>
    <s v="High"/>
    <x v="0"/>
  </r>
  <r>
    <s v="ORD-2023-715175"/>
    <d v="2023-06-15T00:00:00"/>
    <d v="2023-06-23T00:00:00"/>
    <s v="Americas"/>
    <x v="10"/>
    <s v="San Francisco"/>
    <s v="Consumer"/>
    <s v="Distributor"/>
    <s v="O. Wang"/>
    <x v="5"/>
    <x v="280"/>
    <n v="1097.0899999999999"/>
    <n v="2182.31"/>
    <n v="0.112"/>
    <n v="9"/>
    <d v="2023-06-23T00:00:00"/>
    <s v="Ok"/>
    <n v="2182.31"/>
    <n v="8"/>
    <x v="280"/>
    <n v="9873.81"/>
    <n v="7567.2115200000026"/>
    <n v="0.43387432962699546"/>
    <s v="Jun-2023"/>
    <m/>
    <s v="Americas. USA. San Francisco"/>
    <s v="High"/>
    <x v="0"/>
  </r>
  <r>
    <s v="ORD-2025-685236"/>
    <d v="2025-03-14T00:00:00"/>
    <d v="2025-03-29T00:00:00"/>
    <s v="Asia"/>
    <x v="2"/>
    <s v="Tokyo"/>
    <s v="Non-Profit"/>
    <s v="Direct"/>
    <s v="H. Kim"/>
    <x v="2"/>
    <x v="281"/>
    <n v="1106.96"/>
    <n v="2726.62"/>
    <n v="0.317"/>
    <n v="7"/>
    <d v="2025-03-29T00:00:00"/>
    <s v="Ok"/>
    <n v="2726.62"/>
    <n v="15"/>
    <x v="281"/>
    <n v="7748.72"/>
    <n v="5287.2502200000008"/>
    <n v="0.40558931408789306"/>
    <s v="Mar-2025"/>
    <m/>
    <s v="Asia. Japan. Tokyo"/>
    <s v="High"/>
    <x v="1"/>
  </r>
  <r>
    <s v="ORD-2023-274037"/>
    <d v="2023-08-15T00:00:00"/>
    <d v="2023-08-25T00:00:00"/>
    <s v="Africa"/>
    <x v="0"/>
    <s v="Nairobi"/>
    <s v="Small Business"/>
    <s v="Retail"/>
    <s v="N. Brown"/>
    <x v="3"/>
    <x v="282"/>
    <n v="91.85"/>
    <n v="111.29"/>
    <n v="0"/>
    <n v="6"/>
    <d v="2023-08-25T00:00:00"/>
    <s v="Ok"/>
    <n v="111.29"/>
    <n v="10"/>
    <x v="282"/>
    <n v="551.09999999999991"/>
    <n v="116.6400000000001"/>
    <n v="0.17467876718483258"/>
    <s v="Aug-2023"/>
    <m/>
    <s v="Africa. Kenya. Nairobi"/>
    <s v="Low"/>
    <x v="0"/>
  </r>
  <r>
    <s v="ORD-2025-983096"/>
    <d v="2025-05-17T00:00:00"/>
    <d v="2025-05-28T00:00:00"/>
    <s v="Asia"/>
    <x v="4"/>
    <s v="Bengaluru"/>
    <s v="Corporate"/>
    <s v="Distributor"/>
    <s v="B. Chen"/>
    <x v="4"/>
    <x v="283"/>
    <n v="623.4"/>
    <n v="1100.0899999999999"/>
    <n v="0.114"/>
    <n v="12"/>
    <d v="2025-05-28T00:00:00"/>
    <s v="Ok"/>
    <n v="1100.0899999999999"/>
    <n v="11"/>
    <x v="283"/>
    <n v="7480.7999999999993"/>
    <n v="4215.3568799999994"/>
    <n v="0.36040529579490388"/>
    <s v="May-2025"/>
    <m/>
    <s v="Asia. India. Bengaluru"/>
    <s v="Low"/>
    <x v="0"/>
  </r>
  <r>
    <s v="ORD-2024-366010"/>
    <d v="2024-01-13T00:00:00"/>
    <d v="2024-02-05T00:00:00"/>
    <s v="Europe"/>
    <x v="6"/>
    <s v="Frankfurt"/>
    <s v="Education"/>
    <s v="Direct"/>
    <s v="B. Chen"/>
    <x v="4"/>
    <x v="284"/>
    <n v="1017.93"/>
    <n v="1529.14"/>
    <n v="0.155"/>
    <n v="12"/>
    <d v="2024-02-05T00:00:00"/>
    <s v="Ok"/>
    <n v="1529.14"/>
    <n v="23"/>
    <x v="284"/>
    <n v="12215.16"/>
    <n v="3290.3196000000007"/>
    <n v="0.21220366508366503"/>
    <s v="Jan-2024"/>
    <m/>
    <s v="Europe. Germany. Frankfurt"/>
    <s v="High"/>
    <x v="0"/>
  </r>
  <r>
    <s v="ORD-2023-610470"/>
    <d v="2023-06-24T00:00:00"/>
    <d v="2023-07-21T00:00:00"/>
    <s v="Asia"/>
    <x v="2"/>
    <s v="Nagoya"/>
    <s v="Consumer"/>
    <s v="Marketplace"/>
    <s v="J. Njeri"/>
    <x v="3"/>
    <x v="285"/>
    <n v="554.76"/>
    <n v="728.69"/>
    <n v="0.22"/>
    <n v="7"/>
    <d v="2023-07-21T00:00:00"/>
    <s v="Ok"/>
    <n v="728.69"/>
    <n v="27"/>
    <x v="285"/>
    <n v="3883.3199999999997"/>
    <n v="95.32740000000058"/>
    <n v="2.395975074343119E-2"/>
    <s v="Jun-2023"/>
    <m/>
    <s v="Asia. Japan. Nagoya"/>
    <s v="Low"/>
    <x v="1"/>
  </r>
  <r>
    <s v="ORD-2025-541048"/>
    <d v="2025-04-04T00:00:00"/>
    <d v="2025-04-13T00:00:00"/>
    <s v="Europe"/>
    <x v="6"/>
    <s v="Munich"/>
    <s v="Consumer"/>
    <s v="Marketplace"/>
    <s v="F. Müller"/>
    <x v="3"/>
    <x v="286"/>
    <n v="7.02"/>
    <n v="6.28"/>
    <n v="0.13400000000000001"/>
    <n v="14"/>
    <d v="2025-04-13T00:00:00"/>
    <s v="Ok"/>
    <n v="6.28"/>
    <n v="9"/>
    <x v="286"/>
    <n v="98.28"/>
    <n v="-22.141279999999995"/>
    <n v="-0.29080184169106066"/>
    <s v="Apr-2025"/>
    <m/>
    <s v="Europe. Germany. Munich"/>
    <s v="Low"/>
    <x v="0"/>
  </r>
  <r>
    <s v="ORD-2024-862371"/>
    <d v="2024-09-07T00:00:00"/>
    <d v="2024-09-07T00:00:00"/>
    <s v="Asia"/>
    <x v="4"/>
    <s v="Mumbai"/>
    <s v="Education"/>
    <s v="Distributor"/>
    <s v="B. Chen"/>
    <x v="2"/>
    <x v="287"/>
    <n v="1066.6500000000001"/>
    <n v="2569.77"/>
    <n v="0.13400000000000001"/>
    <n v="9"/>
    <d v="2024-09-07T00:00:00"/>
    <s v="Ok"/>
    <n v="2569.77"/>
    <n v="0"/>
    <x v="287"/>
    <n v="9599.85"/>
    <n v="10428.937380000001"/>
    <n v="0.52069739331368348"/>
    <s v="Sep-2024"/>
    <m/>
    <s v="Asia. India. Mumbai"/>
    <s v="High"/>
    <x v="0"/>
  </r>
  <r>
    <s v="ORD-2024-277241"/>
    <d v="2024-01-28T00:00:00"/>
    <d v="2024-01-30T00:00:00"/>
    <s v="Africa"/>
    <x v="11"/>
    <s v="Cape Town"/>
    <s v="Consumer"/>
    <s v="Direct"/>
    <s v="F. Müller"/>
    <x v="6"/>
    <x v="288"/>
    <n v="798.45"/>
    <n v="1592.02"/>
    <n v="6.6000000000000003E-2"/>
    <n v="18"/>
    <d v="2024-01-30T00:00:00"/>
    <s v="Ok"/>
    <n v="1592.02"/>
    <n v="2"/>
    <x v="288"/>
    <n v="14372.1"/>
    <n v="12392.940239999998"/>
    <n v="0.46302714768494585"/>
    <s v="Jan-2024"/>
    <m/>
    <s v="Africa. South Africa. Cape Town"/>
    <s v="High"/>
    <x v="0"/>
  </r>
  <r>
    <s v="ORD-2023-369150"/>
    <d v="2023-07-18T00:00:00"/>
    <d v="2023-08-10T00:00:00"/>
    <s v="Africa"/>
    <x v="11"/>
    <s v="Johannesburg"/>
    <s v="Small Business"/>
    <s v="Retail"/>
    <s v="L. Okafor"/>
    <x v="0"/>
    <x v="289"/>
    <n v="1271.56"/>
    <n v="995.47"/>
    <n v="0.192"/>
    <n v="13"/>
    <d v="2023-08-10T00:00:00"/>
    <s v="Ok"/>
    <n v="995.47"/>
    <n v="23"/>
    <x v="289"/>
    <n v="16530.28"/>
    <n v="-6073.8631199999982"/>
    <n v="-0.58087423155607754"/>
    <s v="Jul-2023"/>
    <m/>
    <s v="Africa. South Africa. Johannesburg"/>
    <s v="Low"/>
    <x v="0"/>
  </r>
  <r>
    <s v="ORD-2025-922513"/>
    <d v="2025-08-28T00:00:00"/>
    <d v="2025-08-26T00:00:00"/>
    <s v="Africa"/>
    <x v="1"/>
    <s v="Port Harcourt"/>
    <s v="Small Business"/>
    <s v="Retail"/>
    <s v="A. Patel"/>
    <x v="6"/>
    <x v="290"/>
    <n v="521.05999999999995"/>
    <n v="1240.31"/>
    <n v="0.14599999999999999"/>
    <n v="18"/>
    <d v="2025-09-04T00:00:00"/>
    <s v="Ok"/>
    <n v="1240.31"/>
    <n v="7"/>
    <x v="290"/>
    <n v="9379.0799999999981"/>
    <n v="9686.9653199999993"/>
    <n v="0.50807417885650974"/>
    <s v="Aug-2025"/>
    <m/>
    <s v="Africa. Nigeria. Port Harcourt"/>
    <s v="High"/>
    <x v="0"/>
  </r>
  <r>
    <s v="ORD-2025-752845"/>
    <d v="2025-03-30T00:00:00"/>
    <d v="2025-04-07T00:00:00"/>
    <s v="Americas"/>
    <x v="5"/>
    <s v="São Paulo"/>
    <s v="Non-Profit"/>
    <s v="Direct"/>
    <s v="L. Okafor"/>
    <x v="1"/>
    <x v="291"/>
    <n v="71.62"/>
    <n v="118.37"/>
    <n v="0.156"/>
    <n v="11"/>
    <d v="2025-04-07T00:00:00"/>
    <s v="Ok"/>
    <n v="118.37"/>
    <n v="8"/>
    <x v="291"/>
    <n v="787.82"/>
    <n v="311.12708000000009"/>
    <n v="0.28311379652603474"/>
    <s v="Mar-2025"/>
    <m/>
    <s v="Americas. Brazil. São Paulo"/>
    <s v="Low"/>
    <x v="0"/>
  </r>
  <r>
    <s v="ORD-2023-667815"/>
    <d v="2023-10-21T00:00:00"/>
    <d v="2023-11-09T00:00:00"/>
    <s v="Europe"/>
    <x v="8"/>
    <s v="London"/>
    <s v="Non-Profit"/>
    <s v="Direct"/>
    <s v="A. Patel"/>
    <x v="6"/>
    <x v="292"/>
    <n v="1142.48"/>
    <n v="2105.5300000000002"/>
    <n v="0.20699999999999999"/>
    <n v="14"/>
    <d v="2023-11-09T00:00:00"/>
    <s v="Ok"/>
    <n v="2105.5300000000002"/>
    <n v="19"/>
    <x v="292"/>
    <n v="15994.720000000001"/>
    <n v="7380.8740600000019"/>
    <n v="0.31575129346680658"/>
    <s v="Oct-2023"/>
    <m/>
    <s v="Europe. United Kingdom. London"/>
    <s v="High"/>
    <x v="0"/>
  </r>
  <r>
    <s v="ORD-2023-375011"/>
    <d v="2023-08-23T00:00:00"/>
    <d v="2023-09-22T00:00:00"/>
    <s v="Europe"/>
    <x v="8"/>
    <s v="London"/>
    <s v="Consumer"/>
    <s v="Distributor"/>
    <s v="O. Wang"/>
    <x v="6"/>
    <x v="293"/>
    <n v="209.81"/>
    <n v="523"/>
    <n v="5.8999999999999997E-2"/>
    <n v="15"/>
    <d v="2023-09-22T00:00:00"/>
    <s v="Ok"/>
    <n v="523"/>
    <n v="30"/>
    <x v="293"/>
    <n v="3147.15"/>
    <n v="4234.9950000000008"/>
    <n v="0.57368082041195356"/>
    <s v="Aug-2023"/>
    <m/>
    <s v="Europe. United Kingdom. London"/>
    <s v="Low"/>
    <x v="0"/>
  </r>
  <r>
    <s v="ORD-2025-487025"/>
    <d v="2025-04-11T00:00:00"/>
    <d v="2025-05-04T00:00:00"/>
    <s v="Asia"/>
    <x v="2"/>
    <s v="Osaka"/>
    <s v="Small Business"/>
    <s v="Online"/>
    <s v="M. Rossi"/>
    <x v="0"/>
    <x v="294"/>
    <n v="786.2"/>
    <n v="1075.3"/>
    <n v="0.08"/>
    <n v="9"/>
    <d v="2025-05-04T00:00:00"/>
    <s v="Ok"/>
    <n v="1075.3"/>
    <n v="23"/>
    <x v="294"/>
    <n v="7075.8"/>
    <n v="1827.6839999999984"/>
    <n v="0.20527739478163815"/>
    <s v="Apr-2025"/>
    <m/>
    <s v="Asia. Japan. Osaka"/>
    <s v="Low"/>
    <x v="1"/>
  </r>
  <r>
    <s v="ORD-2025-398335"/>
    <d v="2025-06-01T00:00:00"/>
    <d v="2025-06-27T00:00:00"/>
    <s v="Europe"/>
    <x v="6"/>
    <s v="Munich"/>
    <s v="Consumer"/>
    <s v="Distributor"/>
    <s v="E. Garcia"/>
    <x v="4"/>
    <x v="295"/>
    <n v="1362.31"/>
    <n v="3294.57"/>
    <n v="0.113"/>
    <n v="7"/>
    <d v="2025-06-27T00:00:00"/>
    <s v="Ok"/>
    <n v="3294.57"/>
    <n v="26"/>
    <x v="295"/>
    <n v="9536.17"/>
    <n v="10919.815130000001"/>
    <n v="0.5338200561157721"/>
    <s v="Jun-2025"/>
    <m/>
    <s v="Europe. Germany. Munich"/>
    <s v="High"/>
    <x v="0"/>
  </r>
  <r>
    <s v="ORD-2024-792137"/>
    <d v="2024-03-02T00:00:00"/>
    <d v="2024-03-16T00:00:00"/>
    <s v="Americas"/>
    <x v="3"/>
    <s v="Vancouver"/>
    <s v="Non-Profit"/>
    <s v="Direct"/>
    <s v="O. Wang"/>
    <x v="1"/>
    <x v="296"/>
    <n v="248.24"/>
    <n v="464.05"/>
    <n v="0.16900000000000001"/>
    <n v="11"/>
    <d v="2024-03-16T00:00:00"/>
    <s v="Ok"/>
    <n v="464.05"/>
    <n v="14"/>
    <x v="296"/>
    <n v="2730.6400000000003"/>
    <n v="1511.2410499999996"/>
    <n v="0.3562667203975462"/>
    <s v="Mar-2024"/>
    <m/>
    <s v="Americas. Canada. Vancouver"/>
    <s v="Low"/>
    <x v="0"/>
  </r>
  <r>
    <s v="ORD-2023-602648"/>
    <d v="2023-06-20T00:00:00"/>
    <d v="2023-07-08T00:00:00"/>
    <s v="Americas"/>
    <x v="10"/>
    <s v="Austin"/>
    <s v="Non-Profit"/>
    <s v="Direct"/>
    <s v="F. Müller"/>
    <x v="5"/>
    <x v="297"/>
    <n v="337"/>
    <n v="511.03"/>
    <n v="0.108"/>
    <n v="7"/>
    <d v="2023-07-08T00:00:00"/>
    <s v="Ok"/>
    <n v="511.03"/>
    <n v="18"/>
    <x v="297"/>
    <n v="2359"/>
    <n v="831.8713200000002"/>
    <n v="0.26070349963219458"/>
    <s v="Jun-2023"/>
    <m/>
    <s v="Americas. USA. Austin"/>
    <s v="Low"/>
    <x v="0"/>
  </r>
  <r>
    <s v="ORD-2024-207096"/>
    <d v="2024-03-26T00:00:00"/>
    <d v="2024-04-05T00:00:00"/>
    <s v="Americas"/>
    <x v="10"/>
    <s v="Austin"/>
    <s v="Consumer"/>
    <s v="Direct"/>
    <s v="J. Njeri"/>
    <x v="5"/>
    <x v="298"/>
    <n v="5.66"/>
    <n v="4.22"/>
    <n v="0.11899999999999999"/>
    <n v="18"/>
    <d v="2024-04-05T00:00:00"/>
    <s v="Ok"/>
    <n v="4.22"/>
    <n v="10"/>
    <x v="298"/>
    <n v="101.88"/>
    <n v="-34.959239999999994"/>
    <n v="-0.52239753403876454"/>
    <s v="Mar-2024"/>
    <m/>
    <s v="Americas. USA. Austin"/>
    <s v="Low"/>
    <x v="0"/>
  </r>
  <r>
    <s v="ORD-2025-939953"/>
    <d v="2025-01-22T00:00:00"/>
    <d v="2025-01-22T00:00:00"/>
    <s v="Europe"/>
    <x v="7"/>
    <s v="Lyon"/>
    <s v="Small Business"/>
    <s v="Online"/>
    <s v="B. Chen"/>
    <x v="6"/>
    <x v="299"/>
    <n v="591.72"/>
    <n v="577.24"/>
    <n v="0"/>
    <n v="22"/>
    <d v="2025-01-22T00:00:00"/>
    <s v="Ok"/>
    <n v="577.24"/>
    <n v="0"/>
    <x v="299"/>
    <n v="13017.84"/>
    <n v="-318.55999999999949"/>
    <n v="-2.5084886702238195E-2"/>
    <s v="Jan-2025"/>
    <m/>
    <s v="Europe. France. Lyon"/>
    <s v="Low"/>
    <x v="0"/>
  </r>
  <r>
    <s v="ORD-2025-191328"/>
    <d v="2025-05-10T00:00:00"/>
    <d v="2025-05-27T00:00:00"/>
    <s v="Americas"/>
    <x v="3"/>
    <s v="Vancouver"/>
    <s v="Education"/>
    <s v="Direct"/>
    <s v="C. Otieno"/>
    <x v="0"/>
    <x v="300"/>
    <n v="862.89"/>
    <n v="1426.03"/>
    <n v="5.6000000000000001E-2"/>
    <n v="19"/>
    <d v="2025-05-27T00:00:00"/>
    <s v="Ok"/>
    <n v="1426.03"/>
    <n v="17"/>
    <x v="300"/>
    <n v="16394.91"/>
    <n v="9182.3640799999994"/>
    <n v="0.35900479665188778"/>
    <s v="May-2025"/>
    <m/>
    <s v="Americas. Canada. Vancouver"/>
    <s v="High"/>
    <x v="0"/>
  </r>
  <r>
    <s v="ORD-2023-166668"/>
    <d v="2023-10-05T00:00:00"/>
    <d v="2023-10-31T00:00:00"/>
    <s v="Asia"/>
    <x v="9"/>
    <s v="Shanghai"/>
    <s v="Consumer"/>
    <s v="Unknown"/>
    <s v="J. Njeri"/>
    <x v="1"/>
    <x v="301"/>
    <n v="649.91"/>
    <n v="1360.12"/>
    <n v="0.19400000000000001"/>
    <n v="9"/>
    <d v="2023-10-31T00:00:00"/>
    <s v="Ok"/>
    <n v="1360.12"/>
    <n v="26"/>
    <x v="301"/>
    <n v="5849.19"/>
    <n v="4017.1204799999987"/>
    <n v="0.40715528749506769"/>
    <s v="Oct-2023"/>
    <m/>
    <s v="Asia. China. Shanghai"/>
    <s v="High"/>
    <x v="0"/>
  </r>
  <r>
    <s v="ORD-2023-594700"/>
    <d v="2023-07-18T00:00:00"/>
    <d v="2023-07-22T00:00:00"/>
    <s v="Americas"/>
    <x v="5"/>
    <s v="São Paulo"/>
    <s v="Consumer"/>
    <s v="Direct"/>
    <s v="F. Müller"/>
    <x v="2"/>
    <x v="302"/>
    <n v="1269.55"/>
    <n v="2071.1"/>
    <n v="0.129"/>
    <n v="22"/>
    <d v="2023-07-22T00:00:00"/>
    <s v="Ok"/>
    <n v="2071.1"/>
    <n v="4"/>
    <x v="302"/>
    <n v="27930.1"/>
    <n v="11756.318200000002"/>
    <n v="0.29623026549672354"/>
    <s v="Jul-2023"/>
    <m/>
    <s v="Americas. Brazil. São Paulo"/>
    <s v="High"/>
    <x v="0"/>
  </r>
  <r>
    <s v="ORD-2025-278048"/>
    <d v="2025-06-22T00:00:00"/>
    <d v="2025-07-08T00:00:00"/>
    <s v="Europe"/>
    <x v="8"/>
    <s v="London"/>
    <s v="Education"/>
    <s v="Direct"/>
    <s v="A. Patel"/>
    <x v="3"/>
    <x v="303"/>
    <n v="892.73"/>
    <n v="979.84"/>
    <n v="0.17399999999999999"/>
    <n v="10"/>
    <d v="2025-07-08T00:00:00"/>
    <s v="Ok"/>
    <n v="979.84"/>
    <n v="16"/>
    <x v="303"/>
    <n v="8927.2999999999993"/>
    <n v="-833.82159999999931"/>
    <n v="-0.10302388649112838"/>
    <s v="Jun-2025"/>
    <m/>
    <s v="Europe. United Kingdom. London"/>
    <s v="Low"/>
    <x v="0"/>
  </r>
  <r>
    <s v="ORD-2024-878493"/>
    <d v="2024-06-19T00:00:00"/>
    <d v="2024-06-20T00:00:00"/>
    <s v="Africa"/>
    <x v="0"/>
    <s v="Kisumu"/>
    <s v="Small Business"/>
    <s v="Direct"/>
    <s v="J. Njeri"/>
    <x v="4"/>
    <x v="304"/>
    <n v="231.63"/>
    <n v="537.39"/>
    <n v="0.08"/>
    <n v="12"/>
    <d v="2024-06-20T00:00:00"/>
    <s v="Ok"/>
    <n v="537.39"/>
    <n v="1"/>
    <x v="304"/>
    <n v="2779.56"/>
    <n v="3153.2256000000002"/>
    <n v="0.53149158129024587"/>
    <s v="Jun-2024"/>
    <m/>
    <s v="Africa. Kenya. Kisumu"/>
    <s v="Low"/>
    <x v="0"/>
  </r>
  <r>
    <s v="ORD-2025-138578"/>
    <d v="2025-04-09T00:00:00"/>
    <d v="2025-04-12T00:00:00"/>
    <s v="Europe"/>
    <x v="7"/>
    <s v="Lyon"/>
    <s v="Small Business"/>
    <s v="Distributor"/>
    <s v="H. Kim"/>
    <x v="5"/>
    <x v="305"/>
    <n v="86.68"/>
    <n v="213.32"/>
    <n v="3.7999999999999999E-2"/>
    <n v="8"/>
    <d v="2025-04-12T00:00:00"/>
    <s v="Ok"/>
    <n v="213.32"/>
    <n v="3"/>
    <x v="305"/>
    <n v="693.44"/>
    <n v="948.27071999999976"/>
    <n v="0.57761133459614611"/>
    <s v="Apr-2025"/>
    <m/>
    <s v="Europe. France. Lyon"/>
    <s v="Low"/>
    <x v="0"/>
  </r>
  <r>
    <s v="ORD-2025-944081"/>
    <d v="2025-03-25T00:00:00"/>
    <d v="2025-03-26T00:00:00"/>
    <s v="Africa"/>
    <x v="1"/>
    <s v="Lagos"/>
    <s v="Education"/>
    <s v="Distributor"/>
    <s v="G. Dubois"/>
    <x v="6"/>
    <x v="306"/>
    <n v="1450.43"/>
    <n v="1994.67"/>
    <n v="0.1"/>
    <n v="24"/>
    <d v="2025-03-26T00:00:00"/>
    <s v="Ok"/>
    <n v="1994.67"/>
    <n v="1"/>
    <x v="306"/>
    <n v="34810.32"/>
    <n v="8274.5520000000033"/>
    <n v="0.19205237513529116"/>
    <s v="Mar-2025"/>
    <m/>
    <s v="Africa. Nigeria. Lagos"/>
    <s v="High"/>
    <x v="0"/>
  </r>
  <r>
    <s v="ORD-2025-364852"/>
    <d v="2025-05-18T00:00:00"/>
    <d v="2025-06-09T00:00:00"/>
    <s v="Americas"/>
    <x v="10"/>
    <s v="New York"/>
    <s v="Consumer"/>
    <s v="Retail"/>
    <s v="H. Kim"/>
    <x v="2"/>
    <x v="307"/>
    <n v="382.96"/>
    <n v="552.84"/>
    <n v="0.17599999999999999"/>
    <n v="8"/>
    <d v="2025-06-09T00:00:00"/>
    <s v="Ok"/>
    <n v="552.84"/>
    <n v="22"/>
    <x v="307"/>
    <n v="3063.68"/>
    <n v="580.64128000000073"/>
    <n v="0.15932768693763483"/>
    <s v="May-2025"/>
    <m/>
    <s v="Americas. USA. New York"/>
    <s v="Low"/>
    <x v="0"/>
  </r>
  <r>
    <s v="ORD-2025-415018"/>
    <d v="2025-01-22T00:00:00"/>
    <d v="2025-02-04T00:00:00"/>
    <s v="Asia"/>
    <x v="2"/>
    <s v="Tokyo"/>
    <s v="Small Business"/>
    <s v="Distributor"/>
    <s v="L. Okafor"/>
    <x v="1"/>
    <x v="308"/>
    <n v="122.29"/>
    <n v="224.95"/>
    <n v="0.153"/>
    <n v="28"/>
    <d v="2025-02-04T00:00:00"/>
    <s v="Ok"/>
    <n v="224.95"/>
    <n v="13"/>
    <x v="308"/>
    <n v="3424.1200000000003"/>
    <n v="1910.7941999999989"/>
    <n v="0.3581677471026618"/>
    <s v="Jan-2025"/>
    <m/>
    <s v="Asia. Japan. Tokyo"/>
    <s v="Low"/>
    <x v="1"/>
  </r>
  <r>
    <s v="ORD-2023-884192"/>
    <d v="2023-01-10T00:00:00"/>
    <d v="2023-01-29T00:00:00"/>
    <s v="Europe"/>
    <x v="7"/>
    <s v="Lyon"/>
    <s v="Non-Profit"/>
    <s v="Direct"/>
    <s v="D. Smith"/>
    <x v="4"/>
    <x v="309"/>
    <n v="401.66"/>
    <n v="772.09"/>
    <n v="8.8999999999999996E-2"/>
    <n v="14"/>
    <d v="2023-01-29T00:00:00"/>
    <s v="Ok"/>
    <n v="772.09"/>
    <n v="19"/>
    <x v="309"/>
    <n v="5623.2400000000007"/>
    <n v="4223.99586"/>
    <n v="0.42895244107619046"/>
    <s v="Jan-2023"/>
    <m/>
    <s v="Europe. France. Lyon"/>
    <s v="Low"/>
    <x v="0"/>
  </r>
  <r>
    <s v="ORD-2024-165942"/>
    <d v="2024-12-29T00:00:00"/>
    <d v="2025-01-12T00:00:00"/>
    <s v="Europe"/>
    <x v="8"/>
    <s v="Manchester"/>
    <s v="Corporate"/>
    <s v="Direct"/>
    <s v="B. Chen"/>
    <x v="5"/>
    <x v="310"/>
    <n v="1399.72"/>
    <n v="3149.21"/>
    <n v="0.185"/>
    <n v="12"/>
    <d v="2025-01-12T00:00:00"/>
    <s v="Ok"/>
    <n v="3149.21"/>
    <n v="14"/>
    <x v="310"/>
    <n v="16796.64"/>
    <n v="14002.633800000003"/>
    <n v="0.45464168703873797"/>
    <s v="Dec-2024"/>
    <m/>
    <s v="Europe. United Kingdom. Manchester"/>
    <s v="High"/>
    <x v="0"/>
  </r>
  <r>
    <s v="ORD-2024-403664"/>
    <d v="2024-05-23T00:00:00"/>
    <d v="2024-06-06T00:00:00"/>
    <s v="Americas"/>
    <x v="5"/>
    <s v="Rio de Janeiro"/>
    <s v="Non-Profit"/>
    <s v="Online"/>
    <s v="I. Johnson"/>
    <x v="2"/>
    <x v="311"/>
    <n v="51.13"/>
    <n v="57.53"/>
    <n v="4.4999999999999998E-2"/>
    <n v="16"/>
    <d v="2024-06-06T00:00:00"/>
    <s v="Ok"/>
    <n v="57.53"/>
    <n v="14"/>
    <x v="311"/>
    <n v="818.08"/>
    <n v="60.978399999999965"/>
    <n v="6.9367859973808302E-2"/>
    <s v="May-2024"/>
    <m/>
    <s v="Americas. Brazil. Rio de Janeiro"/>
    <s v="Low"/>
    <x v="0"/>
  </r>
  <r>
    <s v="ORD-2023-890605"/>
    <d v="2023-06-24T00:00:00"/>
    <d v="2023-06-22T00:00:00"/>
    <s v="Americas"/>
    <x v="3"/>
    <s v="Toronto"/>
    <s v="Non-Profit"/>
    <s v="Retail"/>
    <s v="M. Rossi"/>
    <x v="6"/>
    <x v="312"/>
    <n v="471.42"/>
    <n v="824.81"/>
    <n v="8.7999999999999995E-2"/>
    <n v="15"/>
    <d v="2023-07-01T00:00:00"/>
    <s v="Ok"/>
    <n v="824.81"/>
    <n v="7"/>
    <x v="312"/>
    <n v="7071.3"/>
    <n v="4212.1007999999993"/>
    <n v="0.37330064531608231"/>
    <s v="Jun-2023"/>
    <m/>
    <s v="Americas. Canada. Toronto"/>
    <s v="Low"/>
    <x v="0"/>
  </r>
  <r>
    <s v="ORD-2024-925626"/>
    <d v="2024-11-04T00:00:00"/>
    <d v="2024-11-05T00:00:00"/>
    <s v="Europe"/>
    <x v="8"/>
    <s v="London"/>
    <s v="Corporate"/>
    <s v="Retail"/>
    <s v="M. Rossi"/>
    <x v="1"/>
    <x v="313"/>
    <n v="840.68"/>
    <n v="1493.53"/>
    <n v="0"/>
    <n v="27"/>
    <d v="2024-11-05T00:00:00"/>
    <s v="Ok"/>
    <n v="1493.53"/>
    <n v="1"/>
    <x v="313"/>
    <n v="22698.359999999997"/>
    <n v="17626.95"/>
    <n v="0.43711877230454027"/>
    <s v="Nov-2024"/>
    <m/>
    <s v="Europe. United Kingdom. London"/>
    <s v="High"/>
    <x v="0"/>
  </r>
  <r>
    <s v="ORD-2024-427031"/>
    <d v="2024-06-08T00:00:00"/>
    <d v="2024-06-24T00:00:00"/>
    <s v="Africa"/>
    <x v="11"/>
    <s v="Durban"/>
    <s v="Education"/>
    <s v="Distributor"/>
    <s v="H. Kim"/>
    <x v="5"/>
    <x v="314"/>
    <n v="597.85"/>
    <n v="741.92"/>
    <n v="3.1E-2"/>
    <n v="7"/>
    <d v="2024-06-24T00:00:00"/>
    <s v="Ok"/>
    <n v="741.92"/>
    <n v="16"/>
    <x v="314"/>
    <n v="4184.95"/>
    <n v="847.49335999999948"/>
    <n v="0.16840594108544515"/>
    <s v="Jun-2024"/>
    <m/>
    <s v="Africa. South Africa. Durban"/>
    <s v="Low"/>
    <x v="0"/>
  </r>
  <r>
    <s v="ORD-2025-231184"/>
    <d v="2025-06-01T00:00:00"/>
    <d v="2025-06-06T00:00:00"/>
    <s v="Europe"/>
    <x v="7"/>
    <s v="Paris"/>
    <s v="Consumer"/>
    <s v="Distributor"/>
    <s v="G. Dubois"/>
    <x v="0"/>
    <x v="315"/>
    <n v="379.45"/>
    <n v="742.23"/>
    <n v="0.09"/>
    <n v="13"/>
    <d v="2025-06-06T00:00:00"/>
    <s v="Ok"/>
    <n v="742.23"/>
    <n v="5"/>
    <x v="315"/>
    <n v="4932.8499999999995"/>
    <n v="3847.7309000000014"/>
    <n v="0.43820915083192286"/>
    <s v="Jun-2025"/>
    <m/>
    <s v="Europe. France. Paris"/>
    <s v="Low"/>
    <x v="0"/>
  </r>
  <r>
    <s v="ORD-2023-363031"/>
    <d v="2023-05-06T00:00:00"/>
    <d v="2023-05-14T00:00:00"/>
    <s v="Asia"/>
    <x v="2"/>
    <s v="Osaka"/>
    <s v="Enterprise"/>
    <s v="Marketplace"/>
    <s v="B. Chen"/>
    <x v="3"/>
    <x v="316"/>
    <n v="291.18"/>
    <n v="479.54"/>
    <n v="0.14099999999999999"/>
    <n v="22"/>
    <d v="2023-05-14T00:00:00"/>
    <s v="Ok"/>
    <n v="479.54"/>
    <n v="8"/>
    <x v="316"/>
    <n v="6405.96"/>
    <n v="2656.3869199999999"/>
    <n v="0.29312350801066001"/>
    <s v="May-2023"/>
    <m/>
    <s v="Asia. Japan. Osaka"/>
    <s v="Low"/>
    <x v="1"/>
  </r>
  <r>
    <s v="ORD-2023-619570"/>
    <d v="2023-11-14T00:00:00"/>
    <d v="2023-11-30T00:00:00"/>
    <s v="Americas"/>
    <x v="5"/>
    <s v="São Paulo"/>
    <s v="Enterprise"/>
    <s v="Direct"/>
    <s v="K. Singh"/>
    <x v="2"/>
    <x v="317"/>
    <n v="1017.92"/>
    <n v="1175.25"/>
    <n v="7.4999999999999997E-2"/>
    <n v="15"/>
    <d v="2023-11-30T00:00:00"/>
    <s v="Ok"/>
    <n v="1175.25"/>
    <n v="16"/>
    <x v="317"/>
    <n v="15268.8"/>
    <n v="1037.7937500000007"/>
    <n v="6.3642583234159542E-2"/>
    <s v="Nov-2023"/>
    <m/>
    <s v="Americas. Brazil. São Paulo"/>
    <s v="Low"/>
    <x v="0"/>
  </r>
  <r>
    <s v="ORD-2025-861401"/>
    <d v="2025-04-01T00:00:00"/>
    <d v="2025-04-27T00:00:00"/>
    <s v="Americas"/>
    <x v="10"/>
    <s v="San Francisco"/>
    <s v="Corporate"/>
    <s v="Direct"/>
    <s v="I. Johnson"/>
    <x v="5"/>
    <x v="318"/>
    <n v="156.55000000000001"/>
    <n v="227.45"/>
    <n v="1.4E-2"/>
    <n v="13"/>
    <d v="2025-04-27T00:00:00"/>
    <s v="Ok"/>
    <n v="227.45"/>
    <n v="26"/>
    <x v="318"/>
    <n v="2035.15"/>
    <n v="880.30409999999983"/>
    <n v="0.3019440779396938"/>
    <s v="Apr-2025"/>
    <m/>
    <s v="Americas. USA. San Francisco"/>
    <s v="Low"/>
    <x v="0"/>
  </r>
  <r>
    <s v="ORD-2023-835010"/>
    <d v="2023-03-23T00:00:00"/>
    <d v="2023-04-15T00:00:00"/>
    <s v="Africa"/>
    <x v="0"/>
    <s v="Mombasa"/>
    <s v="Small Business"/>
    <s v="Retail"/>
    <s v="C. Otieno"/>
    <x v="6"/>
    <x v="319"/>
    <n v="875.36"/>
    <n v="1178.6199999999999"/>
    <n v="0.151"/>
    <n v="53"/>
    <d v="2023-04-15T00:00:00"/>
    <s v="Ok"/>
    <n v="1178.6199999999999"/>
    <n v="23"/>
    <x v="319"/>
    <n v="46394.080000000002"/>
    <n v="6640.2841399999888"/>
    <n v="0.12520719815685888"/>
    <s v="Mar-2023"/>
    <m/>
    <s v="Africa. Kenya. Mombasa"/>
    <s v="Low"/>
    <x v="0"/>
  </r>
  <r>
    <s v="ORD-2024-819979"/>
    <d v="2024-05-28T00:00:00"/>
    <d v="2024-06-18T00:00:00"/>
    <s v="Europe"/>
    <x v="6"/>
    <s v="Frankfurt"/>
    <s v="Small Business"/>
    <s v="Online"/>
    <s v="E. Garcia"/>
    <x v="3"/>
    <x v="320"/>
    <n v="986.85"/>
    <n v="2422.1"/>
    <n v="7.5999999999999998E-2"/>
    <n v="10"/>
    <d v="2024-06-18T00:00:00"/>
    <s v="Ok"/>
    <n v="2422.1"/>
    <n v="21"/>
    <x v="320"/>
    <n v="9868.5"/>
    <n v="12511.704000000002"/>
    <n v="0.55905227673527913"/>
    <s v="May-2024"/>
    <m/>
    <s v="Europe. Germany. Frankfurt"/>
    <s v="High"/>
    <x v="0"/>
  </r>
  <r>
    <s v="ORD-2024-719055"/>
    <d v="2024-01-02T00:00:00"/>
    <d v="2024-01-01T00:00:00"/>
    <s v="Americas"/>
    <x v="10"/>
    <s v="Chicago"/>
    <s v="Education"/>
    <s v="Marketplace"/>
    <s v="B. Chen"/>
    <x v="2"/>
    <x v="321"/>
    <n v="404.77"/>
    <n v="433.88"/>
    <n v="0.215"/>
    <n v="22"/>
    <d v="2024-01-09T00:00:00"/>
    <s v="Ok"/>
    <n v="433.88"/>
    <n v="7"/>
    <x v="321"/>
    <n v="8904.9399999999987"/>
    <n v="-1411.8323999999975"/>
    <n v="-0.18841747314558746"/>
    <s v="Jan-2024"/>
    <m/>
    <s v="Americas. USA. Chicago"/>
    <s v="Low"/>
    <x v="0"/>
  </r>
  <r>
    <s v="ORD-2023-888245"/>
    <d v="2023-02-28T00:00:00"/>
    <d v="2023-02-27T00:00:00"/>
    <s v="Europe"/>
    <x v="7"/>
    <s v="Marseille"/>
    <s v="Corporate"/>
    <s v="Retail"/>
    <s v="K. Singh"/>
    <x v="2"/>
    <x v="322"/>
    <n v="1299.81"/>
    <n v="3149.13"/>
    <n v="0.10299999999999999"/>
    <n v="14"/>
    <d v="2023-03-07T00:00:00"/>
    <s v="Ok"/>
    <n v="3149.13"/>
    <n v="7"/>
    <x v="322"/>
    <n v="18197.34"/>
    <n v="21349.434539999998"/>
    <n v="0.53985273864511729"/>
    <s v="Feb-2023"/>
    <m/>
    <s v="Europe. France. Marseille"/>
    <s v="High"/>
    <x v="0"/>
  </r>
  <r>
    <s v="ORD-2024-206121"/>
    <d v="2024-02-18T00:00:00"/>
    <d v="2024-03-11T00:00:00"/>
    <s v="Americas"/>
    <x v="5"/>
    <s v="São Paulo"/>
    <s v="Consumer"/>
    <s v="Online"/>
    <s v="A. Patel"/>
    <x v="0"/>
    <x v="323"/>
    <n v="80.48"/>
    <n v="65.650000000000006"/>
    <n v="0.17599999999999999"/>
    <n v="13"/>
    <d v="2024-03-11T00:00:00"/>
    <s v="Ok"/>
    <n v="65.650000000000006"/>
    <n v="22"/>
    <x v="323"/>
    <n v="1046.24"/>
    <n v="-342.99719999999991"/>
    <n v="-0.48773652570634191"/>
    <s v="Feb-2024"/>
    <m/>
    <s v="Americas. Brazil. São Paulo"/>
    <s v="Low"/>
    <x v="0"/>
  </r>
  <r>
    <s v="ORD-2024-500890"/>
    <d v="2024-09-09T00:00:00"/>
    <d v="2024-10-08T00:00:00"/>
    <s v="Americas"/>
    <x v="5"/>
    <s v="São Paulo"/>
    <s v="Education"/>
    <s v="Direct"/>
    <s v="J. Njeri"/>
    <x v="0"/>
    <x v="324"/>
    <n v="1010.33"/>
    <n v="2492.14"/>
    <n v="5.0999999999999997E-2"/>
    <n v="11"/>
    <d v="2024-10-08T00:00:00"/>
    <s v="Ok"/>
    <n v="2492.14"/>
    <n v="29"/>
    <x v="324"/>
    <n v="11113.630000000001"/>
    <n v="14901.819459999995"/>
    <n v="0.57280653493656752"/>
    <s v="Sep-2024"/>
    <m/>
    <s v="Americas. Brazil. São Paulo"/>
    <s v="High"/>
    <x v="0"/>
  </r>
  <r>
    <s v="ORD-2023-144816"/>
    <d v="2023-05-07T00:00:00"/>
    <d v="2023-05-29T00:00:00"/>
    <s v="Africa"/>
    <x v="11"/>
    <s v="Durban"/>
    <s v="Education"/>
    <s v="Distributor"/>
    <s v="K. Singh"/>
    <x v="6"/>
    <x v="325"/>
    <n v="653.86"/>
    <n v="931.84"/>
    <n v="0.121"/>
    <n v="12"/>
    <d v="2023-05-29T00:00:00"/>
    <s v="Ok"/>
    <n v="931.84"/>
    <n v="22"/>
    <x v="325"/>
    <n v="7846.32"/>
    <n v="1982.7283200000002"/>
    <n v="0.20172129136506273"/>
    <s v="May-2023"/>
    <m/>
    <s v="Africa. South Africa. Durban"/>
    <s v="Low"/>
    <x v="0"/>
  </r>
  <r>
    <s v="ORD-2024-153053"/>
    <d v="2024-01-12T00:00:00"/>
    <d v="2024-01-29T00:00:00"/>
    <s v="Asia"/>
    <x v="4"/>
    <s v="Hyderabad"/>
    <s v="Small Business"/>
    <s v="Direct"/>
    <s v="B. Chen"/>
    <x v="0"/>
    <x v="326"/>
    <n v="310.02"/>
    <n v="619.51"/>
    <n v="4.2000000000000003E-2"/>
    <n v="4"/>
    <d v="2024-01-29T00:00:00"/>
    <s v="Ok"/>
    <n v="619.51"/>
    <n v="17"/>
    <x v="326"/>
    <n v="1240.08"/>
    <n v="1133.8823200000002"/>
    <n v="0.47763282106347843"/>
    <s v="Jan-2024"/>
    <m/>
    <s v="Asia. India. Hyderabad"/>
    <s v="Low"/>
    <x v="0"/>
  </r>
  <r>
    <s v="ORD-2023-536542"/>
    <d v="2023-06-10T00:00:00"/>
    <d v="2023-06-18T00:00:00"/>
    <s v="Africa"/>
    <x v="0"/>
    <s v="Nakuru"/>
    <s v="Enterprise"/>
    <s v="Direct"/>
    <s v="H. Kim"/>
    <x v="3"/>
    <x v="327"/>
    <n v="894.23"/>
    <n v="1421.55"/>
    <n v="0.109"/>
    <n v="3"/>
    <d v="2023-06-18T00:00:00"/>
    <s v="Ok"/>
    <n v="1421.55"/>
    <n v="8"/>
    <x v="327"/>
    <n v="2682.69"/>
    <n v="1117.1131499999997"/>
    <n v="0.29399237431549574"/>
    <s v="Jun-2023"/>
    <m/>
    <s v="Africa. Kenya. Nakuru"/>
    <s v="High"/>
    <x v="0"/>
  </r>
  <r>
    <s v="ORD-2025-779530"/>
    <d v="2025-05-19T00:00:00"/>
    <d v="2025-05-17T00:00:00"/>
    <s v="Americas"/>
    <x v="5"/>
    <s v="São Paulo"/>
    <s v="Small Business"/>
    <s v="Distributor"/>
    <s v="L. Okafor"/>
    <x v="5"/>
    <x v="328"/>
    <n v="383.77"/>
    <n v="952.56"/>
    <n v="0.34599999999999997"/>
    <n v="10"/>
    <d v="2025-05-26T00:00:00"/>
    <s v="Ok"/>
    <n v="952.56"/>
    <n v="7"/>
    <x v="328"/>
    <n v="3837.7"/>
    <n v="2392.0423999999994"/>
    <n v="0.38397131797937578"/>
    <s v="May-2025"/>
    <m/>
    <s v="Americas. Brazil. São Paulo"/>
    <s v="Low"/>
    <x v="0"/>
  </r>
  <r>
    <s v="ORD-2023-163610"/>
    <d v="2023-10-22T00:00:00"/>
    <d v="2023-11-16T00:00:00"/>
    <s v="Americas"/>
    <x v="3"/>
    <s v="Toronto"/>
    <s v="Small Business"/>
    <s v="Marketplace"/>
    <s v="I. Johnson"/>
    <x v="4"/>
    <x v="329"/>
    <n v="1373.31"/>
    <n v="3154.14"/>
    <n v="0.2"/>
    <n v="11"/>
    <d v="2023-11-16T00:00:00"/>
    <s v="Ok"/>
    <n v="3154.14"/>
    <n v="25"/>
    <x v="329"/>
    <n v="15106.41"/>
    <n v="12650.022000000001"/>
    <n v="0.45575101295440279"/>
    <s v="Oct-2023"/>
    <m/>
    <s v="Americas. Canada. Toronto"/>
    <s v="High"/>
    <x v="0"/>
  </r>
  <r>
    <s v="ORD-2025-653781"/>
    <d v="2025-01-11T00:00:00"/>
    <d v="2025-01-23T00:00:00"/>
    <s v="Americas"/>
    <x v="10"/>
    <s v="Austin"/>
    <s v="Consumer"/>
    <s v="Distributor"/>
    <s v="H. Kim"/>
    <x v="3"/>
    <x v="330"/>
    <n v="100.69"/>
    <n v="226.14"/>
    <n v="6.5000000000000002E-2"/>
    <n v="12"/>
    <d v="2025-01-23T00:00:00"/>
    <s v="Ok"/>
    <n v="226.14"/>
    <n v="12"/>
    <x v="330"/>
    <n v="1208.28"/>
    <n v="1329.0108000000002"/>
    <n v="0.52379128162999689"/>
    <s v="Jan-2025"/>
    <m/>
    <s v="Americas. USA. Austin"/>
    <s v="Low"/>
    <x v="0"/>
  </r>
  <r>
    <s v="ORD-2025-737787"/>
    <d v="2025-09-14T00:00:00"/>
    <d v="2025-09-26T00:00:00"/>
    <s v="Europe"/>
    <x v="8"/>
    <s v="London"/>
    <s v="Small Business"/>
    <s v="Direct"/>
    <s v="N. Brown"/>
    <x v="2"/>
    <x v="331"/>
    <n v="425.15"/>
    <n v="885.92"/>
    <n v="0.23899999999999999"/>
    <n v="13"/>
    <d v="2025-09-26T00:00:00"/>
    <s v="Ok"/>
    <n v="885.92"/>
    <n v="12"/>
    <x v="331"/>
    <n v="5526.95"/>
    <n v="3237.4565599999996"/>
    <n v="0.3693868532725848"/>
    <s v="Sep-2025"/>
    <m/>
    <s v="Europe. United Kingdom. London"/>
    <s v="Low"/>
    <x v="0"/>
  </r>
  <r>
    <s v="ORD-2023-944052"/>
    <d v="2023-08-30T00:00:00"/>
    <d v="2023-09-03T00:00:00"/>
    <s v="Asia"/>
    <x v="4"/>
    <s v="Delhi"/>
    <s v="Small Business"/>
    <s v="Marketplace"/>
    <s v="L. Okafor"/>
    <x v="6"/>
    <x v="332"/>
    <n v="1082.25"/>
    <n v="2433.34"/>
    <n v="0.27"/>
    <n v="4"/>
    <d v="2023-09-03T00:00:00"/>
    <s v="Ok"/>
    <n v="2433.34"/>
    <n v="4"/>
    <x v="332"/>
    <n v="4329"/>
    <n v="2776.3528000000006"/>
    <n v="0.3907410199251472"/>
    <s v="Aug-2023"/>
    <m/>
    <s v="Asia. India. Delhi"/>
    <s v="High"/>
    <x v="0"/>
  </r>
  <r>
    <s v="ORD-2023-181257"/>
    <d v="2023-11-15T00:00:00"/>
    <d v="2023-12-06T00:00:00"/>
    <s v="Europe"/>
    <x v="8"/>
    <s v="Manchester"/>
    <s v="Education"/>
    <s v="Direct"/>
    <s v="H. Kim"/>
    <x v="6"/>
    <x v="333"/>
    <n v="1184.99"/>
    <n v="1154.3399999999999"/>
    <n v="2.8000000000000001E-2"/>
    <n v="5"/>
    <d v="2023-12-06T00:00:00"/>
    <s v="Ok"/>
    <n v="1154.3399999999999"/>
    <n v="21"/>
    <x v="333"/>
    <n v="5924.95"/>
    <n v="-314.85760000000028"/>
    <n v="-5.6123424990290764E-2"/>
    <s v="Nov-2023"/>
    <m/>
    <s v="Europe. United Kingdom. Manchester"/>
    <s v="Low"/>
    <x v="0"/>
  </r>
  <r>
    <s v="ORD-2025-323492"/>
    <d v="2025-04-27T00:00:00"/>
    <d v="2025-05-27T00:00:00"/>
    <s v="Asia"/>
    <x v="4"/>
    <s v="Unknown"/>
    <s v="Enterprise"/>
    <s v="Marketplace"/>
    <s v="H. Kim"/>
    <x v="3"/>
    <x v="334"/>
    <n v="481.32"/>
    <n v="1135.99"/>
    <n v="0.14499999999999999"/>
    <n v="5"/>
    <d v="2025-05-27T00:00:00"/>
    <s v="Ok"/>
    <n v="1135.99"/>
    <n v="30"/>
    <x v="334"/>
    <n v="2406.6"/>
    <n v="2449.7572500000001"/>
    <n v="0.50444337677175621"/>
    <s v="Apr-2025"/>
    <m/>
    <s v="Asia. India. Unknown"/>
    <s v="Low"/>
    <x v="0"/>
  </r>
  <r>
    <s v="ORD-2024-332076"/>
    <d v="2024-04-09T00:00:00"/>
    <d v="2024-04-18T00:00:00"/>
    <s v="Europe"/>
    <x v="7"/>
    <s v="Lyon"/>
    <s v="Consumer"/>
    <s v="Online"/>
    <s v="E. Garcia"/>
    <x v="1"/>
    <x v="335"/>
    <n v="1288.8499999999999"/>
    <n v="2751.84"/>
    <n v="0.158"/>
    <n v="7"/>
    <d v="2024-04-18T00:00:00"/>
    <s v="Ok"/>
    <n v="2751.84"/>
    <n v="9"/>
    <x v="335"/>
    <n v="9021.9499999999989"/>
    <n v="7197.3949600000014"/>
    <n v="0.44375373837538756"/>
    <s v="Apr-2024"/>
    <m/>
    <s v="Europe. France. Lyon"/>
    <s v="High"/>
    <x v="0"/>
  </r>
  <r>
    <s v="ORD-2024-571797"/>
    <d v="2024-07-11T00:00:00"/>
    <d v="2024-07-31T00:00:00"/>
    <s v="Asia"/>
    <x v="9"/>
    <s v="Shenzhen"/>
    <s v="Consumer"/>
    <s v="Online"/>
    <s v="G. Dubois"/>
    <x v="3"/>
    <x v="336"/>
    <n v="647.26"/>
    <n v="1374.72"/>
    <n v="6.6000000000000003E-2"/>
    <n v="22"/>
    <d v="2024-07-31T00:00:00"/>
    <s v="Ok"/>
    <n v="1374.72"/>
    <n v="20"/>
    <x v="336"/>
    <n v="14239.72"/>
    <n v="14008.02656"/>
    <n v="0.49589890401508901"/>
    <s v="Jul-2024"/>
    <m/>
    <s v="Asia. China. Shenzhen"/>
    <s v="High"/>
    <x v="0"/>
  </r>
  <r>
    <s v="ORD-2024-129345"/>
    <d v="2024-02-18T00:00:00"/>
    <d v="2024-03-03T00:00:00"/>
    <s v="Americas"/>
    <x v="5"/>
    <s v="Unknown"/>
    <s v="Enterprise"/>
    <s v="Distributor"/>
    <s v="A. Patel"/>
    <x v="1"/>
    <x v="337"/>
    <n v="624.23"/>
    <n v="1318.37"/>
    <n v="0.21"/>
    <n v="37"/>
    <d v="2024-03-03T00:00:00"/>
    <s v="Ok"/>
    <n v="1318.37"/>
    <n v="14"/>
    <x v="337"/>
    <n v="23096.510000000002"/>
    <n v="15439.445099999997"/>
    <n v="0.40065038118128793"/>
    <s v="Feb-2024"/>
    <m/>
    <s v="Americas. Brazil. Unknown"/>
    <s v="High"/>
    <x v="0"/>
  </r>
  <r>
    <s v="ORD-2023-660608"/>
    <d v="2023-07-25T00:00:00"/>
    <d v="2023-08-10T00:00:00"/>
    <s v="Africa"/>
    <x v="1"/>
    <s v="Port Harcourt"/>
    <s v="Corporate"/>
    <s v="Distributor"/>
    <s v="I. Johnson"/>
    <x v="6"/>
    <x v="338"/>
    <n v="506.83"/>
    <n v="441.74"/>
    <n v="0.24"/>
    <n v="9"/>
    <d v="2023-08-10T00:00:00"/>
    <s v="Ok"/>
    <n v="441.74"/>
    <n v="16"/>
    <x v="338"/>
    <n v="4561.47"/>
    <n v="-1539.9684000000002"/>
    <n v="-0.50966989393618067"/>
    <s v="Jul-2023"/>
    <m/>
    <s v="Africa. Nigeria. Port Harcourt"/>
    <s v="Low"/>
    <x v="0"/>
  </r>
  <r>
    <s v="ORD-2023-825084"/>
    <d v="2023-07-14T00:00:00"/>
    <d v="2023-07-21T00:00:00"/>
    <s v="Africa"/>
    <x v="11"/>
    <s v="Durban"/>
    <s v="Enterprise"/>
    <s v="Marketplace"/>
    <s v="Unknown"/>
    <x v="5"/>
    <x v="339"/>
    <n v="620.74"/>
    <n v="1330.07"/>
    <n v="0.29899999999999999"/>
    <n v="28"/>
    <d v="2023-07-21T00:00:00"/>
    <s v="Ok"/>
    <n v="1330.07"/>
    <n v="7"/>
    <x v="339"/>
    <n v="17380.72"/>
    <n v="8725.8939600000012"/>
    <n v="0.33424073965967516"/>
    <s v="Jul-2023"/>
    <m/>
    <s v="Africa. South Africa. Durban"/>
    <s v="High"/>
    <x v="0"/>
  </r>
  <r>
    <s v="ORD-2023-261081"/>
    <d v="2023-07-24T00:00:00"/>
    <d v="2023-08-19T00:00:00"/>
    <s v="Africa"/>
    <x v="0"/>
    <s v="Nairobi"/>
    <s v="Enterprise"/>
    <s v="Distributor"/>
    <s v="M. Rossi"/>
    <x v="6"/>
    <x v="340"/>
    <n v="661.45"/>
    <n v="1634.86"/>
    <n v="0.56499999999999995"/>
    <n v="24"/>
    <d v="2023-08-19T00:00:00"/>
    <s v="Ok"/>
    <n v="1634.86"/>
    <n v="26"/>
    <x v="340"/>
    <n v="15874.800000000001"/>
    <n v="1193.1384000000016"/>
    <n v="6.9905244092045793E-2"/>
    <s v="Jul-2023"/>
    <m/>
    <s v="Africa. Kenya. Nairobi"/>
    <s v="High"/>
    <x v="0"/>
  </r>
  <r>
    <s v="ORD-2023-766015"/>
    <d v="2023-04-13T00:00:00"/>
    <d v="2023-04-11T00:00:00"/>
    <s v="Americas"/>
    <x v="10"/>
    <s v="San Francisco"/>
    <s v="Education"/>
    <s v="Marketplace"/>
    <s v="G. Dubois"/>
    <x v="2"/>
    <x v="341"/>
    <n v="32.1"/>
    <n v="70.599999999999994"/>
    <n v="0.28199999999999997"/>
    <n v="22"/>
    <d v="2023-04-20T00:00:00"/>
    <s v="Ok"/>
    <n v="70.599999999999994"/>
    <n v="7"/>
    <x v="341"/>
    <n v="706.2"/>
    <n v="408.99759999999969"/>
    <n v="0.36674899587301818"/>
    <s v="Apr-2023"/>
    <m/>
    <s v="Americas. USA. San Francisco"/>
    <s v="Low"/>
    <x v="0"/>
  </r>
  <r>
    <s v="ORD-2024-333192"/>
    <d v="2024-10-29T00:00:00"/>
    <d v="2024-11-04T00:00:00"/>
    <s v="Africa"/>
    <x v="0"/>
    <s v="Nairobi"/>
    <s v="Corporate"/>
    <s v="Distributor"/>
    <s v="M. Rossi"/>
    <x v="1"/>
    <x v="342"/>
    <n v="805.81"/>
    <n v="1823.04"/>
    <n v="0"/>
    <n v="11"/>
    <d v="2024-11-04T00:00:00"/>
    <s v="Ok"/>
    <n v="1823.04"/>
    <n v="6"/>
    <x v="342"/>
    <n v="8863.91"/>
    <n v="11189.529999999999"/>
    <n v="0.55798556257679477"/>
    <s v="Oct-2024"/>
    <m/>
    <s v="Africa. Kenya. Nairobi"/>
    <s v="High"/>
    <x v="0"/>
  </r>
  <r>
    <s v="ORD-2024-647473"/>
    <d v="2024-02-17T00:00:00"/>
    <d v="2024-03-04T00:00:00"/>
    <s v="Asia"/>
    <x v="4"/>
    <s v="Delhi"/>
    <s v="Small Business"/>
    <s v="Marketplace"/>
    <s v="F. Müller"/>
    <x v="3"/>
    <x v="343"/>
    <n v="1231.8"/>
    <n v="2015.99"/>
    <n v="0.26100000000000001"/>
    <n v="6"/>
    <d v="2024-03-04T00:00:00"/>
    <s v="Ok"/>
    <n v="2015.99"/>
    <n v="16"/>
    <x v="343"/>
    <n v="7390.7999999999993"/>
    <n v="1548.0996600000017"/>
    <n v="0.17318682599464391"/>
    <s v="Feb-2024"/>
    <m/>
    <s v="Asia. India. Delhi"/>
    <s v="High"/>
    <x v="0"/>
  </r>
  <r>
    <s v="ORD-2024-892908"/>
    <d v="2024-07-13T00:00:00"/>
    <d v="2024-07-12T00:00:00"/>
    <s v="Asia"/>
    <x v="2"/>
    <s v="Nagoya"/>
    <s v="Small Business"/>
    <s v="Marketplace"/>
    <s v="F. Müller"/>
    <x v="2"/>
    <x v="344"/>
    <n v="105.13"/>
    <n v="244.13"/>
    <n v="7.0999999999999994E-2"/>
    <n v="14"/>
    <d v="2024-07-20T00:00:00"/>
    <s v="Ok"/>
    <n v="244.13"/>
    <n v="7"/>
    <x v="344"/>
    <n v="1471.82"/>
    <n v="1703.3347799999999"/>
    <n v="0.53645724319618837"/>
    <s v="Jul-2024"/>
    <m/>
    <s v="Asia. Japan. Nagoya"/>
    <s v="Low"/>
    <x v="1"/>
  </r>
  <r>
    <s v="ORD-2023-573146"/>
    <d v="2023-12-01T00:00:00"/>
    <d v="2023-12-18T00:00:00"/>
    <s v="Asia"/>
    <x v="2"/>
    <s v="Nagoya"/>
    <s v="Small Business"/>
    <s v="Direct"/>
    <s v="N. Brown"/>
    <x v="4"/>
    <x v="345"/>
    <n v="1495.79"/>
    <n v="2783.12"/>
    <n v="0.02"/>
    <n v="5"/>
    <d v="2023-12-18T00:00:00"/>
    <s v="Ok"/>
    <n v="2783.12"/>
    <n v="17"/>
    <x v="345"/>
    <n v="7478.95"/>
    <n v="6158.3379999999988"/>
    <n v="0.45158084217331185"/>
    <s v="Dec-2023"/>
    <m/>
    <s v="Asia. Japan. Nagoya"/>
    <s v="High"/>
    <x v="1"/>
  </r>
  <r>
    <s v="ORD-2024-901115"/>
    <d v="2024-07-25T00:00:00"/>
    <d v="2024-08-02T00:00:00"/>
    <s v="Americas"/>
    <x v="3"/>
    <s v="Montreal"/>
    <s v="Consumer"/>
    <s v="Direct"/>
    <s v="J. Njeri"/>
    <x v="6"/>
    <x v="346"/>
    <n v="986.81"/>
    <n v="2050.31"/>
    <n v="0.10299999999999999"/>
    <n v="43"/>
    <d v="2024-08-02T00:00:00"/>
    <s v="Ok"/>
    <n v="2050.31"/>
    <n v="8"/>
    <x v="346"/>
    <n v="42432.829999999994"/>
    <n v="36649.677010000007"/>
    <n v="0.46343595310358138"/>
    <s v="Jul-2024"/>
    <m/>
    <s v="Americas. Canada. Montreal"/>
    <s v="High"/>
    <x v="0"/>
  </r>
  <r>
    <s v="ORD-2023-898009"/>
    <d v="2023-05-04T00:00:00"/>
    <d v="2023-05-16T00:00:00"/>
    <s v="Africa"/>
    <x v="1"/>
    <s v="Abuja"/>
    <s v="Small Business"/>
    <s v="Marketplace"/>
    <s v="J. Njeri"/>
    <x v="3"/>
    <x v="347"/>
    <n v="77.739999999999995"/>
    <n v="147.12"/>
    <n v="0"/>
    <n v="15"/>
    <d v="2023-05-16T00:00:00"/>
    <s v="Ok"/>
    <n v="147.12"/>
    <n v="12"/>
    <x v="347"/>
    <n v="1166.0999999999999"/>
    <n v="1040.7000000000003"/>
    <n v="0.47158781946710177"/>
    <s v="May-2023"/>
    <m/>
    <s v="Africa. Nigeria. Abuja"/>
    <s v="Low"/>
    <x v="0"/>
  </r>
  <r>
    <s v="ORD-2023-208944"/>
    <d v="2023-12-21T00:00:00"/>
    <d v="2024-01-06T00:00:00"/>
    <s v="Africa"/>
    <x v="1"/>
    <s v="Unknown"/>
    <s v="Corporate"/>
    <s v="Marketplace"/>
    <s v="K. Singh"/>
    <x v="0"/>
    <x v="348"/>
    <n v="932.61"/>
    <n v="1982.98"/>
    <n v="0.14399999999999999"/>
    <n v="16"/>
    <d v="2024-01-06T00:00:00"/>
    <s v="Ok"/>
    <n v="1982.98"/>
    <n v="16"/>
    <x v="348"/>
    <n v="14921.76"/>
    <n v="12237.134079999998"/>
    <n v="0.45057556629345635"/>
    <s v="Dec-2023"/>
    <m/>
    <s v="Africa. Nigeria. Unknown"/>
    <s v="High"/>
    <x v="0"/>
  </r>
  <r>
    <s v="ORD-2025-480172"/>
    <d v="2025-06-17T00:00:00"/>
    <d v="2025-07-05T00:00:00"/>
    <s v="Asia"/>
    <x v="4"/>
    <s v="Delhi"/>
    <s v="Consumer"/>
    <s v="Marketplace"/>
    <s v="L. Okafor"/>
    <x v="4"/>
    <x v="349"/>
    <n v="982.93"/>
    <n v="2299.3000000000002"/>
    <n v="0.113"/>
    <n v="6"/>
    <d v="2025-07-05T00:00:00"/>
    <s v="Ok"/>
    <n v="2299.3000000000002"/>
    <n v="18"/>
    <x v="349"/>
    <n v="5897.58"/>
    <n v="6339.2946000000011"/>
    <n v="0.51804850562087157"/>
    <s v="Jun-2025"/>
    <m/>
    <s v="Asia. India. Delhi"/>
    <s v="High"/>
    <x v="0"/>
  </r>
  <r>
    <s v="ORD-2023-735274"/>
    <d v="2023-02-23T00:00:00"/>
    <d v="2023-03-08T00:00:00"/>
    <s v="Europe"/>
    <x v="8"/>
    <s v="Manchester"/>
    <s v="Small Business"/>
    <s v="Direct"/>
    <s v="C. Otieno"/>
    <x v="1"/>
    <x v="350"/>
    <n v="307.37"/>
    <n v="462.61"/>
    <n v="0.188"/>
    <n v="11"/>
    <d v="2023-03-08T00:00:00"/>
    <s v="Ok"/>
    <n v="462.61"/>
    <n v="13"/>
    <x v="350"/>
    <n v="3381.07"/>
    <n v="750.9625200000005"/>
    <n v="0.18174167709599739"/>
    <s v="Feb-2023"/>
    <m/>
    <s v="Europe. United Kingdom. Manchester"/>
    <s v="Low"/>
    <x v="0"/>
  </r>
  <r>
    <s v="ORD-2023-212701"/>
    <d v="2023-12-02T00:00:00"/>
    <d v="2023-12-16T00:00:00"/>
    <s v="Europe"/>
    <x v="6"/>
    <s v="Frankfurt"/>
    <s v="Education"/>
    <s v="Direct"/>
    <s v="N. Brown"/>
    <x v="5"/>
    <x v="351"/>
    <n v="879.08"/>
    <n v="1093.3900000000001"/>
    <n v="0.113"/>
    <n v="17"/>
    <d v="2023-12-16T00:00:00"/>
    <s v="Ok"/>
    <n v="1093.3900000000001"/>
    <n v="14"/>
    <x v="351"/>
    <n v="14944.36"/>
    <n v="1542.8678099999997"/>
    <n v="9.3579577341935186E-2"/>
    <s v="Dec-2023"/>
    <m/>
    <s v="Europe. Germany. Frankfurt"/>
    <s v="Low"/>
    <x v="0"/>
  </r>
  <r>
    <s v="ORD-2023-479747"/>
    <d v="2023-07-14T00:00:00"/>
    <d v="2023-07-14T00:00:00"/>
    <s v="Africa"/>
    <x v="1"/>
    <s v="Lagos"/>
    <s v="Education"/>
    <s v="Retail"/>
    <s v="I. Johnson"/>
    <x v="6"/>
    <x v="352"/>
    <n v="956.38"/>
    <n v="1454.22"/>
    <n v="3.9E-2"/>
    <n v="19"/>
    <d v="2023-07-14T00:00:00"/>
    <s v="Ok"/>
    <n v="1454.22"/>
    <n v="0"/>
    <x v="352"/>
    <n v="18171.22"/>
    <n v="8381.3829799999985"/>
    <n v="0.31565202802576603"/>
    <s v="Jul-2023"/>
    <m/>
    <s v="Africa. Nigeria. Lagos"/>
    <s v="High"/>
    <x v="0"/>
  </r>
  <r>
    <s v="ORD-2024-915495"/>
    <d v="2024-08-08T00:00:00"/>
    <d v="2024-08-20T00:00:00"/>
    <s v="Asia"/>
    <x v="2"/>
    <s v="Osaka"/>
    <s v="Small Business"/>
    <s v="Retail"/>
    <s v="H. Kim"/>
    <x v="2"/>
    <x v="353"/>
    <n v="1233.3599999999999"/>
    <n v="2120.4"/>
    <n v="0.17899999999999999"/>
    <n v="20"/>
    <d v="2024-08-20T00:00:00"/>
    <s v="Ok"/>
    <n v="2120.4"/>
    <n v="12"/>
    <x v="353"/>
    <n v="24667.199999999997"/>
    <n v="10149.768000000004"/>
    <n v="0.29151785991244278"/>
    <s v="Aug-2024"/>
    <m/>
    <s v="Asia. Japan. Osaka"/>
    <s v="High"/>
    <x v="1"/>
  </r>
  <r>
    <s v="ORD-2024-225829"/>
    <d v="2024-11-07T00:00:00"/>
    <d v="2024-11-26T00:00:00"/>
    <s v="Americas"/>
    <x v="5"/>
    <s v="Rio de Janeiro"/>
    <s v="Non-Profit"/>
    <s v="Distributor"/>
    <s v="J. Njeri"/>
    <x v="1"/>
    <x v="354"/>
    <n v="55.35"/>
    <n v="128.68"/>
    <n v="0.128"/>
    <n v="10"/>
    <d v="2024-11-26T00:00:00"/>
    <s v="Ok"/>
    <n v="128.68"/>
    <n v="19"/>
    <x v="354"/>
    <n v="553.5"/>
    <n v="568.58960000000025"/>
    <n v="0.50672388372550647"/>
    <s v="Nov-2024"/>
    <m/>
    <s v="Americas. Brazil. Rio de Janeiro"/>
    <s v="Low"/>
    <x v="0"/>
  </r>
  <r>
    <s v="ORD-2024-921935"/>
    <d v="2024-01-01T00:00:00"/>
    <d v="2024-01-27T00:00:00"/>
    <s v="Europe"/>
    <x v="8"/>
    <s v="Manchester"/>
    <s v="Education"/>
    <s v="Distributor"/>
    <s v="D. Smith"/>
    <x v="6"/>
    <x v="355"/>
    <n v="657.45"/>
    <n v="1325.96"/>
    <n v="0.16700000000000001"/>
    <n v="21"/>
    <d v="2024-01-27T00:00:00"/>
    <s v="Ok"/>
    <n v="1325.96"/>
    <n v="26"/>
    <x v="355"/>
    <n v="13806.45"/>
    <n v="9388.5682799999995"/>
    <n v="0.40476658249048808"/>
    <s v="Jan-2024"/>
    <m/>
    <s v="Europe. United Kingdom. Manchester"/>
    <s v="High"/>
    <x v="0"/>
  </r>
  <r>
    <s v="ORD-2025-949776"/>
    <d v="2025-08-14T00:00:00"/>
    <d v="2025-09-11T00:00:00"/>
    <s v="Americas"/>
    <x v="5"/>
    <s v="São Paulo"/>
    <s v="Non-Profit"/>
    <s v="Direct"/>
    <s v="F. Müller"/>
    <x v="1"/>
    <x v="356"/>
    <n v="1203.02"/>
    <n v="2439.33"/>
    <n v="0"/>
    <n v="18"/>
    <d v="2025-09-11T00:00:00"/>
    <s v="Ok"/>
    <n v="2439.33"/>
    <n v="28"/>
    <x v="356"/>
    <n v="21654.36"/>
    <n v="22253.58"/>
    <n v="0.50682359500354612"/>
    <s v="Aug-2025"/>
    <m/>
    <s v="Americas. Brazil. São Paulo"/>
    <s v="High"/>
    <x v="0"/>
  </r>
  <r>
    <s v="ORD-2024-510591"/>
    <d v="2024-04-03T00:00:00"/>
    <d v="2024-04-21T00:00:00"/>
    <s v="Americas"/>
    <x v="5"/>
    <s v="Brasília"/>
    <s v="Small Business"/>
    <s v="Distributor"/>
    <s v="B. Chen"/>
    <x v="2"/>
    <x v="357"/>
    <n v="1176.69"/>
    <n v="2201.54"/>
    <n v="0.17"/>
    <n v="27"/>
    <d v="2024-04-21T00:00:00"/>
    <s v="Ok"/>
    <n v="2201.54"/>
    <n v="18"/>
    <x v="357"/>
    <n v="31770.63"/>
    <n v="17565.881399999995"/>
    <n v="0.35604222717701106"/>
    <s v="Apr-2024"/>
    <m/>
    <s v="Americas. Brazil. Brasília"/>
    <s v="High"/>
    <x v="0"/>
  </r>
  <r>
    <s v="ORD-2024-961756"/>
    <d v="2024-11-25T00:00:00"/>
    <d v="2024-12-07T00:00:00"/>
    <s v="Asia"/>
    <x v="9"/>
    <s v="Shanghai"/>
    <s v="Corporate"/>
    <s v="Distributor"/>
    <s v="A. Patel"/>
    <x v="6"/>
    <x v="358"/>
    <n v="769.9"/>
    <n v="814.36"/>
    <n v="0"/>
    <n v="5"/>
    <d v="2024-12-07T00:00:00"/>
    <s v="Ok"/>
    <n v="814.36"/>
    <n v="12"/>
    <x v="358"/>
    <n v="3849.5"/>
    <n v="222.30000000000018"/>
    <n v="5.4595019401738831E-2"/>
    <s v="Nov-2024"/>
    <m/>
    <s v="Asia. China. Shanghai"/>
    <s v="Low"/>
    <x v="0"/>
  </r>
  <r>
    <s v="ORD-2024-892173"/>
    <d v="2024-01-18T00:00:00"/>
    <d v="2024-02-03T00:00:00"/>
    <s v="Africa"/>
    <x v="11"/>
    <s v="Cape Town"/>
    <s v="Non-Profit"/>
    <s v="Distributor"/>
    <s v="L. Okafor"/>
    <x v="1"/>
    <x v="359"/>
    <n v="666.23"/>
    <n v="1382.91"/>
    <n v="0.17599999999999999"/>
    <n v="13"/>
    <d v="2024-02-03T00:00:00"/>
    <s v="Ok"/>
    <n v="1382.91"/>
    <n v="16"/>
    <x v="359"/>
    <n v="8660.99"/>
    <n v="6152.7419200000022"/>
    <n v="0.41534043907553048"/>
    <s v="Jan-2024"/>
    <m/>
    <s v="Africa. South Africa. Cape Town"/>
    <s v="High"/>
    <x v="0"/>
  </r>
  <r>
    <s v="ORD-2024-704056"/>
    <d v="2024-06-23T00:00:00"/>
    <d v="2024-06-25T00:00:00"/>
    <s v="Europe"/>
    <x v="8"/>
    <s v="Birmingham"/>
    <s v="Small Business"/>
    <s v="Marketplace"/>
    <s v="L. Okafor"/>
    <x v="6"/>
    <x v="360"/>
    <n v="951.44"/>
    <n v="1646.43"/>
    <n v="0.11"/>
    <n v="24"/>
    <d v="2024-06-25T00:00:00"/>
    <s v="Ok"/>
    <n v="1646.43"/>
    <n v="2"/>
    <x v="360"/>
    <n v="22834.560000000001"/>
    <n v="12333.184799999999"/>
    <n v="0.35069592520473475"/>
    <s v="Jun-2024"/>
    <m/>
    <s v="Europe. United Kingdom. Birmingham"/>
    <s v="High"/>
    <x v="0"/>
  </r>
  <r>
    <s v="ORD-2025-591006"/>
    <d v="2025-06-25T00:00:00"/>
    <d v="2025-07-10T00:00:00"/>
    <s v="Europe"/>
    <x v="8"/>
    <s v="Birmingham"/>
    <s v="Non-Profit"/>
    <s v="Marketplace"/>
    <s v="D. Smith"/>
    <x v="3"/>
    <x v="361"/>
    <n v="546.83000000000004"/>
    <n v="400.84"/>
    <n v="7.8E-2"/>
    <n v="13"/>
    <d v="2025-07-10T00:00:00"/>
    <s v="Ok"/>
    <n v="400.84"/>
    <n v="15"/>
    <x v="361"/>
    <n v="7108.7900000000009"/>
    <n v="-2304.3217600000007"/>
    <n v="-0.47962056254533608"/>
    <s v="Jun-2025"/>
    <m/>
    <s v="Europe. United Kingdom. Birmingham"/>
    <s v="Low"/>
    <x v="0"/>
  </r>
  <r>
    <s v="ORD-2023-159821"/>
    <d v="2023-07-01T00:00:00"/>
    <d v="2023-07-08T00:00:00"/>
    <s v="Africa"/>
    <x v="1"/>
    <s v="Port Harcourt"/>
    <s v="Corporate"/>
    <s v="Retail"/>
    <s v="A. Patel"/>
    <x v="4"/>
    <x v="362"/>
    <n v="834.26"/>
    <n v="1780.56"/>
    <n v="1.4E-2"/>
    <n v="47"/>
    <d v="2023-07-08T00:00:00"/>
    <s v="Ok"/>
    <n v="1780.56"/>
    <n v="7"/>
    <x v="362"/>
    <n v="39210.22"/>
    <n v="43304.491519999996"/>
    <n v="0.5248093427497933"/>
    <s v="Jul-2023"/>
    <m/>
    <s v="Africa. Nigeria. Port Harcourt"/>
    <s v="High"/>
    <x v="0"/>
  </r>
  <r>
    <s v="ORD-2024-343877"/>
    <d v="2024-03-09T00:00:00"/>
    <d v="2024-03-26T00:00:00"/>
    <s v="Asia"/>
    <x v="9"/>
    <s v="Shenzhen"/>
    <s v="Enterprise"/>
    <s v="Online"/>
    <s v="K. Singh"/>
    <x v="5"/>
    <x v="363"/>
    <n v="1029.67"/>
    <n v="1118.43"/>
    <n v="0.27200000000000002"/>
    <n v="9"/>
    <d v="2024-03-26T00:00:00"/>
    <s v="Ok"/>
    <n v="1118.43"/>
    <n v="17"/>
    <x v="363"/>
    <n v="9267.0300000000007"/>
    <n v="-1939.0766400000002"/>
    <n v="-0.26461367106736061"/>
    <s v="Mar-2024"/>
    <m/>
    <s v="Asia. China. Shenzhen"/>
    <s v="Low"/>
    <x v="0"/>
  </r>
  <r>
    <s v="ORD-2023-386663"/>
    <d v="2023-06-05T00:00:00"/>
    <d v="2023-06-28T00:00:00"/>
    <s v="Europe"/>
    <x v="8"/>
    <s v="Birmingham"/>
    <s v="Corporate"/>
    <s v="Direct"/>
    <s v="K. Singh"/>
    <x v="1"/>
    <x v="364"/>
    <n v="605.82000000000005"/>
    <n v="771.12"/>
    <n v="0.13200000000000001"/>
    <n v="19"/>
    <d v="2023-06-28T00:00:00"/>
    <s v="Ok"/>
    <n v="771.12"/>
    <n v="23"/>
    <x v="364"/>
    <n v="11510.580000000002"/>
    <n v="1206.7310399999988"/>
    <n v="9.4888851597986767E-2"/>
    <s v="Jun-2023"/>
    <m/>
    <s v="Europe. United Kingdom. Birmingham"/>
    <s v="Low"/>
    <x v="0"/>
  </r>
  <r>
    <s v="ORD-2025-125517"/>
    <d v="2025-03-21T00:00:00"/>
    <d v="2025-04-09T00:00:00"/>
    <s v="Asia"/>
    <x v="2"/>
    <s v="Tokyo"/>
    <s v="Small Business"/>
    <s v="Distributor"/>
    <s v="E. Garcia"/>
    <x v="0"/>
    <x v="365"/>
    <n v="1055.45"/>
    <n v="1210.04"/>
    <n v="8.9999999999999993E-3"/>
    <n v="18"/>
    <d v="2025-04-09T00:00:00"/>
    <s v="Ok"/>
    <n v="1210.04"/>
    <n v="19"/>
    <x v="365"/>
    <n v="18998.100000000002"/>
    <n v="2586.5935199999985"/>
    <n v="0.1198346188053727"/>
    <s v="Mar-2025"/>
    <m/>
    <s v="Asia. Japan. Tokyo"/>
    <s v="High"/>
    <x v="1"/>
  </r>
  <r>
    <s v="ORD-2024-819778"/>
    <d v="2024-06-02T00:00:00"/>
    <d v="2024-06-15T00:00:00"/>
    <s v="Africa"/>
    <x v="0"/>
    <s v="Mombasa"/>
    <s v="Education"/>
    <s v="Online"/>
    <s v="O. Wang"/>
    <x v="3"/>
    <x v="366"/>
    <n v="1295.18"/>
    <n v="3024.03"/>
    <n v="0.192"/>
    <n v="8"/>
    <d v="2024-06-15T00:00:00"/>
    <s v="Ok"/>
    <n v="3024.03"/>
    <n v="13"/>
    <x v="366"/>
    <n v="10361.44"/>
    <n v="9185.8899200000033"/>
    <n v="0.46993067378483178"/>
    <s v="Jun-2024"/>
    <m/>
    <s v="Africa. Kenya. Mombasa"/>
    <s v="High"/>
    <x v="0"/>
  </r>
  <r>
    <s v="ORD-2025-624006"/>
    <d v="2025-03-15T00:00:00"/>
    <d v="2025-03-29T00:00:00"/>
    <s v="Asia"/>
    <x v="4"/>
    <s v="Mumbai"/>
    <s v="Enterprise"/>
    <s v="Direct"/>
    <s v="C. Otieno"/>
    <x v="0"/>
    <x v="367"/>
    <n v="935.83"/>
    <n v="2303.46"/>
    <n v="0.105"/>
    <n v="9"/>
    <d v="2025-03-29T00:00:00"/>
    <s v="Ok"/>
    <n v="2303.46"/>
    <n v="14"/>
    <x v="367"/>
    <n v="8422.4700000000012"/>
    <n v="10131.900299999998"/>
    <n v="0.54606543559174292"/>
    <s v="Mar-2025"/>
    <m/>
    <s v="Asia. India. Mumbai"/>
    <s v="High"/>
    <x v="0"/>
  </r>
  <r>
    <s v="ORD-2023-132101"/>
    <d v="2023-09-25T00:00:00"/>
    <d v="2023-10-09T00:00:00"/>
    <s v="Americas"/>
    <x v="10"/>
    <s v="New York"/>
    <s v="Small Business"/>
    <s v="Marketplace"/>
    <s v="J. Njeri"/>
    <x v="4"/>
    <x v="368"/>
    <n v="1279.56"/>
    <n v="3083.8"/>
    <n v="0.106"/>
    <n v="5"/>
    <d v="2023-10-09T00:00:00"/>
    <s v="Ok"/>
    <n v="3083.8"/>
    <n v="14"/>
    <x v="368"/>
    <n v="6397.7999999999993"/>
    <n v="7386.7860000000019"/>
    <n v="0.53587289455047848"/>
    <s v="Sep-2023"/>
    <m/>
    <s v="Americas. USA. New York"/>
    <s v="High"/>
    <x v="0"/>
  </r>
  <r>
    <s v="ORD-2025-306903"/>
    <d v="2025-06-24T00:00:00"/>
    <d v="2025-07-23T00:00:00"/>
    <s v="Americas"/>
    <x v="3"/>
    <s v="Vancouver"/>
    <s v="Non-Profit"/>
    <s v="Marketplace"/>
    <s v="I. Johnson"/>
    <x v="1"/>
    <x v="369"/>
    <n v="255.4"/>
    <n v="322.70999999999998"/>
    <n v="0.115"/>
    <n v="16"/>
    <d v="2025-07-23T00:00:00"/>
    <s v="Ok"/>
    <n v="322.70999999999998"/>
    <n v="29"/>
    <x v="369"/>
    <n v="4086.4"/>
    <n v="483.17359999999962"/>
    <n v="0.10573713048412212"/>
    <s v="Jun-2025"/>
    <m/>
    <s v="Americas. Canada. Vancouver"/>
    <s v="Low"/>
    <x v="0"/>
  </r>
  <r>
    <s v="ORD-2023-813340"/>
    <d v="2023-12-26T00:00:00"/>
    <d v="2024-01-03T00:00:00"/>
    <s v="Europe"/>
    <x v="7"/>
    <s v="Lyon"/>
    <s v="Small Business"/>
    <s v="Retail"/>
    <s v="M. Rossi"/>
    <x v="4"/>
    <x v="370"/>
    <n v="492.75"/>
    <n v="731.29"/>
    <n v="5.8000000000000003E-2"/>
    <n v="6"/>
    <d v="2024-01-03T00:00:00"/>
    <s v="Ok"/>
    <n v="731.29"/>
    <n v="8"/>
    <x v="370"/>
    <n v="2956.5"/>
    <n v="1176.75108"/>
    <n v="0.28470350753528384"/>
    <s v="Dec-2023"/>
    <m/>
    <s v="Europe. France. Lyon"/>
    <s v="Low"/>
    <x v="0"/>
  </r>
  <r>
    <s v="ORD-2023-855675"/>
    <d v="2023-02-05T00:00:00"/>
    <d v="2023-02-28T00:00:00"/>
    <s v="Americas"/>
    <x v="10"/>
    <s v="Austin"/>
    <s v="Non-Profit"/>
    <s v="Distributor"/>
    <s v="L. Okafor"/>
    <x v="3"/>
    <x v="371"/>
    <n v="1214.49"/>
    <n v="1533.95"/>
    <n v="0"/>
    <n v="11"/>
    <d v="2023-02-28T00:00:00"/>
    <s v="Ok"/>
    <n v="1533.95"/>
    <n v="23"/>
    <x v="371"/>
    <n v="13359.39"/>
    <n v="3514.0600000000013"/>
    <n v="0.20825972163369086"/>
    <s v="Feb-2023"/>
    <m/>
    <s v="Americas. USA. Austin"/>
    <s v="High"/>
    <x v="0"/>
  </r>
  <r>
    <s v="ORD-2023-545150"/>
    <d v="2023-04-06T00:00:00"/>
    <d v="2023-04-08T00:00:00"/>
    <s v="Africa"/>
    <x v="1"/>
    <s v="Abuja"/>
    <s v="Small Business"/>
    <s v="Marketplace"/>
    <s v="K. Singh"/>
    <x v="5"/>
    <x v="372"/>
    <n v="720.35"/>
    <n v="1571.66"/>
    <n v="0.107"/>
    <n v="23"/>
    <d v="2023-04-08T00:00:00"/>
    <s v="Ok"/>
    <n v="1571.66"/>
    <n v="2"/>
    <x v="372"/>
    <n v="16568.05"/>
    <n v="15712.274740000001"/>
    <n v="0.4867446305622265"/>
    <s v="Apr-2023"/>
    <m/>
    <s v="Africa. Nigeria. Abuja"/>
    <s v="High"/>
    <x v="0"/>
  </r>
  <r>
    <s v="ORD-2025-269934"/>
    <d v="2025-04-04T00:00:00"/>
    <d v="2025-04-10T00:00:00"/>
    <s v="Europe"/>
    <x v="8"/>
    <s v="Birmingham"/>
    <s v="Non-Profit"/>
    <s v="Direct"/>
    <s v="N. Brown"/>
    <x v="1"/>
    <x v="373"/>
    <n v="290.14"/>
    <n v="250.73"/>
    <n v="3.4000000000000002E-2"/>
    <n v="17"/>
    <d v="2025-04-10T00:00:00"/>
    <s v="Ok"/>
    <n v="250.73"/>
    <n v="6"/>
    <x v="373"/>
    <n v="4932.38"/>
    <n v="-814.89194000000043"/>
    <n v="-0.19790997038131072"/>
    <s v="Apr-2025"/>
    <m/>
    <s v="Europe. United Kingdom. Birmingham"/>
    <s v="Low"/>
    <x v="0"/>
  </r>
  <r>
    <s v="ORD-2024-690270"/>
    <d v="2024-05-17T00:00:00"/>
    <d v="2024-05-27T00:00:00"/>
    <s v="Americas"/>
    <x v="10"/>
    <s v="Austin"/>
    <s v="Non-Profit"/>
    <s v="Online"/>
    <s v="C. Otieno"/>
    <x v="3"/>
    <x v="374"/>
    <n v="1484.23"/>
    <n v="3472.81"/>
    <n v="0.25600000000000001"/>
    <n v="12"/>
    <d v="2024-05-27T00:00:00"/>
    <s v="Ok"/>
    <n v="3472.81"/>
    <n v="10"/>
    <x v="374"/>
    <n v="17810.760000000002"/>
    <n v="13194.487679999998"/>
    <n v="0.42555659661803413"/>
    <s v="May-2024"/>
    <m/>
    <s v="Americas. USA. Austin"/>
    <s v="High"/>
    <x v="0"/>
  </r>
  <r>
    <s v="ORD-2024-868223"/>
    <d v="2024-03-03T00:00:00"/>
    <d v="2024-03-19T00:00:00"/>
    <s v="Asia"/>
    <x v="9"/>
    <s v="Beijing"/>
    <s v="Consumer"/>
    <s v="Distributor"/>
    <s v="G. Dubois"/>
    <x v="3"/>
    <x v="375"/>
    <n v="988.83"/>
    <n v="1206.04"/>
    <n v="6.3E-2"/>
    <n v="34"/>
    <d v="2024-03-19T00:00:00"/>
    <s v="Ok"/>
    <n v="1206.04"/>
    <n v="16"/>
    <x v="375"/>
    <n v="33620.22"/>
    <n v="4801.8023200000025"/>
    <n v="0.12497526236406606"/>
    <s v="Mar-2024"/>
    <m/>
    <s v="Asia. China. Beijing"/>
    <s v="High"/>
    <x v="0"/>
  </r>
  <r>
    <s v="ORD-2025-188059"/>
    <d v="2025-06-27T00:00:00"/>
    <d v="2025-07-11T00:00:00"/>
    <s v="Asia"/>
    <x v="9"/>
    <s v="Shanghai"/>
    <s v="Small Business"/>
    <s v="Marketplace"/>
    <s v="L. Okafor"/>
    <x v="2"/>
    <x v="376"/>
    <n v="1227.7"/>
    <n v="2197.23"/>
    <n v="9.9000000000000005E-2"/>
    <n v="22"/>
    <d v="2025-07-11T00:00:00"/>
    <s v="Ok"/>
    <n v="2197.23"/>
    <n v="14"/>
    <x v="376"/>
    <n v="27009.4"/>
    <n v="16544.093059999999"/>
    <n v="0.37985685871873898"/>
    <s v="Jun-2025"/>
    <m/>
    <s v="Asia. China. Shanghai"/>
    <s v="High"/>
    <x v="0"/>
  </r>
  <r>
    <s v="ORD-2023-281890"/>
    <d v="2023-03-13T00:00:00"/>
    <d v="2023-04-04T00:00:00"/>
    <s v="Africa"/>
    <x v="11"/>
    <s v="Durban"/>
    <s v="Small Business"/>
    <s v="Retail"/>
    <s v="A. Patel"/>
    <x v="0"/>
    <x v="377"/>
    <n v="1113.7"/>
    <n v="1620.6"/>
    <n v="0.13900000000000001"/>
    <n v="11"/>
    <d v="2023-04-04T00:00:00"/>
    <s v="Ok"/>
    <n v="1620.6"/>
    <n v="22"/>
    <x v="377"/>
    <n v="12250.7"/>
    <n v="3098.002599999998"/>
    <n v="0.20184133348182787"/>
    <s v="Mar-2023"/>
    <m/>
    <s v="Africa. South Africa. Durban"/>
    <s v="High"/>
    <x v="0"/>
  </r>
  <r>
    <s v="ORD-2025-636162"/>
    <d v="2025-01-07T00:00:00"/>
    <d v="2025-01-20T00:00:00"/>
    <s v="Africa"/>
    <x v="11"/>
    <s v="Cape Town"/>
    <s v="Corporate"/>
    <s v="Direct"/>
    <s v="K. Singh"/>
    <x v="2"/>
    <x v="378"/>
    <n v="432.13"/>
    <n v="1034.6600000000001"/>
    <n v="9.1999999999999998E-2"/>
    <n v="7"/>
    <d v="2025-01-20T00:00:00"/>
    <s v="Ok"/>
    <n v="1034.6600000000001"/>
    <n v="13"/>
    <x v="378"/>
    <n v="3024.91"/>
    <n v="3551.3889600000011"/>
    <n v="0.54002851476204794"/>
    <s v="Jan-2025"/>
    <m/>
    <s v="Africa. South Africa. Cape Town"/>
    <s v="Low"/>
    <x v="0"/>
  </r>
  <r>
    <s v="ORD-2025-915869"/>
    <d v="2025-02-06T00:00:00"/>
    <d v="2025-02-15T00:00:00"/>
    <s v="Americas"/>
    <x v="5"/>
    <s v="São Paulo"/>
    <s v="Non-Profit"/>
    <s v="Distributor"/>
    <s v="F. Müller"/>
    <x v="2"/>
    <x v="379"/>
    <n v="837.39"/>
    <n v="1905.42"/>
    <n v="3.2000000000000001E-2"/>
    <n v="18"/>
    <d v="2025-02-15T00:00:00"/>
    <s v="Ok"/>
    <n v="1905.42"/>
    <n v="9"/>
    <x v="379"/>
    <n v="15073.02"/>
    <n v="18127.018079999998"/>
    <n v="0.54599389423350919"/>
    <s v="Feb-2025"/>
    <m/>
    <s v="Americas. Brazil. São Paulo"/>
    <s v="High"/>
    <x v="0"/>
  </r>
  <r>
    <s v="ORD-2025-192876"/>
    <d v="2025-01-31T00:00:00"/>
    <d v="2025-02-17T00:00:00"/>
    <s v="Europe"/>
    <x v="8"/>
    <s v="London"/>
    <s v="Enterprise"/>
    <s v="Retail"/>
    <s v="H. Kim"/>
    <x v="0"/>
    <x v="78"/>
    <n v="378.26"/>
    <n v="541.55999999999995"/>
    <n v="0.16300000000000001"/>
    <n v="25"/>
    <d v="2025-02-17T00:00:00"/>
    <s v="Ok"/>
    <n v="541.55999999999995"/>
    <n v="17"/>
    <x v="380"/>
    <n v="9456.5"/>
    <n v="1875.6429999999982"/>
    <n v="0.16551529573885526"/>
    <s v="Jan-2025"/>
    <m/>
    <s v="Europe. United Kingdom. London"/>
    <s v="Low"/>
    <x v="0"/>
  </r>
  <r>
    <s v="ORD-2025-822030"/>
    <d v="2025-08-07T00:00:00"/>
    <d v="2025-09-06T00:00:00"/>
    <s v="Americas"/>
    <x v="3"/>
    <s v="Montreal"/>
    <s v="Education"/>
    <s v="Direct"/>
    <s v="M. Rossi"/>
    <x v="2"/>
    <x v="380"/>
    <n v="833.73"/>
    <n v="1116.5999999999999"/>
    <n v="0.17599999999999999"/>
    <n v="14"/>
    <d v="2025-09-06T00:00:00"/>
    <s v="Ok"/>
    <n v="1116.5999999999999"/>
    <n v="30"/>
    <x v="381"/>
    <n v="11672.220000000001"/>
    <n v="1208.877599999998"/>
    <n v="9.3848958958279924E-2"/>
    <s v="Aug-2025"/>
    <m/>
    <s v="Americas. Canada. Montreal"/>
    <s v="Low"/>
    <x v="0"/>
  </r>
  <r>
    <s v="ORD-2025-789245"/>
    <d v="2025-07-23T00:00:00"/>
    <d v="2025-08-17T00:00:00"/>
    <s v="Europe"/>
    <x v="8"/>
    <s v="Birmingham"/>
    <s v="Education"/>
    <s v="Online"/>
    <s v="I. Johnson"/>
    <x v="1"/>
    <x v="381"/>
    <n v="1142.06"/>
    <n v="1455"/>
    <n v="7.8E-2"/>
    <n v="28"/>
    <d v="2025-08-17T00:00:00"/>
    <s v="Ok"/>
    <n v="1455"/>
    <n v="25"/>
    <x v="382"/>
    <n v="31977.68"/>
    <n v="5584.5999999999985"/>
    <n v="0.1486757459877302"/>
    <s v="Jul-2025"/>
    <m/>
    <s v="Europe. United Kingdom. Birmingham"/>
    <s v="High"/>
    <x v="0"/>
  </r>
  <r>
    <s v="ORD-2023-594955"/>
    <d v="2023-06-20T00:00:00"/>
    <d v="2023-07-08T00:00:00"/>
    <s v="Americas"/>
    <x v="10"/>
    <s v="New York"/>
    <s v="Consumer"/>
    <s v="Marketplace"/>
    <s v="O. Wang"/>
    <x v="2"/>
    <x v="382"/>
    <n v="1145.53"/>
    <n v="1278.3"/>
    <n v="0.09"/>
    <n v="41"/>
    <d v="2023-07-08T00:00:00"/>
    <s v="Ok"/>
    <n v="1278.3"/>
    <n v="18"/>
    <x v="383"/>
    <n v="46966.729999999996"/>
    <n v="726.64300000000367"/>
    <n v="1.5235722581416158E-2"/>
    <s v="Jun-2023"/>
    <m/>
    <s v="Americas. USA. New York"/>
    <s v="High"/>
    <x v="0"/>
  </r>
  <r>
    <s v="ORD-2024-398783"/>
    <d v="2024-07-18T00:00:00"/>
    <d v="2024-08-07T00:00:00"/>
    <s v="Europe"/>
    <x v="7"/>
    <s v="Marseille"/>
    <s v="Corporate"/>
    <s v="Retail"/>
    <s v="F. Müller"/>
    <x v="5"/>
    <x v="383"/>
    <n v="941.35"/>
    <n v="899.83"/>
    <n v="5.8000000000000003E-2"/>
    <n v="18"/>
    <d v="2024-08-07T00:00:00"/>
    <s v="Ok"/>
    <n v="899.83"/>
    <n v="20"/>
    <x v="384"/>
    <n v="16944.3"/>
    <n v="-1686.7825199999988"/>
    <n v="-0.11055419220139073"/>
    <s v="Jul-2024"/>
    <m/>
    <s v="Europe. France. Marseille"/>
    <s v="Low"/>
    <x v="0"/>
  </r>
  <r>
    <s v="ORD-2023-676553"/>
    <d v="2023-05-20T00:00:00"/>
    <d v="2023-06-19T00:00:00"/>
    <s v="Asia"/>
    <x v="4"/>
    <s v="Delhi"/>
    <s v="Non-Profit"/>
    <s v="Marketplace"/>
    <s v="H. Kim"/>
    <x v="4"/>
    <x v="384"/>
    <n v="1161.2"/>
    <n v="878.73"/>
    <n v="0.19"/>
    <n v="31"/>
    <d v="2023-06-19T00:00:00"/>
    <s v="Ok"/>
    <n v="878.73"/>
    <n v="30"/>
    <x v="385"/>
    <n v="35997.200000000004"/>
    <n v="-13932.289700000001"/>
    <n v="-0.63142290227212028"/>
    <s v="May-2023"/>
    <m/>
    <s v="Asia. India. Delhi"/>
    <s v="Low"/>
    <x v="0"/>
  </r>
  <r>
    <s v="ORD-2025-866565"/>
    <d v="2025-05-12T00:00:00"/>
    <d v="2025-05-26T00:00:00"/>
    <s v="Asia"/>
    <x v="4"/>
    <s v="Hyderabad"/>
    <s v="Corporate"/>
    <s v="Marketplace"/>
    <s v="G. Dubois"/>
    <x v="1"/>
    <x v="385"/>
    <n v="320.12"/>
    <n v="594.41999999999996"/>
    <n v="0.104"/>
    <n v="18"/>
    <d v="2025-05-26T00:00:00"/>
    <s v="Ok"/>
    <n v="594.41999999999996"/>
    <n v="14"/>
    <x v="386"/>
    <n v="5762.16"/>
    <n v="3824.6457599999994"/>
    <n v="0.39894891538931104"/>
    <s v="May-2025"/>
    <m/>
    <s v="Asia. India. Hyderabad"/>
    <s v="Low"/>
    <x v="0"/>
  </r>
  <r>
    <s v="ORD-2024-527858"/>
    <d v="2024-05-07T00:00:00"/>
    <d v="2024-05-12T00:00:00"/>
    <s v="Africa"/>
    <x v="1"/>
    <s v="Abuja"/>
    <s v="Non-Profit"/>
    <s v="Distributor"/>
    <s v="L. Okafor"/>
    <x v="4"/>
    <x v="386"/>
    <n v="1163.99"/>
    <n v="1617.85"/>
    <n v="0.127"/>
    <n v="14"/>
    <d v="2024-05-12T00:00:00"/>
    <s v="Ok"/>
    <n v="1617.85"/>
    <n v="5"/>
    <x v="387"/>
    <n v="16295.86"/>
    <n v="3477.5026999999973"/>
    <n v="0.17586804797749436"/>
    <s v="May-2024"/>
    <m/>
    <s v="Africa. Nigeria. Abuja"/>
    <s v="High"/>
    <x v="0"/>
  </r>
  <r>
    <s v="ORD-2023-619385"/>
    <d v="2023-09-30T00:00:00"/>
    <d v="2023-10-03T00:00:00"/>
    <s v="Asia"/>
    <x v="9"/>
    <s v="Beijing"/>
    <s v="Non-Profit"/>
    <s v="Retail"/>
    <s v="J. Njeri"/>
    <x v="4"/>
    <x v="387"/>
    <n v="1019.36"/>
    <n v="972.91"/>
    <n v="0.14699999999999999"/>
    <n v="17"/>
    <d v="2023-10-03T00:00:00"/>
    <s v="Ok"/>
    <n v="972.91"/>
    <n v="3"/>
    <x v="388"/>
    <n v="17329.12"/>
    <n v="-3220.9520899999989"/>
    <n v="-0.22830406545678819"/>
    <s v="Sep-2023"/>
    <m/>
    <s v="Asia. China. Beijing"/>
    <s v="Low"/>
    <x v="0"/>
  </r>
  <r>
    <s v="ORD-2023-835226"/>
    <d v="2023-10-26T00:00:00"/>
    <d v="2023-11-05T00:00:00"/>
    <s v="Africa"/>
    <x v="11"/>
    <s v="Cape Town"/>
    <s v="Non-Profit"/>
    <s v="Online"/>
    <s v="I. Johnson"/>
    <x v="4"/>
    <x v="388"/>
    <n v="20.38"/>
    <n v="42.56"/>
    <n v="7.1999999999999995E-2"/>
    <n v="11"/>
    <d v="2023-11-05T00:00:00"/>
    <s v="Ok"/>
    <n v="42.56"/>
    <n v="10"/>
    <x v="389"/>
    <n v="224.17999999999998"/>
    <n v="210.27248000000006"/>
    <n v="0.48399419885921713"/>
    <s v="Oct-2023"/>
    <m/>
    <s v="Africa. South Africa. Cape Town"/>
    <s v="Low"/>
    <x v="0"/>
  </r>
  <r>
    <s v="ORD-2025-485946"/>
    <d v="2025-06-15T00:00:00"/>
    <d v="2025-06-30T00:00:00"/>
    <s v="Africa"/>
    <x v="11"/>
    <s v="Johannesburg"/>
    <s v="Small Business"/>
    <s v="Direct"/>
    <s v="C. Otieno"/>
    <x v="5"/>
    <x v="389"/>
    <n v="1487.59"/>
    <n v="1480.83"/>
    <n v="8.9999999999999993E-3"/>
    <n v="11"/>
    <d v="2025-06-30T00:00:00"/>
    <s v="Ok"/>
    <n v="1480.83"/>
    <n v="15"/>
    <x v="390"/>
    <n v="16363.49"/>
    <n v="-220.9621700000007"/>
    <n v="-1.3688201273492908E-2"/>
    <s v="Jun-2025"/>
    <m/>
    <s v="Africa. South Africa. Johannesburg"/>
    <s v="High"/>
    <x v="0"/>
  </r>
  <r>
    <s v="ORD-2024-307849"/>
    <d v="2024-08-10T00:00:00"/>
    <d v="2024-09-07T00:00:00"/>
    <s v="Europe"/>
    <x v="7"/>
    <s v="Marseille"/>
    <s v="Non-Profit"/>
    <s v="Direct"/>
    <s v="F. Müller"/>
    <x v="1"/>
    <x v="390"/>
    <n v="229.96"/>
    <n v="564.26"/>
    <n v="0.105"/>
    <n v="5"/>
    <d v="2024-09-07T00:00:00"/>
    <s v="Ok"/>
    <n v="564.26"/>
    <n v="28"/>
    <x v="391"/>
    <n v="1149.8"/>
    <n v="1375.2635000000002"/>
    <n v="0.54464511486542821"/>
    <s v="Aug-2024"/>
    <m/>
    <s v="Europe. France. Marseille"/>
    <s v="Low"/>
    <x v="0"/>
  </r>
  <r>
    <s v="ORD-2023-368449"/>
    <d v="2023-10-09T00:00:00"/>
    <d v="2023-10-26T00:00:00"/>
    <s v="Asia"/>
    <x v="9"/>
    <s v="Shanghai"/>
    <s v="Consumer"/>
    <s v="Marketplace"/>
    <s v="C. Otieno"/>
    <x v="0"/>
    <x v="391"/>
    <n v="1132.03"/>
    <n v="2137.21"/>
    <n v="0.35699999999999998"/>
    <n v="35"/>
    <d v="2023-10-26T00:00:00"/>
    <s v="Ok"/>
    <n v="2137.21"/>
    <n v="17"/>
    <x v="392"/>
    <n v="39621.049999999996"/>
    <n v="8476.8610500000068"/>
    <n v="0.17624177152284051"/>
    <s v="Oct-2023"/>
    <m/>
    <s v="Asia. China. Shanghai"/>
    <s v="High"/>
    <x v="0"/>
  </r>
  <r>
    <s v="ORD-2024-251426"/>
    <d v="2024-03-09T00:00:00"/>
    <d v="2024-03-26T00:00:00"/>
    <s v="Americas"/>
    <x v="10"/>
    <s v="San Francisco"/>
    <s v="Education"/>
    <s v="Direct"/>
    <s v="I. Johnson"/>
    <x v="3"/>
    <x v="392"/>
    <n v="1137.4100000000001"/>
    <n v="1680.93"/>
    <n v="0.254"/>
    <n v="9"/>
    <d v="2024-03-26T00:00:00"/>
    <s v="Ok"/>
    <n v="1680.93"/>
    <n v="17"/>
    <x v="393"/>
    <n v="10236.69"/>
    <n v="1049.07402"/>
    <n v="9.2955516183121464E-2"/>
    <s v="Mar-2024"/>
    <m/>
    <s v="Americas. USA. San Francisco"/>
    <s v="High"/>
    <x v="0"/>
  </r>
  <r>
    <s v="ORD-2023-927385"/>
    <d v="2023-05-29T00:00:00"/>
    <d v="2023-06-20T00:00:00"/>
    <s v="Europe"/>
    <x v="8"/>
    <s v="London"/>
    <s v="Small Business"/>
    <s v="Direct"/>
    <s v="K. Singh"/>
    <x v="0"/>
    <x v="393"/>
    <n v="1295.3900000000001"/>
    <n v="2905.06"/>
    <n v="0.14799999999999999"/>
    <n v="8"/>
    <d v="2023-06-20T00:00:00"/>
    <s v="Ok"/>
    <n v="2905.06"/>
    <n v="22"/>
    <x v="394"/>
    <n v="10363.120000000001"/>
    <n v="9437.7689599999994"/>
    <n v="0.47663359857556614"/>
    <s v="May-2023"/>
    <m/>
    <s v="Europe. United Kingdom. London"/>
    <s v="High"/>
    <x v="0"/>
  </r>
  <r>
    <s v="ORD-2025-486350"/>
    <d v="2025-05-27T00:00:00"/>
    <d v="2025-06-08T00:00:00"/>
    <s v="Asia"/>
    <x v="2"/>
    <s v="Osaka"/>
    <s v="Corporate"/>
    <s v="Retail"/>
    <s v="H. Kim"/>
    <x v="6"/>
    <x v="394"/>
    <n v="653.6"/>
    <n v="842.09"/>
    <n v="9.8000000000000004E-2"/>
    <n v="19"/>
    <d v="2025-06-08T00:00:00"/>
    <s v="Ok"/>
    <n v="842.09"/>
    <n v="12"/>
    <x v="395"/>
    <n v="12418.4"/>
    <n v="2013.3384200000019"/>
    <n v="0.13950768517324622"/>
    <s v="May-2025"/>
    <m/>
    <s v="Asia. Japan. Osaka"/>
    <s v="Low"/>
    <x v="1"/>
  </r>
  <r>
    <s v="ORD-2025-677880"/>
    <d v="2025-08-21T00:00:00"/>
    <d v="2025-09-14T00:00:00"/>
    <s v="Europe"/>
    <x v="6"/>
    <s v="Berlin"/>
    <s v="Non-Profit"/>
    <s v="Online"/>
    <s v="A. Patel"/>
    <x v="5"/>
    <x v="395"/>
    <n v="1397.67"/>
    <n v="3131.37"/>
    <n v="0.10299999999999999"/>
    <n v="20"/>
    <d v="2025-09-14T00:00:00"/>
    <s v="Ok"/>
    <n v="3131.37"/>
    <n v="24"/>
    <x v="396"/>
    <n v="27953.4"/>
    <n v="28223.377799999995"/>
    <n v="0.50240293062874808"/>
    <s v="Aug-2025"/>
    <m/>
    <s v="Europe. Germany. Berlin"/>
    <s v="High"/>
    <x v="0"/>
  </r>
  <r>
    <s v="ORD-2024-102866"/>
    <d v="2024-12-12T00:00:00"/>
    <d v="2024-12-20T00:00:00"/>
    <s v="Asia"/>
    <x v="2"/>
    <s v="Tokyo"/>
    <s v="Corporate"/>
    <s v="Retail"/>
    <s v="B. Chen"/>
    <x v="4"/>
    <x v="396"/>
    <n v="1202.47"/>
    <n v="1444.72"/>
    <n v="0.24099999999999999"/>
    <n v="17"/>
    <d v="2024-12-20T00:00:00"/>
    <s v="Ok"/>
    <n v="1444.72"/>
    <n v="8"/>
    <x v="397"/>
    <n v="20441.990000000002"/>
    <n v="-1800.7678400000004"/>
    <n v="-9.6601382921343834E-2"/>
    <s v="Dec-2024"/>
    <m/>
    <s v="Asia. Japan. Tokyo"/>
    <s v="High"/>
    <x v="1"/>
  </r>
  <r>
    <s v="ORD-2025-588029"/>
    <d v="2025-09-14T00:00:00"/>
    <d v="2025-09-23T00:00:00"/>
    <s v="Africa"/>
    <x v="11"/>
    <s v="Durban"/>
    <s v="Non-Profit"/>
    <s v="Online"/>
    <s v="D. Smith"/>
    <x v="0"/>
    <x v="397"/>
    <n v="1310.3"/>
    <n v="2875.8"/>
    <n v="8.3000000000000004E-2"/>
    <n v="5"/>
    <d v="2025-09-23T00:00:00"/>
    <s v="Ok"/>
    <n v="2875.8"/>
    <n v="9"/>
    <x v="398"/>
    <n v="6551.5"/>
    <n v="6634.0429999999997"/>
    <n v="0.50313005691157353"/>
    <s v="Sep-2025"/>
    <m/>
    <s v="Africa. South Africa. Durban"/>
    <s v="High"/>
    <x v="0"/>
  </r>
  <r>
    <s v="ORD-2024-972999"/>
    <d v="2024-09-06T00:00:00"/>
    <d v="2024-10-04T00:00:00"/>
    <s v="Africa"/>
    <x v="11"/>
    <s v="Cape Town"/>
    <s v="Corporate"/>
    <s v="Marketplace"/>
    <s v="D. Smith"/>
    <x v="5"/>
    <x v="398"/>
    <n v="1174.17"/>
    <n v="1641.61"/>
    <n v="0.122"/>
    <n v="9"/>
    <d v="2024-10-04T00:00:00"/>
    <s v="Ok"/>
    <n v="1641.61"/>
    <n v="28"/>
    <x v="399"/>
    <n v="10567.53"/>
    <n v="2404.4722199999997"/>
    <n v="0.18535860380079394"/>
    <s v="Sep-2024"/>
    <m/>
    <s v="Africa. South Africa. Cape Town"/>
    <s v="High"/>
    <x v="0"/>
  </r>
  <r>
    <s v="ORD-2025-608069"/>
    <d v="2025-04-12T00:00:00"/>
    <d v="2025-04-30T00:00:00"/>
    <s v="Africa"/>
    <x v="0"/>
    <s v="Kisumu"/>
    <s v="Corporate"/>
    <s v="Marketplace"/>
    <s v="F. Müller"/>
    <x v="2"/>
    <x v="399"/>
    <n v="1119.04"/>
    <n v="1299.02"/>
    <n v="2.5000000000000001E-2"/>
    <n v="14"/>
    <d v="2025-04-30T00:00:00"/>
    <s v="Ok"/>
    <n v="1299.02"/>
    <n v="18"/>
    <x v="400"/>
    <n v="15666.56"/>
    <n v="2065.0630000000001"/>
    <n v="0.11646215352085933"/>
    <s v="Apr-2025"/>
    <m/>
    <s v="Africa. Kenya. Kisumu"/>
    <s v="High"/>
    <x v="0"/>
  </r>
  <r>
    <s v="ORD-2024-626750"/>
    <d v="2024-08-12T00:00:00"/>
    <d v="2024-08-15T00:00:00"/>
    <s v="Americas"/>
    <x v="10"/>
    <s v="Chicago"/>
    <s v="Corporate"/>
    <s v="Marketplace"/>
    <s v="D. Smith"/>
    <x v="1"/>
    <x v="400"/>
    <n v="850.7"/>
    <n v="1118.56"/>
    <n v="0.18"/>
    <n v="19"/>
    <d v="2024-08-15T00:00:00"/>
    <s v="Ok"/>
    <n v="1118.56"/>
    <n v="3"/>
    <x v="401"/>
    <n v="16163.300000000001"/>
    <n v="1263.8648000000012"/>
    <n v="7.2522685962090688E-2"/>
    <s v="Aug-2024"/>
    <m/>
    <s v="Americas. USA. Chicago"/>
    <s v="Low"/>
    <x v="0"/>
  </r>
  <r>
    <s v="ORD-2024-170021"/>
    <d v="2024-11-05T00:00:00"/>
    <d v="2024-11-08T00:00:00"/>
    <s v="Americas"/>
    <x v="3"/>
    <s v="Toronto"/>
    <s v="Education"/>
    <s v="Marketplace"/>
    <s v="O. Wang"/>
    <x v="0"/>
    <x v="401"/>
    <n v="1020.4"/>
    <n v="1184.71"/>
    <n v="0.106"/>
    <n v="16"/>
    <d v="2024-11-08T00:00:00"/>
    <s v="Ok"/>
    <n v="1184.71"/>
    <n v="3"/>
    <x v="402"/>
    <n v="16326.4"/>
    <n v="619.69184000000132"/>
    <n v="3.6568422138328345E-2"/>
    <s v="Nov-2024"/>
    <m/>
    <s v="Americas. Canada. Toronto"/>
    <s v="Low"/>
    <x v="0"/>
  </r>
  <r>
    <s v="ORD-2024-678110"/>
    <d v="2024-07-24T00:00:00"/>
    <d v="2024-08-08T00:00:00"/>
    <s v="Europe"/>
    <x v="7"/>
    <s v="Marseille"/>
    <s v="Enterprise"/>
    <s v="Marketplace"/>
    <s v="H. Kim"/>
    <x v="4"/>
    <x v="402"/>
    <n v="501.5"/>
    <n v="1201.47"/>
    <n v="0.126"/>
    <n v="5"/>
    <d v="2024-08-08T00:00:00"/>
    <s v="Ok"/>
    <n v="1201.47"/>
    <n v="15"/>
    <x v="403"/>
    <n v="2507.5"/>
    <n v="2742.9239000000007"/>
    <n v="0.52241951359394057"/>
    <s v="Jul-2024"/>
    <m/>
    <s v="Europe. France. Marseille"/>
    <s v="High"/>
    <x v="0"/>
  </r>
  <r>
    <s v="ORD-2025-909340"/>
    <d v="2025-01-20T00:00:00"/>
    <d v="2025-02-03T00:00:00"/>
    <s v="Americas"/>
    <x v="5"/>
    <s v="Brasília"/>
    <s v="Enterprise"/>
    <s v="Marketplace"/>
    <s v="F. Müller"/>
    <x v="0"/>
    <x v="403"/>
    <n v="974.11"/>
    <n v="880.99"/>
    <n v="0.111"/>
    <n v="10"/>
    <d v="2025-02-03T00:00:00"/>
    <s v="Ok"/>
    <n v="880.99"/>
    <n v="14"/>
    <x v="404"/>
    <n v="9741.1"/>
    <n v="-1909.0989000000009"/>
    <n v="-0.2437562093805121"/>
    <s v="Jan-2025"/>
    <m/>
    <s v="Americas. Brazil. Brasília"/>
    <s v="Low"/>
    <x v="0"/>
  </r>
  <r>
    <s v="ORD-2023-854471"/>
    <d v="2023-03-06T00:00:00"/>
    <d v="2023-04-04T00:00:00"/>
    <s v="Asia"/>
    <x v="9"/>
    <s v="Beijing"/>
    <s v="Small Business"/>
    <s v="Direct"/>
    <s v="C. Otieno"/>
    <x v="5"/>
    <x v="404"/>
    <n v="1126.29"/>
    <n v="2050.87"/>
    <n v="6.4000000000000001E-2"/>
    <n v="7"/>
    <d v="2023-04-04T00:00:00"/>
    <s v="Ok"/>
    <n v="2050.87"/>
    <n v="29"/>
    <x v="405"/>
    <n v="7884.03"/>
    <n v="5553.2702399999989"/>
    <n v="0.41327276616690373"/>
    <s v="Mar-2023"/>
    <m/>
    <s v="Asia. China. Beijing"/>
    <s v="High"/>
    <x v="0"/>
  </r>
  <r>
    <s v="ORD-2024-390951"/>
    <d v="2024-12-20T00:00:00"/>
    <d v="2025-01-14T00:00:00"/>
    <s v="Asia"/>
    <x v="4"/>
    <s v="Delhi"/>
    <s v="Small Business"/>
    <s v="Retail"/>
    <s v="M. Rossi"/>
    <x v="1"/>
    <x v="405"/>
    <n v="1361.34"/>
    <n v="1737.9"/>
    <n v="7.6999999999999999E-2"/>
    <n v="14"/>
    <d v="2025-01-14T00:00:00"/>
    <s v="Ok"/>
    <n v="1737.9"/>
    <n v="25"/>
    <x v="406"/>
    <n v="19058.759999999998"/>
    <n v="3398.3838000000032"/>
    <n v="0.15132751654731813"/>
    <s v="Dec-2024"/>
    <m/>
    <s v="Asia. India. Delhi"/>
    <s v="High"/>
    <x v="0"/>
  </r>
  <r>
    <s v="ORD-2025-881624"/>
    <d v="2025-02-21T00:00:00"/>
    <d v="2025-03-21T00:00:00"/>
    <s v="Africa"/>
    <x v="1"/>
    <s v="Abuja"/>
    <s v="Enterprise"/>
    <s v="Marketplace"/>
    <s v="I. Johnson"/>
    <x v="3"/>
    <x v="406"/>
    <n v="1437.39"/>
    <n v="1388.31"/>
    <n v="0.13800000000000001"/>
    <n v="18"/>
    <d v="2025-03-21T00:00:00"/>
    <s v="Ok"/>
    <n v="1388.31"/>
    <n v="28"/>
    <x v="407"/>
    <n v="25873.02"/>
    <n v="-4332.002040000003"/>
    <n v="-0.20110479681341872"/>
    <s v="Feb-2025"/>
    <m/>
    <s v="Africa. Nigeria. Abuja"/>
    <s v="High"/>
    <x v="0"/>
  </r>
  <r>
    <s v="ORD-2025-512310"/>
    <d v="2025-03-08T00:00:00"/>
    <d v="2025-03-15T00:00:00"/>
    <s v="Asia"/>
    <x v="4"/>
    <s v="Bengaluru"/>
    <s v="Corporate"/>
    <s v="Distributor"/>
    <s v="K. Singh"/>
    <x v="4"/>
    <x v="407"/>
    <n v="475.66"/>
    <n v="529.14"/>
    <n v="0.19600000000000001"/>
    <n v="11"/>
    <d v="2025-03-15T00:00:00"/>
    <s v="Ok"/>
    <n v="529.14"/>
    <n v="7"/>
    <x v="408"/>
    <n v="5232.26"/>
    <n v="-552.54583999999977"/>
    <n v="-0.11807256193613323"/>
    <s v="Mar-2025"/>
    <m/>
    <s v="Asia. India. Bengaluru"/>
    <s v="Low"/>
    <x v="0"/>
  </r>
  <r>
    <s v="ORD-2023-674887"/>
    <d v="2023-12-16T00:00:00"/>
    <d v="2023-12-19T00:00:00"/>
    <s v="Asia"/>
    <x v="9"/>
    <s v="Beijing"/>
    <s v="Education"/>
    <s v="Retail"/>
    <s v="A. Patel"/>
    <x v="6"/>
    <x v="408"/>
    <n v="1415.05"/>
    <n v="1972.38"/>
    <n v="0"/>
    <n v="12"/>
    <d v="2023-12-19T00:00:00"/>
    <s v="Ok"/>
    <n v="1972.38"/>
    <n v="3"/>
    <x v="409"/>
    <n v="16980.599999999999"/>
    <n v="6687.9600000000028"/>
    <n v="0.28256725377462771"/>
    <s v="Dec-2023"/>
    <m/>
    <s v="Asia. China. Beijing"/>
    <s v="High"/>
    <x v="0"/>
  </r>
  <r>
    <s v="ORD-2024-542244"/>
    <d v="2024-08-30T00:00:00"/>
    <d v="2024-09-05T00:00:00"/>
    <s v="Asia"/>
    <x v="2"/>
    <s v="Nagoya"/>
    <s v="Education"/>
    <s v="Online"/>
    <s v="N. Brown"/>
    <x v="4"/>
    <x v="409"/>
    <n v="466.16"/>
    <n v="876.81"/>
    <n v="0.24099999999999999"/>
    <n v="8"/>
    <d v="2024-09-05T00:00:00"/>
    <s v="Ok"/>
    <n v="876.81"/>
    <n v="6"/>
    <x v="410"/>
    <n v="3729.28"/>
    <n v="1594.7103199999997"/>
    <n v="0.29953291124691594"/>
    <s v="Aug-2024"/>
    <m/>
    <s v="Asia. Japan. Nagoya"/>
    <s v="Low"/>
    <x v="1"/>
  </r>
  <r>
    <s v="ORD-2024-375848"/>
    <d v="2024-05-18T00:00:00"/>
    <d v="2024-05-21T00:00:00"/>
    <s v="Europe"/>
    <x v="7"/>
    <s v="Marseille"/>
    <s v="Non-Profit"/>
    <s v="Marketplace"/>
    <s v="D. Smith"/>
    <x v="1"/>
    <x v="410"/>
    <n v="663.66"/>
    <n v="824.26"/>
    <n v="0.23899999999999999"/>
    <n v="11"/>
    <d v="2024-05-21T00:00:00"/>
    <s v="Ok"/>
    <n v="824.26"/>
    <n v="3"/>
    <x v="411"/>
    <n v="7300.2599999999993"/>
    <n v="-400.379539999999"/>
    <n v="-5.8027025587048933E-2"/>
    <s v="May-2024"/>
    <m/>
    <s v="Europe. France. Marseille"/>
    <s v="Low"/>
    <x v="0"/>
  </r>
  <r>
    <s v="ORD-2023-933238"/>
    <d v="2023-03-17T00:00:00"/>
    <d v="2023-04-06T00:00:00"/>
    <s v="Europe"/>
    <x v="6"/>
    <s v="Munich"/>
    <s v="Consumer"/>
    <s v="Retail"/>
    <s v="O. Wang"/>
    <x v="3"/>
    <x v="411"/>
    <n v="692.18"/>
    <n v="1159.3499999999999"/>
    <n v="0.112"/>
    <n v="2"/>
    <d v="2023-04-06T00:00:00"/>
    <s v="Ok"/>
    <n v="1159.3499999999999"/>
    <n v="20"/>
    <x v="412"/>
    <n v="1384.36"/>
    <n v="674.64560000000006"/>
    <n v="0.32765602968734037"/>
    <s v="Mar-2023"/>
    <m/>
    <s v="Europe. Germany. Munich"/>
    <s v="Low"/>
    <x v="0"/>
  </r>
  <r>
    <s v="ORD-2023-732585"/>
    <d v="2023-08-25T00:00:00"/>
    <d v="2023-09-16T00:00:00"/>
    <s v="Africa"/>
    <x v="1"/>
    <s v="Abuja"/>
    <s v="Corporate"/>
    <s v="Marketplace"/>
    <s v="L. Okafor"/>
    <x v="3"/>
    <x v="412"/>
    <n v="1196.83"/>
    <n v="2513.5100000000002"/>
    <n v="8.3000000000000004E-2"/>
    <n v="7"/>
    <d v="2023-09-16T00:00:00"/>
    <s v="Ok"/>
    <n v="2513.5100000000002"/>
    <n v="22"/>
    <x v="413"/>
    <n v="8377.81"/>
    <n v="7756.4106900000006"/>
    <n v="0.48074281609445374"/>
    <s v="Aug-2023"/>
    <m/>
    <s v="Africa. Nigeria. Abuja"/>
    <s v="High"/>
    <x v="0"/>
  </r>
  <r>
    <s v="ORD-2024-465898"/>
    <d v="2024-06-06T00:00:00"/>
    <d v="2024-06-24T00:00:00"/>
    <s v="Asia"/>
    <x v="4"/>
    <s v="Bengaluru"/>
    <s v="Small Business"/>
    <s v="Direct"/>
    <s v="H. Kim"/>
    <x v="2"/>
    <x v="413"/>
    <n v="1253.25"/>
    <n v="3087.13"/>
    <n v="7.1999999999999995E-2"/>
    <n v="11"/>
    <d v="2024-06-24T00:00:00"/>
    <s v="Ok"/>
    <n v="3087.13"/>
    <n v="18"/>
    <x v="414"/>
    <n v="13785.75"/>
    <n v="17727.673040000001"/>
    <n v="0.562543555408064"/>
    <s v="Jun-2024"/>
    <m/>
    <s v="Asia. India. Bengaluru"/>
    <s v="High"/>
    <x v="0"/>
  </r>
  <r>
    <s v="ORD-2023-987081"/>
    <d v="2023-08-29T00:00:00"/>
    <d v="2023-09-13T00:00:00"/>
    <s v="Americas"/>
    <x v="3"/>
    <s v="Vancouver"/>
    <s v="Small Business"/>
    <s v="Marketplace"/>
    <s v="O. Wang"/>
    <x v="1"/>
    <x v="414"/>
    <n v="1287.6400000000001"/>
    <n v="2717.15"/>
    <n v="3.2000000000000001E-2"/>
    <n v="7"/>
    <d v="2023-09-13T00:00:00"/>
    <s v="Ok"/>
    <n v="2717.15"/>
    <n v="15"/>
    <x v="415"/>
    <n v="9013.4800000000014"/>
    <n v="9397.9283999999989"/>
    <n v="0.51044049405802105"/>
    <s v="Aug-2023"/>
    <m/>
    <s v="Americas. Canada. Vancouver"/>
    <s v="High"/>
    <x v="0"/>
  </r>
  <r>
    <s v="ORD-2024-655710"/>
    <d v="2024-11-30T00:00:00"/>
    <d v="2024-12-10T00:00:00"/>
    <s v="Asia"/>
    <x v="4"/>
    <s v="Hyderabad"/>
    <s v="Small Business"/>
    <s v="Retail"/>
    <s v="F. Müller"/>
    <x v="6"/>
    <x v="415"/>
    <n v="851.49"/>
    <n v="901.79"/>
    <n v="0.245"/>
    <n v="16"/>
    <d v="2024-12-10T00:00:00"/>
    <s v="Ok"/>
    <n v="901.79"/>
    <n v="10"/>
    <x v="416"/>
    <n v="13623.84"/>
    <n v="-2730.2168000000001"/>
    <n v="-0.25062522816100341"/>
    <s v="Nov-2024"/>
    <m/>
    <s v="Asia. India. Hyderabad"/>
    <s v="Low"/>
    <x v="0"/>
  </r>
  <r>
    <s v="ORD-2025-411385"/>
    <d v="2025-06-05T00:00:00"/>
    <d v="2025-06-14T00:00:00"/>
    <s v="Asia"/>
    <x v="4"/>
    <s v="Delhi"/>
    <s v="Non-Profit"/>
    <s v="Retail"/>
    <s v="A. Patel"/>
    <x v="6"/>
    <x v="416"/>
    <n v="618.69000000000005"/>
    <n v="796.15"/>
    <n v="0.09"/>
    <n v="11"/>
    <d v="2025-06-14T00:00:00"/>
    <s v="Ok"/>
    <n v="796.15"/>
    <n v="9"/>
    <x v="417"/>
    <n v="6805.59"/>
    <n v="1163.8715000000002"/>
    <n v="0.14604142325049191"/>
    <s v="Jun-2025"/>
    <m/>
    <s v="Asia. India. Delhi"/>
    <s v="Low"/>
    <x v="0"/>
  </r>
  <r>
    <s v="ORD-2025-222035"/>
    <d v="2025-03-14T00:00:00"/>
    <d v="2025-04-08T00:00:00"/>
    <s v="Asia"/>
    <x v="9"/>
    <s v="Unknown"/>
    <s v="Corporate"/>
    <s v="Distributor"/>
    <s v="D. Smith"/>
    <x v="1"/>
    <x v="417"/>
    <n v="80.59"/>
    <n v="157.82"/>
    <n v="0.217"/>
    <n v="6"/>
    <d v="2025-04-08T00:00:00"/>
    <s v="Ok"/>
    <n v="157.82"/>
    <n v="25"/>
    <x v="418"/>
    <n v="483.54"/>
    <n v="257.89835999999997"/>
    <n v="0.34783519967863541"/>
    <s v="Mar-2025"/>
    <m/>
    <s v="Asia. China. Unknown"/>
    <s v="Low"/>
    <x v="0"/>
  </r>
  <r>
    <s v="ORD-2024-749242"/>
    <d v="2024-01-16T00:00:00"/>
    <d v="2024-02-11T00:00:00"/>
    <s v="Europe"/>
    <x v="6"/>
    <s v="Frankfurt"/>
    <s v="Non-Profit"/>
    <s v="Distributor"/>
    <s v="E. Garcia"/>
    <x v="5"/>
    <x v="418"/>
    <n v="504.93"/>
    <n v="819.06"/>
    <n v="0.22600000000000001"/>
    <n v="15"/>
    <d v="2024-02-11T00:00:00"/>
    <s v="Ok"/>
    <n v="819.06"/>
    <n v="26"/>
    <x v="419"/>
    <n v="7573.95"/>
    <n v="1935.3365999999996"/>
    <n v="0.20352069312959814"/>
    <s v="Jan-2024"/>
    <m/>
    <s v="Europe. Germany. Frankfurt"/>
    <s v="Low"/>
    <x v="0"/>
  </r>
  <r>
    <s v="ORD-2023-623293"/>
    <d v="2023-10-12T00:00:00"/>
    <d v="2023-10-29T00:00:00"/>
    <s v="Asia"/>
    <x v="2"/>
    <s v="Nagoya"/>
    <s v="Non-Profit"/>
    <s v="Direct"/>
    <s v="H. Kim"/>
    <x v="3"/>
    <x v="419"/>
    <n v="1102.19"/>
    <n v="1711.16"/>
    <n v="0.151"/>
    <n v="10"/>
    <d v="2023-10-29T00:00:00"/>
    <s v="Ok"/>
    <n v="1711.16"/>
    <n v="17"/>
    <x v="420"/>
    <n v="11021.900000000001"/>
    <n v="3505.8484000000008"/>
    <n v="0.24132083675127525"/>
    <s v="Oct-2023"/>
    <m/>
    <s v="Asia. Japan. Nagoya"/>
    <s v="High"/>
    <x v="1"/>
  </r>
  <r>
    <s v="ORD-2025-276968"/>
    <d v="2025-02-25T00:00:00"/>
    <d v="2025-03-17T00:00:00"/>
    <s v="Americas"/>
    <x v="10"/>
    <s v="San Francisco"/>
    <s v="Non-Profit"/>
    <s v="Marketplace"/>
    <s v="H. Kim"/>
    <x v="3"/>
    <x v="420"/>
    <n v="1205.26"/>
    <n v="1696.35"/>
    <n v="1.9E-2"/>
    <n v="6"/>
    <d v="2025-03-17T00:00:00"/>
    <s v="Ok"/>
    <n v="1696.35"/>
    <n v="20"/>
    <x v="421"/>
    <n v="7231.5599999999995"/>
    <n v="2753.1560999999983"/>
    <n v="0.27573704374028213"/>
    <s v="Feb-2025"/>
    <m/>
    <s v="Americas. USA. San Francisco"/>
    <s v="High"/>
    <x v="0"/>
  </r>
  <r>
    <s v="ORD-2025-650841"/>
    <d v="2025-07-03T00:00:00"/>
    <d v="2025-07-06T00:00:00"/>
    <s v="Africa"/>
    <x v="1"/>
    <s v="Lagos"/>
    <s v="Consumer"/>
    <s v="Online"/>
    <s v="Unknown"/>
    <x v="4"/>
    <x v="421"/>
    <n v="1313.3"/>
    <n v="2884.34"/>
    <n v="0.157"/>
    <n v="42"/>
    <d v="2025-07-06T00:00:00"/>
    <s v="Ok"/>
    <n v="2884.34"/>
    <n v="3"/>
    <x v="422"/>
    <n v="55158.6"/>
    <n v="46964.342039999996"/>
    <n v="0.45988042551305253"/>
    <s v="Jul-2025"/>
    <m/>
    <s v="Africa. Nigeria. Lagos"/>
    <s v="High"/>
    <x v="0"/>
  </r>
  <r>
    <s v="ORD-2025-831576"/>
    <d v="2025-09-15T00:00:00"/>
    <d v="2025-09-25T00:00:00"/>
    <s v="Asia"/>
    <x v="4"/>
    <s v="Delhi"/>
    <s v="Consumer"/>
    <s v="Retail"/>
    <s v="A. Patel"/>
    <x v="3"/>
    <x v="422"/>
    <n v="1488.91"/>
    <n v="1483.74"/>
    <n v="0.16800000000000001"/>
    <n v="24"/>
    <d v="2025-09-25T00:00:00"/>
    <s v="Ok"/>
    <n v="1483.74"/>
    <n v="10"/>
    <x v="423"/>
    <n v="35733.840000000004"/>
    <n v="-6106.5196800000049"/>
    <n v="-0.20611110333450519"/>
    <s v="Sep-2025"/>
    <m/>
    <s v="Asia. India. Delhi"/>
    <s v="High"/>
    <x v="0"/>
  </r>
  <r>
    <s v="ORD-2024-468655"/>
    <d v="2024-02-19T00:00:00"/>
    <d v="2024-03-06T00:00:00"/>
    <s v="Asia"/>
    <x v="9"/>
    <s v="Beijing"/>
    <s v="Education"/>
    <s v="Marketplace"/>
    <s v="O. Wang"/>
    <x v="1"/>
    <x v="423"/>
    <n v="1477.84"/>
    <n v="3197.47"/>
    <n v="0.24299999999999999"/>
    <n v="24"/>
    <d v="2024-03-06T00:00:00"/>
    <s v="Ok"/>
    <n v="3197.47"/>
    <n v="16"/>
    <x v="424"/>
    <n v="35468.159999999996"/>
    <n v="22623.474960000007"/>
    <n v="0.38944462443823091"/>
    <s v="Feb-2024"/>
    <m/>
    <s v="Asia. China. Beijing"/>
    <s v="High"/>
    <x v="0"/>
  </r>
  <r>
    <s v="ORD-2024-515105"/>
    <d v="2024-02-27T00:00:00"/>
    <d v="2024-03-26T00:00:00"/>
    <s v="Asia"/>
    <x v="4"/>
    <s v="Mumbai"/>
    <s v="Education"/>
    <s v="Marketplace"/>
    <s v="G. Dubois"/>
    <x v="4"/>
    <x v="424"/>
    <n v="1035.19"/>
    <n v="2322.6999999999998"/>
    <n v="0.17299999999999999"/>
    <n v="8"/>
    <d v="2024-03-26T00:00:00"/>
    <s v="Ok"/>
    <n v="2322.6999999999998"/>
    <n v="28"/>
    <x v="425"/>
    <n v="8281.52"/>
    <n v="7085.4631999999983"/>
    <n v="0.46108355217047409"/>
    <s v="Feb-2024"/>
    <m/>
    <s v="Asia. India. Mumbai"/>
    <s v="High"/>
    <x v="0"/>
  </r>
  <r>
    <s v="ORD-2025-803803"/>
    <d v="2025-08-28T00:00:00"/>
    <d v="2025-09-05T00:00:00"/>
    <s v="Africa"/>
    <x v="1"/>
    <s v="Port Harcourt"/>
    <s v="Small Business"/>
    <s v="Marketplace"/>
    <s v="E. Garcia"/>
    <x v="4"/>
    <x v="425"/>
    <n v="1271.0999999999999"/>
    <n v="1932.42"/>
    <n v="0.25"/>
    <n v="21"/>
    <d v="2025-09-05T00:00:00"/>
    <s v="Ok"/>
    <n v="1932.42"/>
    <n v="8"/>
    <x v="426"/>
    <n v="26693.1"/>
    <n v="3742.5149999999994"/>
    <n v="0.12296498690760807"/>
    <s v="Aug-2025"/>
    <m/>
    <s v="Africa. Nigeria. Port Harcourt"/>
    <s v="High"/>
    <x v="0"/>
  </r>
  <r>
    <s v="ORD-2024-993481"/>
    <d v="2024-08-18T00:00:00"/>
    <d v="2024-09-12T00:00:00"/>
    <s v="Asia"/>
    <x v="4"/>
    <s v="Mumbai"/>
    <s v="Consumer"/>
    <s v="Marketplace"/>
    <s v="C. Otieno"/>
    <x v="3"/>
    <x v="426"/>
    <n v="1154.03"/>
    <n v="1590.36"/>
    <n v="0.314"/>
    <n v="18"/>
    <d v="2024-09-12T00:00:00"/>
    <s v="Ok"/>
    <n v="1590.36"/>
    <n v="25"/>
    <x v="427"/>
    <n v="20772.54"/>
    <n v="-1134.7747200000013"/>
    <n v="-5.7785328616576745E-2"/>
    <s v="Aug-2024"/>
    <m/>
    <s v="Asia. India. Mumbai"/>
    <s v="High"/>
    <x v="0"/>
  </r>
  <r>
    <s v="ORD-2024-811752"/>
    <d v="2024-02-25T00:00:00"/>
    <d v="2024-03-09T00:00:00"/>
    <s v="Europe"/>
    <x v="7"/>
    <s v="Marseille"/>
    <s v="Small Business"/>
    <s v="Distributor"/>
    <s v="E. Garcia"/>
    <x v="5"/>
    <x v="427"/>
    <n v="322.44"/>
    <n v="395.61"/>
    <n v="0"/>
    <n v="34"/>
    <d v="2024-03-09T00:00:00"/>
    <s v="Ok"/>
    <n v="395.61"/>
    <n v="13"/>
    <x v="428"/>
    <n v="10962.96"/>
    <n v="2487.7800000000007"/>
    <n v="0.18495487980586947"/>
    <s v="Feb-2024"/>
    <m/>
    <s v="Europe. France. Marseille"/>
    <s v="Low"/>
    <x v="0"/>
  </r>
  <r>
    <s v="ORD-2025-673091"/>
    <d v="2025-05-07T00:00:00"/>
    <d v="2025-05-13T00:00:00"/>
    <s v="Asia"/>
    <x v="4"/>
    <s v="Bengaluru"/>
    <s v="Enterprise"/>
    <s v="Direct"/>
    <s v="J. Njeri"/>
    <x v="3"/>
    <x v="428"/>
    <n v="935.98"/>
    <n v="2077.69"/>
    <n v="0.17499999999999999"/>
    <n v="24"/>
    <d v="2025-05-13T00:00:00"/>
    <s v="Ok"/>
    <n v="2077.69"/>
    <n v="6"/>
    <x v="429"/>
    <n v="22463.52"/>
    <n v="18674.741999999995"/>
    <n v="0.45395067978321491"/>
    <s v="May-2025"/>
    <m/>
    <s v="Asia. India. Bengaluru"/>
    <s v="High"/>
    <x v="0"/>
  </r>
  <r>
    <s v="ORD-2024-381197"/>
    <d v="2024-11-01T00:00:00"/>
    <d v="2024-11-12T00:00:00"/>
    <s v="Europe"/>
    <x v="6"/>
    <s v="Frankfurt"/>
    <s v="Consumer"/>
    <s v="Online"/>
    <s v="B. Chen"/>
    <x v="1"/>
    <x v="429"/>
    <n v="599.84"/>
    <n v="1330.85"/>
    <n v="0.115"/>
    <n v="11"/>
    <d v="2024-11-12T00:00:00"/>
    <s v="Ok"/>
    <n v="1330.85"/>
    <n v="11"/>
    <x v="430"/>
    <n v="6598.2400000000007"/>
    <n v="6357.5847499999973"/>
    <n v="0.49071246892252063"/>
    <s v="Nov-2024"/>
    <m/>
    <s v="Europe. Germany. Frankfurt"/>
    <s v="High"/>
    <x v="0"/>
  </r>
  <r>
    <s v="ORD-2024-651852"/>
    <d v="2024-12-28T00:00:00"/>
    <d v="2025-01-08T00:00:00"/>
    <s v="Asia"/>
    <x v="9"/>
    <s v="Shenzhen"/>
    <s v="Enterprise"/>
    <s v="Online"/>
    <s v="K. Singh"/>
    <x v="4"/>
    <x v="430"/>
    <n v="1201.31"/>
    <n v="2764.65"/>
    <n v="0"/>
    <n v="21"/>
    <d v="2025-01-08T00:00:00"/>
    <s v="Ok"/>
    <n v="2764.65"/>
    <n v="11"/>
    <x v="431"/>
    <n v="25227.51"/>
    <n v="32830.14"/>
    <n v="0.56547483406579491"/>
    <s v="Dec-2024"/>
    <m/>
    <s v="Asia. China. Shenzhen"/>
    <s v="High"/>
    <x v="0"/>
  </r>
  <r>
    <s v="ORD-2023-659070"/>
    <d v="2023-10-21T00:00:00"/>
    <d v="2023-10-21T00:00:00"/>
    <s v="Europe"/>
    <x v="8"/>
    <s v="Manchester"/>
    <s v="Enterprise"/>
    <s v="Distributor"/>
    <s v="J. Njeri"/>
    <x v="5"/>
    <x v="431"/>
    <n v="384.19"/>
    <n v="278.35000000000002"/>
    <n v="5.6000000000000001E-2"/>
    <n v="10"/>
    <d v="2023-10-21T00:00:00"/>
    <s v="Ok"/>
    <n v="278.35000000000002"/>
    <n v="0"/>
    <x v="432"/>
    <n v="3841.9"/>
    <n v="-1214.2760000000003"/>
    <n v="-0.46211938998882657"/>
    <s v="Oct-2023"/>
    <m/>
    <s v="Europe. United Kingdom. Manchester"/>
    <s v="Low"/>
    <x v="0"/>
  </r>
  <r>
    <s v="ORD-2024-837651"/>
    <d v="2024-12-10T00:00:00"/>
    <d v="2024-12-19T00:00:00"/>
    <s v="Africa"/>
    <x v="1"/>
    <s v="Lagos"/>
    <s v="Corporate"/>
    <s v="Retail"/>
    <s v="O. Wang"/>
    <x v="5"/>
    <x v="432"/>
    <n v="488.68"/>
    <n v="984.36"/>
    <n v="5.8999999999999997E-2"/>
    <n v="14"/>
    <d v="2024-12-19T00:00:00"/>
    <s v="Ok"/>
    <n v="984.36"/>
    <n v="9"/>
    <x v="433"/>
    <n v="6841.52"/>
    <n v="6126.4386400000003"/>
    <n v="0.47242891576649876"/>
    <s v="Dec-2024"/>
    <m/>
    <s v="Africa. Nigeria. Lagos"/>
    <s v="Low"/>
    <x v="0"/>
  </r>
  <r>
    <s v="ORD-2024-581530"/>
    <d v="2024-09-07T00:00:00"/>
    <d v="2024-09-18T00:00:00"/>
    <s v="Asia"/>
    <x v="9"/>
    <s v="Beijing"/>
    <s v="Consumer"/>
    <s v="Distributor"/>
    <s v="O. Wang"/>
    <x v="2"/>
    <x v="433"/>
    <n v="181.74"/>
    <n v="190.84"/>
    <n v="0.214"/>
    <n v="13"/>
    <d v="2024-09-18T00:00:00"/>
    <s v="Ok"/>
    <n v="190.84"/>
    <n v="11"/>
    <x v="434"/>
    <n v="2362.62"/>
    <n v="-412.61687999999981"/>
    <n v="-0.21159806144310159"/>
    <s v="Sep-2024"/>
    <m/>
    <s v="Asia. China. Beijing"/>
    <s v="Low"/>
    <x v="0"/>
  </r>
  <r>
    <s v="ORD-2023-378104"/>
    <d v="2023-10-18T00:00:00"/>
    <d v="2023-10-20T00:00:00"/>
    <s v="Africa"/>
    <x v="0"/>
    <s v="Kisumu"/>
    <s v="Consumer"/>
    <s v="Retail"/>
    <s v="J. Njeri"/>
    <x v="3"/>
    <x v="434"/>
    <n v="774.12"/>
    <n v="908.3"/>
    <n v="0"/>
    <n v="30"/>
    <d v="2023-10-20T00:00:00"/>
    <s v="Ok"/>
    <n v="908.3"/>
    <n v="2"/>
    <x v="435"/>
    <n v="23223.599999999999"/>
    <n v="4025.4000000000015"/>
    <n v="0.14772652207420461"/>
    <s v="Oct-2023"/>
    <m/>
    <s v="Africa. Kenya. Kisumu"/>
    <s v="Low"/>
    <x v="0"/>
  </r>
  <r>
    <s v="ORD-2024-972318"/>
    <d v="2024-12-24T00:00:00"/>
    <d v="2025-01-13T00:00:00"/>
    <s v="Asia"/>
    <x v="4"/>
    <s v="Bengaluru"/>
    <s v="Corporate"/>
    <s v="Marketplace"/>
    <s v="D. Smith"/>
    <x v="2"/>
    <x v="435"/>
    <n v="126.15"/>
    <n v="284.23"/>
    <n v="0.113"/>
    <n v="22"/>
    <d v="2025-01-13T00:00:00"/>
    <s v="Ok"/>
    <n v="284.23"/>
    <n v="20"/>
    <x v="436"/>
    <n v="2775.3"/>
    <n v="2771.1642200000006"/>
    <n v="0.49962716968541088"/>
    <s v="Dec-2024"/>
    <m/>
    <s v="Asia. India. Bengaluru"/>
    <s v="Low"/>
    <x v="0"/>
  </r>
  <r>
    <s v="ORD-2023-752962"/>
    <d v="2023-04-21T00:00:00"/>
    <d v="2023-04-19T00:00:00"/>
    <s v="Asia"/>
    <x v="2"/>
    <s v="Nagoya"/>
    <s v="Small Business"/>
    <s v="Direct"/>
    <s v="M. Rossi"/>
    <x v="0"/>
    <x v="436"/>
    <n v="607.04"/>
    <n v="1229.3399999999999"/>
    <n v="0.14699999999999999"/>
    <n v="7"/>
    <d v="2023-04-28T00:00:00"/>
    <s v="Ok"/>
    <n v="1229.3399999999999"/>
    <n v="7"/>
    <x v="437"/>
    <n v="4249.28"/>
    <n v="3091.1091399999996"/>
    <n v="0.42110970972310058"/>
    <s v="Apr-2023"/>
    <m/>
    <s v="Asia. Japan. Nagoya"/>
    <s v="High"/>
    <x v="1"/>
  </r>
  <r>
    <s v="ORD-2023-808024"/>
    <d v="2023-12-30T00:00:00"/>
    <d v="2024-01-08T00:00:00"/>
    <s v="Europe"/>
    <x v="7"/>
    <s v="Marseille"/>
    <s v="Consumer"/>
    <s v="Marketplace"/>
    <s v="L. Okafor"/>
    <x v="6"/>
    <x v="437"/>
    <n v="861.1"/>
    <n v="1224.72"/>
    <n v="0.17399999999999999"/>
    <n v="24"/>
    <d v="2024-01-08T00:00:00"/>
    <s v="Ok"/>
    <n v="1224.72"/>
    <n v="9"/>
    <x v="438"/>
    <n v="20666.400000000001"/>
    <n v="3612.4492800000007"/>
    <n v="0.14878997098827909"/>
    <s v="Dec-2023"/>
    <m/>
    <s v="Europe. France. Marseille"/>
    <s v="High"/>
    <x v="0"/>
  </r>
  <r>
    <s v="ORD-2023-156396"/>
    <d v="2023-02-21T00:00:00"/>
    <d v="2023-03-12T00:00:00"/>
    <s v="Africa"/>
    <x v="0"/>
    <s v="Nakuru"/>
    <s v="Corporate"/>
    <s v="Online"/>
    <s v="F. Müller"/>
    <x v="2"/>
    <x v="438"/>
    <n v="352.65"/>
    <n v="485.86"/>
    <n v="4.1000000000000002E-2"/>
    <n v="6"/>
    <d v="2023-03-12T00:00:00"/>
    <s v="Ok"/>
    <n v="485.86"/>
    <n v="19"/>
    <x v="439"/>
    <n v="2115.8999999999996"/>
    <n v="679.73844000000008"/>
    <n v="0.24314247159943908"/>
    <s v="Feb-2023"/>
    <m/>
    <s v="Africa. Kenya. Nakuru"/>
    <s v="Low"/>
    <x v="0"/>
  </r>
  <r>
    <s v="ORD-2023-184577"/>
    <d v="2023-05-17T00:00:00"/>
    <d v="2023-06-03T00:00:00"/>
    <s v="Asia"/>
    <x v="9"/>
    <s v="Beijing"/>
    <s v="Non-Profit"/>
    <s v="Distributor"/>
    <s v="M. Rossi"/>
    <x v="1"/>
    <x v="439"/>
    <n v="979.59"/>
    <n v="2210.94"/>
    <n v="0.15"/>
    <n v="11"/>
    <d v="2023-06-03T00:00:00"/>
    <s v="Ok"/>
    <n v="2210.94"/>
    <n v="17"/>
    <x v="440"/>
    <n v="10775.49"/>
    <n v="9896.7990000000009"/>
    <n v="0.47874712858358359"/>
    <s v="May-2023"/>
    <m/>
    <s v="Asia. China. Beijing"/>
    <s v="High"/>
    <x v="0"/>
  </r>
  <r>
    <s v="ORD-2024-446030"/>
    <d v="2024-03-23T00:00:00"/>
    <d v="2024-03-26T00:00:00"/>
    <s v="Asia"/>
    <x v="4"/>
    <s v="Bengaluru"/>
    <s v="Education"/>
    <s v="Direct"/>
    <s v="G. Dubois"/>
    <x v="3"/>
    <x v="440"/>
    <n v="382.21"/>
    <n v="571.89"/>
    <n v="0.14799999999999999"/>
    <n v="26"/>
    <d v="2024-03-26T00:00:00"/>
    <s v="Ok"/>
    <n v="571.89"/>
    <n v="3"/>
    <x v="441"/>
    <n v="9937.4599999999991"/>
    <n v="2731.0472800000007"/>
    <n v="0.2155776698578809"/>
    <s v="Mar-2024"/>
    <m/>
    <s v="Asia. India. Bengaluru"/>
    <s v="Low"/>
    <x v="0"/>
  </r>
  <r>
    <s v="ORD-2023-842820"/>
    <d v="2023-09-20T00:00:00"/>
    <d v="2023-09-28T00:00:00"/>
    <s v="Asia"/>
    <x v="4"/>
    <s v="Unknown"/>
    <s v="Corporate"/>
    <s v="Unknown"/>
    <s v="B. Chen"/>
    <x v="6"/>
    <x v="441"/>
    <n v="1362.06"/>
    <n v="3398.37"/>
    <n v="0.157"/>
    <n v="11"/>
    <d v="2023-09-28T00:00:00"/>
    <s v="Ok"/>
    <n v="3398.37"/>
    <n v="8"/>
    <x v="442"/>
    <n v="14982.66"/>
    <n v="16530.425009999999"/>
    <n v="0.52455749745714919"/>
    <s v="Sep-2023"/>
    <m/>
    <s v="Asia. India. Unknown"/>
    <s v="High"/>
    <x v="0"/>
  </r>
  <r>
    <s v="ORD-2024-745424"/>
    <d v="2024-08-22T00:00:00"/>
    <d v="2024-09-04T00:00:00"/>
    <s v="Europe"/>
    <x v="6"/>
    <s v="Frankfurt"/>
    <s v="Non-Profit"/>
    <s v="Retail"/>
    <s v="L. Okafor"/>
    <x v="1"/>
    <x v="442"/>
    <n v="90.04"/>
    <n v="194.62"/>
    <n v="4.2999999999999997E-2"/>
    <n v="32"/>
    <d v="2024-09-04T00:00:00"/>
    <s v="Ok"/>
    <n v="194.62"/>
    <n v="13"/>
    <x v="443"/>
    <n v="2881.28"/>
    <n v="3078.7628799999998"/>
    <n v="0.51656723650954672"/>
    <s v="Aug-2024"/>
    <m/>
    <s v="Europe. Germany. Frankfurt"/>
    <s v="Low"/>
    <x v="0"/>
  </r>
  <r>
    <s v="ORD-2024-510520"/>
    <d v="2024-09-25T00:00:00"/>
    <d v="2024-10-03T00:00:00"/>
    <s v="Americas"/>
    <x v="3"/>
    <s v="Toronto"/>
    <s v="Consumer"/>
    <s v="Online"/>
    <s v="E. Garcia"/>
    <x v="1"/>
    <x v="443"/>
    <n v="558.19000000000005"/>
    <n v="1031.6400000000001"/>
    <n v="0"/>
    <n v="21"/>
    <d v="2024-10-03T00:00:00"/>
    <s v="Ok"/>
    <n v="1031.6400000000001"/>
    <n v="8"/>
    <x v="444"/>
    <n v="11721.990000000002"/>
    <n v="9942.4500000000007"/>
    <n v="0.45892947152107322"/>
    <s v="Sep-2024"/>
    <m/>
    <s v="Americas. Canada. Toronto"/>
    <s v="Low"/>
    <x v="0"/>
  </r>
  <r>
    <s v="ORD-2023-769774"/>
    <d v="2023-06-13T00:00:00"/>
    <d v="2023-06-24T00:00:00"/>
    <s v="Americas"/>
    <x v="3"/>
    <s v="Toronto"/>
    <s v="Corporate"/>
    <s v="Online"/>
    <s v="C. Otieno"/>
    <x v="1"/>
    <x v="444"/>
    <n v="247.07"/>
    <n v="495.19"/>
    <n v="2.8000000000000001E-2"/>
    <n v="4"/>
    <d v="2023-06-24T00:00:00"/>
    <s v="Ok"/>
    <n v="495.19"/>
    <n v="11"/>
    <x v="445"/>
    <n v="988.28"/>
    <n v="937.01872000000003"/>
    <n v="0.48668744764968214"/>
    <s v="Jun-2023"/>
    <m/>
    <s v="Americas. Canada. Toronto"/>
    <s v="Low"/>
    <x v="0"/>
  </r>
  <r>
    <s v="ORD-2023-580751"/>
    <d v="2023-12-24T00:00:00"/>
    <d v="2024-01-13T00:00:00"/>
    <s v="Asia"/>
    <x v="2"/>
    <s v="Nagoya"/>
    <s v="Education"/>
    <s v="Direct"/>
    <s v="B. Chen"/>
    <x v="4"/>
    <x v="445"/>
    <n v="625.37"/>
    <n v="1319.04"/>
    <n v="7.3999999999999996E-2"/>
    <n v="8"/>
    <d v="2024-01-13T00:00:00"/>
    <s v="Ok"/>
    <n v="1319.04"/>
    <n v="20"/>
    <x v="446"/>
    <n v="5002.96"/>
    <n v="4768.4883199999995"/>
    <n v="0.48800220436513547"/>
    <s v="Dec-2023"/>
    <m/>
    <s v="Asia. Japan. Nagoya"/>
    <s v="High"/>
    <x v="1"/>
  </r>
  <r>
    <s v="ORD-2025-473192"/>
    <d v="2025-03-30T00:00:00"/>
    <d v="2025-04-29T00:00:00"/>
    <s v="Africa"/>
    <x v="11"/>
    <s v="Durban"/>
    <s v="Consumer"/>
    <s v="Marketplace"/>
    <s v="J. Njeri"/>
    <x v="5"/>
    <x v="446"/>
    <n v="194.6"/>
    <n v="314.87"/>
    <n v="0.29299999999999998"/>
    <n v="25"/>
    <d v="2025-04-29T00:00:00"/>
    <s v="Ok"/>
    <n v="314.87"/>
    <n v="30"/>
    <x v="447"/>
    <n v="4865"/>
    <n v="700.32725000000028"/>
    <n v="0.1258375686712763"/>
    <s v="Mar-2025"/>
    <m/>
    <s v="Africa. South Africa. Durban"/>
    <s v="Low"/>
    <x v="0"/>
  </r>
  <r>
    <s v="ORD-2024-886939"/>
    <d v="2024-06-03T00:00:00"/>
    <d v="2024-06-24T00:00:00"/>
    <s v="Americas"/>
    <x v="3"/>
    <s v="Toronto"/>
    <s v="Small Business"/>
    <s v="Direct"/>
    <s v="G. Dubois"/>
    <x v="5"/>
    <x v="447"/>
    <n v="1205.5"/>
    <n v="2210.17"/>
    <n v="0.104"/>
    <n v="23"/>
    <d v="2024-06-24T00:00:00"/>
    <s v="Ok"/>
    <n v="2210.17"/>
    <n v="21"/>
    <x v="448"/>
    <n v="27726.5"/>
    <n v="17820.683360000003"/>
    <n v="0.39125763758314652"/>
    <s v="Jun-2024"/>
    <m/>
    <s v="Americas. Canada. Toronto"/>
    <s v="High"/>
    <x v="0"/>
  </r>
  <r>
    <s v="ORD-2024-566589"/>
    <d v="2024-06-11T00:00:00"/>
    <d v="2024-07-09T00:00:00"/>
    <s v="Africa"/>
    <x v="1"/>
    <s v="Port Harcourt"/>
    <s v="Corporate"/>
    <s v="Marketplace"/>
    <s v="I. Johnson"/>
    <x v="3"/>
    <x v="448"/>
    <n v="895.54"/>
    <n v="1045"/>
    <n v="0.216"/>
    <n v="15"/>
    <d v="2024-07-09T00:00:00"/>
    <s v="Ok"/>
    <n v="1045"/>
    <n v="28"/>
    <x v="449"/>
    <n v="13433.099999999999"/>
    <n v="-1143.8999999999978"/>
    <n v="-9.3081730299775234E-2"/>
    <s v="Jun-2024"/>
    <m/>
    <s v="Africa. Nigeria. Port Harcourt"/>
    <s v="Low"/>
    <x v="0"/>
  </r>
  <r>
    <s v="ORD-2023-109927"/>
    <d v="2023-07-22T00:00:00"/>
    <d v="2023-07-21T00:00:00"/>
    <s v="Asia"/>
    <x v="4"/>
    <s v="Delhi"/>
    <s v="Small Business"/>
    <s v="Distributor"/>
    <s v="E. Garcia"/>
    <x v="1"/>
    <x v="449"/>
    <n v="946.99"/>
    <n v="2132.19"/>
    <n v="0.16500000000000001"/>
    <n v="7"/>
    <d v="2023-07-29T00:00:00"/>
    <s v="Ok"/>
    <n v="2132.19"/>
    <n v="7"/>
    <x v="450"/>
    <n v="6628.93"/>
    <n v="5833.72055"/>
    <n v="0.46809629513362228"/>
    <s v="Jul-2023"/>
    <m/>
    <s v="Asia. India. Delhi"/>
    <s v="High"/>
    <x v="0"/>
  </r>
  <r>
    <s v="ORD-2023-780206"/>
    <d v="2023-01-19T00:00:00"/>
    <d v="2023-02-03T00:00:00"/>
    <s v="Europe"/>
    <x v="8"/>
    <s v="London"/>
    <s v="Enterprise"/>
    <s v="Distributor"/>
    <s v="G. Dubois"/>
    <x v="6"/>
    <x v="450"/>
    <n v="873.06"/>
    <n v="2101.5500000000002"/>
    <n v="6.6000000000000003E-2"/>
    <n v="10"/>
    <d v="2023-02-03T00:00:00"/>
    <s v="Ok"/>
    <n v="2101.5500000000002"/>
    <n v="15"/>
    <x v="451"/>
    <n v="8730.5999999999985"/>
    <n v="10897.877"/>
    <n v="0.55520746719167269"/>
    <s v="Jan-2023"/>
    <m/>
    <s v="Europe. United Kingdom. London"/>
    <s v="High"/>
    <x v="0"/>
  </r>
  <r>
    <s v="ORD-2024-851993"/>
    <d v="2024-05-01T00:00:00"/>
    <d v="2024-05-16T00:00:00"/>
    <s v="Asia"/>
    <x v="4"/>
    <s v="Bengaluru"/>
    <s v="Small Business"/>
    <s v="Retail"/>
    <s v="L. Okafor"/>
    <x v="0"/>
    <x v="451"/>
    <n v="901.19"/>
    <n v="2125.44"/>
    <n v="7.0999999999999994E-2"/>
    <n v="12"/>
    <d v="2024-05-16T00:00:00"/>
    <s v="Ok"/>
    <n v="2125.44"/>
    <n v="15"/>
    <x v="452"/>
    <n v="10814.28"/>
    <n v="12880.125119999999"/>
    <n v="0.54359352154100415"/>
    <s v="May-2024"/>
    <m/>
    <s v="Asia. India. Bengaluru"/>
    <s v="High"/>
    <x v="0"/>
  </r>
  <r>
    <s v="ORD-2025-417942"/>
    <d v="2025-06-09T00:00:00"/>
    <d v="2025-06-24T00:00:00"/>
    <s v="Asia"/>
    <x v="2"/>
    <s v="Nagoya"/>
    <s v="Corporate"/>
    <s v="Direct"/>
    <s v="B. Chen"/>
    <x v="3"/>
    <x v="452"/>
    <n v="400.39"/>
    <n v="712.75"/>
    <n v="0.115"/>
    <n v="19"/>
    <d v="2025-06-24T00:00:00"/>
    <s v="Ok"/>
    <n v="712.75"/>
    <n v="15"/>
    <x v="453"/>
    <n v="7607.41"/>
    <n v="4377.4812500000007"/>
    <n v="0.36524997671547504"/>
    <s v="Jun-2025"/>
    <m/>
    <s v="Asia. Japan. Nagoya"/>
    <s v="Low"/>
    <x v="1"/>
  </r>
  <r>
    <s v="ORD-2023-172095"/>
    <d v="2023-05-24T00:00:00"/>
    <d v="2023-06-21T00:00:00"/>
    <s v="Americas"/>
    <x v="10"/>
    <s v="Austin"/>
    <s v="Small Business"/>
    <s v="Marketplace"/>
    <s v="G. Dubois"/>
    <x v="5"/>
    <x v="453"/>
    <n v="813.97"/>
    <n v="1568.83"/>
    <n v="1.7000000000000001E-2"/>
    <n v="15"/>
    <d v="2023-06-21T00:00:00"/>
    <s v="Ok"/>
    <n v="1568.83"/>
    <n v="28"/>
    <x v="454"/>
    <n v="12209.550000000001"/>
    <n v="10922.848349999995"/>
    <n v="0.4721883215364911"/>
    <s v="May-2023"/>
    <m/>
    <s v="Americas. USA. Austin"/>
    <s v="High"/>
    <x v="0"/>
  </r>
  <r>
    <s v="ORD-2024-257550"/>
    <d v="2024-12-27T00:00:00"/>
    <d v="2024-12-29T00:00:00"/>
    <s v="Americas"/>
    <x v="3"/>
    <s v="Vancouver"/>
    <s v="Enterprise"/>
    <s v="Marketplace"/>
    <s v="C. Otieno"/>
    <x v="6"/>
    <x v="454"/>
    <n v="1146.72"/>
    <n v="2074.34"/>
    <n v="0.111"/>
    <n v="8"/>
    <d v="2024-12-29T00:00:00"/>
    <s v="Ok"/>
    <n v="2074.34"/>
    <n v="2"/>
    <x v="455"/>
    <n v="9173.76"/>
    <n v="5578.9460800000015"/>
    <n v="0.37816425337472737"/>
    <s v="Dec-2024"/>
    <m/>
    <s v="Americas. Canada. Vancouver"/>
    <s v="High"/>
    <x v="0"/>
  </r>
  <r>
    <s v="ORD-2023-581799"/>
    <d v="2023-12-05T00:00:00"/>
    <d v="2023-12-12T00:00:00"/>
    <s v="Americas"/>
    <x v="5"/>
    <s v="Brasília"/>
    <s v="Corporate"/>
    <s v="Direct"/>
    <s v="F. Müller"/>
    <x v="3"/>
    <x v="455"/>
    <n v="307.43"/>
    <n v="495.19"/>
    <n v="0"/>
    <n v="42"/>
    <d v="2023-12-12T00:00:00"/>
    <s v="Ok"/>
    <n v="495.19"/>
    <n v="7"/>
    <x v="456"/>
    <n v="12912.06"/>
    <n v="7885.92"/>
    <n v="0.37916759223732305"/>
    <s v="Dec-2023"/>
    <m/>
    <s v="Americas. Brazil. Brasília"/>
    <s v="Low"/>
    <x v="0"/>
  </r>
  <r>
    <s v="ORD-2023-880296"/>
    <d v="2023-05-02T00:00:00"/>
    <d v="2023-05-19T00:00:00"/>
    <s v="Asia"/>
    <x v="9"/>
    <s v="Shanghai"/>
    <s v="Non-Profit"/>
    <s v="Direct"/>
    <s v="J. Njeri"/>
    <x v="5"/>
    <x v="456"/>
    <n v="714.28"/>
    <n v="757.59"/>
    <n v="0.13600000000000001"/>
    <n v="12"/>
    <d v="2023-05-19T00:00:00"/>
    <s v="Ok"/>
    <n v="757.59"/>
    <n v="17"/>
    <x v="457"/>
    <n v="8571.36"/>
    <n v="-716.66688000000067"/>
    <n v="-9.1240595787910383E-2"/>
    <s v="May-2023"/>
    <m/>
    <s v="Asia. China. Shanghai"/>
    <s v="Low"/>
    <x v="0"/>
  </r>
  <r>
    <s v="ORD-2023-191563"/>
    <d v="2023-11-30T00:00:00"/>
    <d v="2023-12-10T00:00:00"/>
    <s v="Europe"/>
    <x v="6"/>
    <s v="Munich"/>
    <s v="Small Business"/>
    <s v="Direct"/>
    <s v="F. Müller"/>
    <x v="4"/>
    <x v="457"/>
    <n v="174.74"/>
    <n v="415.96"/>
    <n v="0.125"/>
    <n v="21"/>
    <d v="2023-12-10T00:00:00"/>
    <s v="Ok"/>
    <n v="415.96"/>
    <n v="10"/>
    <x v="458"/>
    <n v="3669.54"/>
    <n v="3973.7249999999995"/>
    <n v="0.51989889137691803"/>
    <s v="Nov-2023"/>
    <m/>
    <s v="Europe. Germany. Munich"/>
    <s v="Low"/>
    <x v="0"/>
  </r>
  <r>
    <s v="ORD-2024-202166"/>
    <d v="2024-05-05T00:00:00"/>
    <d v="2024-05-18T00:00:00"/>
    <s v="Europe"/>
    <x v="7"/>
    <s v="Marseille"/>
    <s v="Corporate"/>
    <s v="Marketplace"/>
    <s v="A. Patel"/>
    <x v="0"/>
    <x v="458"/>
    <n v="1264.04"/>
    <n v="1870.89"/>
    <n v="0"/>
    <n v="13"/>
    <d v="2024-05-18T00:00:00"/>
    <s v="Ok"/>
    <n v="1870.89"/>
    <n v="13"/>
    <x v="459"/>
    <n v="16432.52"/>
    <n v="7889.0499999999993"/>
    <n v="0.32436433996653996"/>
    <s v="May-2024"/>
    <m/>
    <s v="Europe. France. Marseille"/>
    <s v="High"/>
    <x v="0"/>
  </r>
  <r>
    <s v="ORD-2023-539967"/>
    <d v="2023-07-09T00:00:00"/>
    <d v="2023-07-19T00:00:00"/>
    <s v="Asia"/>
    <x v="2"/>
    <s v="Tokyo"/>
    <s v="Enterprise"/>
    <s v="Distributor"/>
    <s v="N. Brown"/>
    <x v="0"/>
    <x v="459"/>
    <n v="141.26"/>
    <n v="206.88"/>
    <n v="0.107"/>
    <n v="9"/>
    <d v="2023-07-19T00:00:00"/>
    <s v="Ok"/>
    <n v="206.88"/>
    <n v="10"/>
    <x v="460"/>
    <n v="1271.3399999999999"/>
    <n v="391.35456000000022"/>
    <n v="0.23537369365062469"/>
    <s v="Jul-2023"/>
    <m/>
    <s v="Asia. Japan. Tokyo"/>
    <s v="Low"/>
    <x v="1"/>
  </r>
  <r>
    <s v="ORD-2023-704111"/>
    <d v="2023-05-17T00:00:00"/>
    <d v="2023-06-15T00:00:00"/>
    <s v="Africa"/>
    <x v="11"/>
    <s v="Durban"/>
    <s v="Enterprise"/>
    <s v="Retail"/>
    <s v="K. Singh"/>
    <x v="6"/>
    <x v="460"/>
    <n v="40.89"/>
    <n v="62.82"/>
    <n v="0.129"/>
    <n v="17"/>
    <d v="2023-06-15T00:00:00"/>
    <s v="Ok"/>
    <n v="62.82"/>
    <n v="29"/>
    <x v="461"/>
    <n v="695.13"/>
    <n v="235.04574000000002"/>
    <n v="0.25268960465470752"/>
    <s v="May-2023"/>
    <m/>
    <s v="Africa. South Africa. Durban"/>
    <s v="Low"/>
    <x v="0"/>
  </r>
  <r>
    <s v="ORD-2024-356812"/>
    <d v="2024-03-07T00:00:00"/>
    <d v="2024-04-03T00:00:00"/>
    <s v="Europe"/>
    <x v="6"/>
    <s v="Frankfurt"/>
    <s v="Corporate"/>
    <s v="Direct"/>
    <s v="M. Rossi"/>
    <x v="1"/>
    <x v="461"/>
    <n v="738.16"/>
    <n v="956.49"/>
    <n v="0.152"/>
    <n v="5"/>
    <d v="2024-04-03T00:00:00"/>
    <s v="Ok"/>
    <n v="956.49"/>
    <n v="27"/>
    <x v="462"/>
    <n v="3690.7999999999997"/>
    <n v="364.71759999999995"/>
    <n v="8.9931208780847108E-2"/>
    <s v="Mar-2024"/>
    <m/>
    <s v="Europe. Germany. Frankfurt"/>
    <s v="Low"/>
    <x v="0"/>
  </r>
  <r>
    <s v="ORD-2025-306251"/>
    <d v="2025-04-10T00:00:00"/>
    <d v="2025-04-19T00:00:00"/>
    <s v="Africa"/>
    <x v="11"/>
    <s v="Durban"/>
    <s v="Enterprise"/>
    <s v="Unknown"/>
    <s v="G. Dubois"/>
    <x v="2"/>
    <x v="462"/>
    <n v="113.74"/>
    <n v="165.7"/>
    <n v="0.124"/>
    <n v="13"/>
    <d v="2025-04-19T00:00:00"/>
    <s v="Ok"/>
    <n v="165.7"/>
    <n v="9"/>
    <x v="463"/>
    <n v="1478.62"/>
    <n v="408.37159999999994"/>
    <n v="0.21641410592394794"/>
    <s v="Apr-2025"/>
    <m/>
    <s v="Africa. South Africa. Durban"/>
    <s v="Low"/>
    <x v="0"/>
  </r>
  <r>
    <s v="ORD-2025-496178"/>
    <d v="2025-07-27T00:00:00"/>
    <d v="2025-08-15T00:00:00"/>
    <s v="Asia"/>
    <x v="2"/>
    <s v="Tokyo"/>
    <s v="Small Business"/>
    <s v="Marketplace"/>
    <s v="J. Njeri"/>
    <x v="0"/>
    <x v="463"/>
    <n v="275.43"/>
    <n v="608.36"/>
    <n v="0.25700000000000001"/>
    <n v="4"/>
    <d v="2025-08-15T00:00:00"/>
    <s v="Ok"/>
    <n v="608.36"/>
    <n v="19"/>
    <x v="464"/>
    <n v="1101.72"/>
    <n v="706.32592"/>
    <n v="0.39065706915231446"/>
    <s v="Jul-2025"/>
    <m/>
    <s v="Asia. Japan. Tokyo"/>
    <s v="Low"/>
    <x v="1"/>
  </r>
  <r>
    <s v="ORD-2024-508213"/>
    <d v="2024-11-22T00:00:00"/>
    <d v="2024-12-15T00:00:00"/>
    <s v="Africa"/>
    <x v="0"/>
    <s v="Mombasa"/>
    <s v="Non-Profit"/>
    <s v="Distributor"/>
    <s v="C. Otieno"/>
    <x v="0"/>
    <x v="464"/>
    <n v="1335.76"/>
    <n v="2665.91"/>
    <n v="0.21099999999999999"/>
    <n v="40"/>
    <d v="2024-12-15T00:00:00"/>
    <s v="Ok"/>
    <n v="2665.91"/>
    <n v="23"/>
    <x v="465"/>
    <n v="53430.400000000001"/>
    <n v="30705.719600000004"/>
    <n v="0.36495288522909253"/>
    <s v="Nov-2024"/>
    <m/>
    <s v="Africa. Kenya. Mombasa"/>
    <s v="High"/>
    <x v="0"/>
  </r>
  <r>
    <s v="ORD-2024-787018"/>
    <d v="2024-06-23T00:00:00"/>
    <d v="2024-06-28T00:00:00"/>
    <s v="Africa"/>
    <x v="1"/>
    <s v="Port Harcourt"/>
    <s v="Non-Profit"/>
    <s v="Direct"/>
    <s v="M. Rossi"/>
    <x v="6"/>
    <x v="465"/>
    <n v="242.31"/>
    <n v="587.95000000000005"/>
    <n v="0.22900000000000001"/>
    <n v="6"/>
    <d v="2024-06-28T00:00:00"/>
    <s v="Ok"/>
    <n v="587.95000000000005"/>
    <n v="5"/>
    <x v="466"/>
    <n v="1453.8600000000001"/>
    <n v="1265.9967000000001"/>
    <n v="0.46546448568411714"/>
    <s v="Jun-2024"/>
    <m/>
    <s v="Africa. Nigeria. Port Harcourt"/>
    <s v="Low"/>
    <x v="0"/>
  </r>
  <r>
    <s v="ORD-2023-728177"/>
    <d v="2023-12-18T00:00:00"/>
    <d v="2024-01-14T00:00:00"/>
    <s v="Asia"/>
    <x v="4"/>
    <s v="Mumbai"/>
    <s v="Consumer"/>
    <s v="Distributor"/>
    <s v="D. Smith"/>
    <x v="2"/>
    <x v="466"/>
    <n v="1408.3"/>
    <n v="2193.13"/>
    <n v="7.0999999999999994E-2"/>
    <n v="7"/>
    <d v="2024-01-14T00:00:00"/>
    <s v="Ok"/>
    <n v="2193.13"/>
    <n v="27"/>
    <x v="467"/>
    <n v="9858.1"/>
    <n v="4403.8243899999998"/>
    <n v="0.30878191957656281"/>
    <s v="Dec-2023"/>
    <m/>
    <s v="Asia. India. Mumbai"/>
    <s v="High"/>
    <x v="0"/>
  </r>
  <r>
    <s v="ORD-2025-795385"/>
    <d v="2025-06-01T00:00:00"/>
    <d v="2025-06-05T00:00:00"/>
    <s v="Europe"/>
    <x v="6"/>
    <s v="Munich"/>
    <s v="Enterprise"/>
    <s v="Direct"/>
    <s v="M. Rossi"/>
    <x v="0"/>
    <x v="467"/>
    <n v="1171.42"/>
    <n v="2187.8000000000002"/>
    <n v="0.23"/>
    <n v="15"/>
    <d v="2025-06-05T00:00:00"/>
    <s v="Ok"/>
    <n v="2187.8000000000002"/>
    <n v="4"/>
    <x v="468"/>
    <n v="17571.300000000003"/>
    <n v="7697.7899999999972"/>
    <n v="0.30463265594447592"/>
    <s v="Jun-2025"/>
    <m/>
    <s v="Europe. Germany. Munich"/>
    <s v="High"/>
    <x v="0"/>
  </r>
  <r>
    <s v="ORD-2025-947929"/>
    <d v="2025-03-23T00:00:00"/>
    <d v="2025-04-02T00:00:00"/>
    <s v="Europe"/>
    <x v="6"/>
    <s v="Berlin"/>
    <s v="Enterprise"/>
    <s v="Online"/>
    <s v="E. Garcia"/>
    <x v="1"/>
    <x v="468"/>
    <n v="663.61"/>
    <n v="1002.11"/>
    <n v="4.5999999999999999E-2"/>
    <n v="17"/>
    <d v="2025-04-02T00:00:00"/>
    <s v="Ok"/>
    <n v="1002.11"/>
    <n v="10"/>
    <x v="469"/>
    <n v="11281.37"/>
    <n v="4970.8499799999972"/>
    <n v="0.30585667595670812"/>
    <s v="Mar-2025"/>
    <m/>
    <s v="Europe. Germany. Berlin"/>
    <s v="Low"/>
    <x v="0"/>
  </r>
  <r>
    <s v="ORD-2023-931633"/>
    <d v="2023-05-14T00:00:00"/>
    <d v="2023-05-22T00:00:00"/>
    <s v="Africa"/>
    <x v="0"/>
    <s v="Mombasa"/>
    <s v="Small Business"/>
    <s v="Distributor"/>
    <s v="F. Müller"/>
    <x v="1"/>
    <x v="469"/>
    <n v="432.01"/>
    <n v="913.78"/>
    <n v="4.9000000000000002E-2"/>
    <n v="12"/>
    <d v="2023-05-22T00:00:00"/>
    <s v="Ok"/>
    <n v="913.78"/>
    <n v="8"/>
    <x v="470"/>
    <n v="5184.12"/>
    <n v="5243.9373600000008"/>
    <n v="0.50286809699711899"/>
    <s v="May-2023"/>
    <m/>
    <s v="Africa. Kenya. Mombasa"/>
    <s v="Low"/>
    <x v="0"/>
  </r>
  <r>
    <s v="ORD-2023-243704"/>
    <d v="2023-08-29T00:00:00"/>
    <d v="2023-09-19T00:00:00"/>
    <s v="Europe"/>
    <x v="7"/>
    <s v="Lyon"/>
    <s v="Small Business"/>
    <s v="Direct"/>
    <s v="B. Chen"/>
    <x v="1"/>
    <x v="470"/>
    <n v="784.46"/>
    <n v="1843.51"/>
    <n v="0.13800000000000001"/>
    <n v="23"/>
    <d v="2023-09-19T00:00:00"/>
    <s v="Ok"/>
    <n v="1843.51"/>
    <n v="21"/>
    <x v="471"/>
    <n v="18042.580000000002"/>
    <n v="18506.849260000003"/>
    <n v="0.50635125184441798"/>
    <s v="Aug-2023"/>
    <m/>
    <s v="Europe. France. Lyon"/>
    <s v="High"/>
    <x v="0"/>
  </r>
  <r>
    <s v="ORD-2025-779659"/>
    <d v="2025-07-03T00:00:00"/>
    <d v="2025-07-23T00:00:00"/>
    <s v="Asia"/>
    <x v="9"/>
    <s v="Beijing"/>
    <s v="Small Business"/>
    <s v="Online"/>
    <s v="M. Rossi"/>
    <x v="0"/>
    <x v="471"/>
    <n v="647.36"/>
    <n v="1383.6"/>
    <n v="7.3999999999999996E-2"/>
    <n v="12"/>
    <d v="2025-07-23T00:00:00"/>
    <s v="Ok"/>
    <n v="1383.6"/>
    <n v="20"/>
    <x v="472"/>
    <n v="7768.32"/>
    <n v="7606.243199999999"/>
    <n v="0.49472906000997802"/>
    <s v="Jul-2025"/>
    <m/>
    <s v="Asia. China. Beijing"/>
    <s v="High"/>
    <x v="0"/>
  </r>
  <r>
    <s v="ORD-2024-647571"/>
    <d v="2024-02-06T00:00:00"/>
    <d v="2024-02-28T00:00:00"/>
    <s v="Africa"/>
    <x v="0"/>
    <s v="Kisumu"/>
    <s v="Non-Profit"/>
    <s v="Online"/>
    <s v="K. Singh"/>
    <x v="5"/>
    <x v="472"/>
    <n v="834.93"/>
    <n v="1588.53"/>
    <n v="0.126"/>
    <n v="6"/>
    <d v="2024-02-28T00:00:00"/>
    <s v="Ok"/>
    <n v="1588.53"/>
    <n v="22"/>
    <x v="473"/>
    <n v="5009.58"/>
    <n v="3320.6713199999995"/>
    <n v="0.39862798761274343"/>
    <s v="Feb-2024"/>
    <m/>
    <s v="Africa. Kenya. Kisumu"/>
    <s v="High"/>
    <x v="0"/>
  </r>
  <r>
    <s v="ORD-2025-683043"/>
    <d v="2025-08-13T00:00:00"/>
    <d v="2025-09-03T00:00:00"/>
    <s v="Europe"/>
    <x v="7"/>
    <s v="Paris"/>
    <s v="Education"/>
    <s v="Retail"/>
    <s v="I. Johnson"/>
    <x v="3"/>
    <x v="473"/>
    <n v="603.47"/>
    <n v="1344.05"/>
    <n v="0.20499999999999999"/>
    <n v="18"/>
    <d v="2025-09-03T00:00:00"/>
    <s v="Ok"/>
    <n v="1344.05"/>
    <n v="21"/>
    <x v="474"/>
    <n v="10862.460000000001"/>
    <n v="8370.8954999999969"/>
    <n v="0.43522803392262976"/>
    <s v="Aug-2025"/>
    <m/>
    <s v="Europe. France. Paris"/>
    <s v="High"/>
    <x v="0"/>
  </r>
  <r>
    <s v="ORD-2023-588455"/>
    <d v="2023-05-23T00:00:00"/>
    <d v="2023-05-25T00:00:00"/>
    <s v="Americas"/>
    <x v="5"/>
    <s v="Rio de Janeiro"/>
    <s v="Enterprise"/>
    <s v="Retail"/>
    <s v="M. Rossi"/>
    <x v="1"/>
    <x v="474"/>
    <n v="690.49"/>
    <n v="1290.29"/>
    <n v="4.2000000000000003E-2"/>
    <n v="22"/>
    <d v="2023-05-25T00:00:00"/>
    <s v="Ok"/>
    <n v="1290.29"/>
    <n v="2"/>
    <x v="475"/>
    <n v="15190.78"/>
    <n v="12003.372039999997"/>
    <n v="0.44139534199647718"/>
    <s v="May-2023"/>
    <m/>
    <s v="Americas. Brazil. Rio de Janeiro"/>
    <s v="High"/>
    <x v="0"/>
  </r>
  <r>
    <s v="ORD-2024-641220"/>
    <d v="2024-05-10T00:00:00"/>
    <d v="2024-05-16T00:00:00"/>
    <s v="Europe"/>
    <x v="8"/>
    <s v="Birmingham"/>
    <s v="Non-Profit"/>
    <s v="Direct"/>
    <s v="G. Dubois"/>
    <x v="4"/>
    <x v="475"/>
    <n v="210.76"/>
    <n v="221.58"/>
    <n v="8.8999999999999996E-2"/>
    <n v="5"/>
    <d v="2024-05-16T00:00:00"/>
    <s v="Ok"/>
    <n v="221.58"/>
    <n v="6"/>
    <x v="476"/>
    <n v="1053.8"/>
    <n v="-44.50309999999979"/>
    <n v="-4.4093170205912434E-2"/>
    <s v="May-2024"/>
    <m/>
    <s v="Europe. United Kingdom. Birmingham"/>
    <s v="Low"/>
    <x v="0"/>
  </r>
  <r>
    <s v="ORD-2023-799597"/>
    <d v="2023-03-14T00:00:00"/>
    <d v="2023-03-18T00:00:00"/>
    <s v="Europe"/>
    <x v="6"/>
    <s v="Frankfurt"/>
    <s v="Enterprise"/>
    <s v="Direct"/>
    <s v="A. Patel"/>
    <x v="0"/>
    <x v="476"/>
    <n v="472.33"/>
    <n v="360.34"/>
    <n v="0.16500000000000001"/>
    <n v="14"/>
    <d v="2023-03-18T00:00:00"/>
    <s v="Ok"/>
    <n v="360.34"/>
    <n v="4"/>
    <x v="477"/>
    <n v="6612.62"/>
    <n v="-2400.2454000000007"/>
    <n v="-0.56980815523861561"/>
    <s v="Mar-2023"/>
    <m/>
    <s v="Europe. Germany. Frankfurt"/>
    <s v="Low"/>
    <x v="0"/>
  </r>
  <r>
    <s v="ORD-2023-569862"/>
    <d v="2023-07-16T00:00:00"/>
    <d v="2023-08-13T00:00:00"/>
    <s v="Europe"/>
    <x v="8"/>
    <s v="Manchester"/>
    <s v="Non-Profit"/>
    <s v="Online"/>
    <s v="J. Njeri"/>
    <x v="4"/>
    <x v="477"/>
    <n v="1039.03"/>
    <n v="2545.81"/>
    <n v="0.216"/>
    <n v="21"/>
    <d v="2023-08-13T00:00:00"/>
    <s v="Ok"/>
    <n v="2545.81"/>
    <n v="28"/>
    <x v="478"/>
    <n v="21819.63"/>
    <n v="20094.585840000003"/>
    <n v="0.47942172929364774"/>
    <s v="Jul-2023"/>
    <m/>
    <s v="Europe. United Kingdom. Manchester"/>
    <s v="High"/>
    <x v="0"/>
  </r>
  <r>
    <s v="ORD-2023-609394"/>
    <d v="2023-04-16T00:00:00"/>
    <d v="2023-04-19T00:00:00"/>
    <s v="Europe"/>
    <x v="6"/>
    <s v="Munich"/>
    <s v="Corporate"/>
    <s v="Direct"/>
    <s v="B. Chen"/>
    <x v="6"/>
    <x v="478"/>
    <n v="553.61"/>
    <n v="699.47"/>
    <n v="0.02"/>
    <n v="33"/>
    <d v="2023-04-19T00:00:00"/>
    <s v="Ok"/>
    <n v="699.47"/>
    <n v="3"/>
    <x v="479"/>
    <n v="18269.13"/>
    <n v="4351.729800000001"/>
    <n v="0.19237685209472014"/>
    <s v="Apr-2023"/>
    <m/>
    <s v="Europe. Germany. Munich"/>
    <s v="Low"/>
    <x v="0"/>
  </r>
  <r>
    <s v="ORD-2024-105586"/>
    <d v="2024-01-02T00:00:00"/>
    <d v="2024-01-15T00:00:00"/>
    <s v="Asia"/>
    <x v="2"/>
    <s v="Nagoya"/>
    <s v="Small Business"/>
    <s v="Marketplace"/>
    <s v="G. Dubois"/>
    <x v="2"/>
    <x v="479"/>
    <n v="1219.06"/>
    <n v="2738.69"/>
    <n v="7.5999999999999998E-2"/>
    <n v="16"/>
    <d v="2024-01-15T00:00:00"/>
    <s v="Ok"/>
    <n v="2738.69"/>
    <n v="13"/>
    <x v="480"/>
    <n v="19504.96"/>
    <n v="20983.832960000007"/>
    <n v="0.51826274447673737"/>
    <s v="Jan-2024"/>
    <m/>
    <s v="Asia. Japan. Nagoya"/>
    <s v="High"/>
    <x v="1"/>
  </r>
  <r>
    <s v="ORD-2024-207792"/>
    <d v="2024-09-03T00:00:00"/>
    <d v="2024-09-07T00:00:00"/>
    <s v="Asia"/>
    <x v="2"/>
    <s v="Tokyo"/>
    <s v="Small Business"/>
    <s v="Distributor"/>
    <s v="N. Brown"/>
    <x v="1"/>
    <x v="480"/>
    <n v="43.23"/>
    <n v="94.78"/>
    <n v="9.0999999999999998E-2"/>
    <n v="55"/>
    <d v="2024-09-07T00:00:00"/>
    <s v="Ok"/>
    <n v="94.78"/>
    <n v="4"/>
    <x v="481"/>
    <n v="2377.6499999999996"/>
    <n v="2360.8761000000004"/>
    <n v="0.49823005090127082"/>
    <s v="Sep-2024"/>
    <m/>
    <s v="Asia. Japan. Tokyo"/>
    <s v="Low"/>
    <x v="1"/>
  </r>
  <r>
    <s v="ORD-2025-417336"/>
    <d v="2025-08-30T00:00:00"/>
    <d v="2025-09-03T00:00:00"/>
    <s v="Europe"/>
    <x v="7"/>
    <s v="Marseille"/>
    <s v="Small Business"/>
    <s v="Marketplace"/>
    <s v="J. Njeri"/>
    <x v="4"/>
    <x v="481"/>
    <n v="1286.56"/>
    <n v="2777.35"/>
    <n v="0.13200000000000001"/>
    <n v="15"/>
    <d v="2025-09-03T00:00:00"/>
    <s v="Ok"/>
    <n v="2777.35"/>
    <n v="4"/>
    <x v="482"/>
    <n v="19298.399999999998"/>
    <n v="16862.697000000004"/>
    <n v="0.46632150014696744"/>
    <s v="Aug-2025"/>
    <m/>
    <s v="Europe. France. Marseille"/>
    <s v="High"/>
    <x v="0"/>
  </r>
  <r>
    <s v="ORD-2025-252117"/>
    <d v="2025-04-28T00:00:00"/>
    <d v="2025-05-19T00:00:00"/>
    <s v="Europe"/>
    <x v="6"/>
    <s v="Berlin"/>
    <s v="Corporate"/>
    <s v="Distributor"/>
    <s v="B. Chen"/>
    <x v="3"/>
    <x v="482"/>
    <n v="350.76"/>
    <n v="492.18"/>
    <n v="5.2999999999999999E-2"/>
    <n v="11"/>
    <d v="2025-05-19T00:00:00"/>
    <s v="Ok"/>
    <n v="492.18"/>
    <n v="21"/>
    <x v="483"/>
    <n v="3858.3599999999997"/>
    <n v="1268.6790600000004"/>
    <n v="0.24744868239798437"/>
    <s v="Apr-2025"/>
    <m/>
    <s v="Europe. Germany. Berlin"/>
    <s v="Low"/>
    <x v="0"/>
  </r>
  <r>
    <s v="ORD-2023-867175"/>
    <d v="2023-08-10T00:00:00"/>
    <d v="2023-08-15T00:00:00"/>
    <s v="Americas"/>
    <x v="5"/>
    <s v="São Paulo"/>
    <s v="Education"/>
    <s v="Direct"/>
    <s v="G. Dubois"/>
    <x v="2"/>
    <x v="483"/>
    <n v="1307.52"/>
    <n v="1921.65"/>
    <n v="0.123"/>
    <n v="13"/>
    <d v="2023-08-15T00:00:00"/>
    <s v="Ok"/>
    <n v="1921.65"/>
    <n v="5"/>
    <x v="484"/>
    <n v="16997.759999999998"/>
    <n v="4910.9716500000031"/>
    <n v="0.22415590863289445"/>
    <s v="Aug-2023"/>
    <m/>
    <s v="Americas. Brazil. São Paulo"/>
    <s v="High"/>
    <x v="0"/>
  </r>
  <r>
    <s v="ORD-2024-382152"/>
    <d v="2024-12-08T00:00:00"/>
    <d v="2024-12-08T00:00:00"/>
    <s v="Europe"/>
    <x v="7"/>
    <s v="Lyon"/>
    <s v="Enterprise"/>
    <s v="Retail"/>
    <s v="H. Kim"/>
    <x v="0"/>
    <x v="484"/>
    <n v="257.44"/>
    <n v="290.33"/>
    <n v="9.1999999999999998E-2"/>
    <n v="23"/>
    <d v="2024-12-08T00:00:00"/>
    <s v="Ok"/>
    <n v="290.33"/>
    <n v="0"/>
    <x v="485"/>
    <n v="5921.12"/>
    <n v="142.1317199999994"/>
    <n v="2.3441500792581216E-2"/>
    <s v="Dec-2024"/>
    <m/>
    <s v="Europe. France. Lyon"/>
    <s v="Low"/>
    <x v="0"/>
  </r>
  <r>
    <s v="ORD-2023-597666"/>
    <d v="2023-10-25T00:00:00"/>
    <d v="2023-11-24T00:00:00"/>
    <s v="Europe"/>
    <x v="7"/>
    <s v="Paris"/>
    <s v="Enterprise"/>
    <s v="Distributor"/>
    <s v="C. Otieno"/>
    <x v="3"/>
    <x v="485"/>
    <n v="287.85000000000002"/>
    <n v="602.91999999999996"/>
    <n v="0.222"/>
    <n v="11"/>
    <d v="2023-11-24T00:00:00"/>
    <s v="Ok"/>
    <n v="602.91999999999996"/>
    <n v="30"/>
    <x v="486"/>
    <n v="3166.3500000000004"/>
    <n v="1993.4393599999994"/>
    <n v="0.38634122847216373"/>
    <s v="Oct-2023"/>
    <m/>
    <s v="Europe. France. Paris"/>
    <s v="Low"/>
    <x v="0"/>
  </r>
  <r>
    <s v="ORD-2024-371409"/>
    <d v="2024-11-17T00:00:00"/>
    <d v="2024-11-28T00:00:00"/>
    <s v="Americas"/>
    <x v="3"/>
    <s v="Unknown"/>
    <s v="Consumer"/>
    <s v="Distributor"/>
    <s v="A. Patel"/>
    <x v="1"/>
    <x v="486"/>
    <n v="1008.16"/>
    <n v="2077.5"/>
    <n v="7.3999999999999996E-2"/>
    <n v="15"/>
    <d v="2024-11-28T00:00:00"/>
    <s v="Ok"/>
    <n v="2077.5"/>
    <n v="11"/>
    <x v="487"/>
    <n v="15122.4"/>
    <n v="13734.075000000003"/>
    <n v="0.47594430712691005"/>
    <s v="Nov-2024"/>
    <m/>
    <s v="Americas. Canada. Unknown"/>
    <s v="High"/>
    <x v="0"/>
  </r>
  <r>
    <s v="ORD-2024-973420"/>
    <d v="2024-05-12T00:00:00"/>
    <d v="2024-05-24T00:00:00"/>
    <s v="Europe"/>
    <x v="8"/>
    <s v="Manchester"/>
    <s v="Education"/>
    <s v="Marketplace"/>
    <s v="K. Singh"/>
    <x v="1"/>
    <x v="487"/>
    <n v="111.02"/>
    <n v="172.88"/>
    <n v="0.19700000000000001"/>
    <n v="29"/>
    <d v="2024-05-24T00:00:00"/>
    <s v="Ok"/>
    <n v="172.88"/>
    <n v="12"/>
    <x v="488"/>
    <n v="3219.58"/>
    <n v="806.27655999999934"/>
    <n v="0.20027453735212053"/>
    <s v="May-2024"/>
    <m/>
    <s v="Europe. United Kingdom. Manchester"/>
    <s v="Low"/>
    <x v="0"/>
  </r>
  <r>
    <s v="ORD-2025-254721"/>
    <d v="2025-05-15T00:00:00"/>
    <d v="2025-06-05T00:00:00"/>
    <s v="Asia"/>
    <x v="2"/>
    <s v="Osaka"/>
    <s v="Enterprise"/>
    <s v="Direct"/>
    <s v="H. Kim"/>
    <x v="3"/>
    <x v="488"/>
    <n v="1466.5"/>
    <n v="2778.74"/>
    <n v="0.13500000000000001"/>
    <n v="4"/>
    <d v="2025-06-05T00:00:00"/>
    <s v="Ok"/>
    <n v="2778.74"/>
    <n v="21"/>
    <x v="489"/>
    <n v="5866"/>
    <n v="3748.4403999999995"/>
    <n v="0.38987608680792279"/>
    <s v="May-2025"/>
    <m/>
    <s v="Asia. Japan. Osaka"/>
    <s v="High"/>
    <x v="1"/>
  </r>
  <r>
    <s v="ORD-2024-247032"/>
    <d v="2024-04-21T00:00:00"/>
    <d v="2024-05-19T00:00:00"/>
    <s v="Africa"/>
    <x v="1"/>
    <s v="Lagos"/>
    <s v="Corporate"/>
    <s v="Distributor"/>
    <s v="A. Patel"/>
    <x v="6"/>
    <x v="489"/>
    <n v="187.22"/>
    <n v="309.47000000000003"/>
    <n v="0"/>
    <n v="5"/>
    <d v="2024-05-19T00:00:00"/>
    <s v="Ok"/>
    <n v="309.47000000000003"/>
    <n v="28"/>
    <x v="490"/>
    <n v="936.1"/>
    <n v="611.25000000000011"/>
    <n v="0.39503021294471197"/>
    <s v="Apr-2024"/>
    <m/>
    <s v="Africa. Nigeria. Lagos"/>
    <s v="Low"/>
    <x v="0"/>
  </r>
  <r>
    <s v="ORD-2024-792353"/>
    <d v="2024-08-19T00:00:00"/>
    <d v="2024-09-07T00:00:00"/>
    <s v="Europe"/>
    <x v="7"/>
    <s v="Lyon"/>
    <s v="Corporate"/>
    <s v="Direct"/>
    <s v="J. Njeri"/>
    <x v="0"/>
    <x v="490"/>
    <n v="297.58999999999997"/>
    <n v="666.41"/>
    <n v="0"/>
    <n v="10"/>
    <d v="2024-09-07T00:00:00"/>
    <s v="Ok"/>
    <n v="666.41"/>
    <n v="19"/>
    <x v="491"/>
    <n v="2975.8999999999996"/>
    <n v="3688.2"/>
    <n v="0.55344307558409989"/>
    <s v="Aug-2024"/>
    <m/>
    <s v="Europe. France. Lyon"/>
    <s v="Low"/>
    <x v="0"/>
  </r>
  <r>
    <s v="ORD-2025-703623"/>
    <d v="2025-07-23T00:00:00"/>
    <d v="2025-08-19T00:00:00"/>
    <s v="Asia"/>
    <x v="2"/>
    <s v="Nagoya"/>
    <s v="Consumer"/>
    <s v="Marketplace"/>
    <s v="B. Chen"/>
    <x v="6"/>
    <x v="491"/>
    <n v="896.09"/>
    <n v="744.27"/>
    <n v="8.3000000000000004E-2"/>
    <n v="11"/>
    <d v="2025-08-19T00:00:00"/>
    <s v="Ok"/>
    <n v="744.27"/>
    <n v="27"/>
    <x v="492"/>
    <n v="9856.99"/>
    <n v="-2349.5385100000003"/>
    <n v="-0.31296086469950679"/>
    <s v="Jul-2025"/>
    <m/>
    <s v="Asia. Japan. Nagoya"/>
    <s v="Low"/>
    <x v="1"/>
  </r>
  <r>
    <s v="ORD-2024-516704"/>
    <d v="2024-03-01T00:00:00"/>
    <d v="2024-02-29T00:00:00"/>
    <s v="Americas"/>
    <x v="5"/>
    <s v="São Paulo"/>
    <s v="Non-Profit"/>
    <s v="Direct"/>
    <s v="I. Johnson"/>
    <x v="3"/>
    <x v="492"/>
    <n v="5.34"/>
    <n v="12.69"/>
    <n v="0.13200000000000001"/>
    <n v="10"/>
    <d v="2024-03-08T00:00:00"/>
    <s v="Ok"/>
    <n v="12.69"/>
    <n v="7"/>
    <x v="493"/>
    <n v="53.4"/>
    <n v="56.749199999999995"/>
    <n v="0.51520301554618642"/>
    <s v="Mar-2024"/>
    <m/>
    <s v="Americas. Brazil. São Paulo"/>
    <s v="Low"/>
    <x v="0"/>
  </r>
  <r>
    <s v="ORD-2024-578646"/>
    <d v="2024-05-27T00:00:00"/>
    <d v="2024-06-17T00:00:00"/>
    <s v="Asia"/>
    <x v="4"/>
    <s v="Delhi"/>
    <s v="Small Business"/>
    <s v="Online"/>
    <s v="H. Kim"/>
    <x v="6"/>
    <x v="493"/>
    <n v="465.02"/>
    <n v="651.55999999999995"/>
    <n v="4.2000000000000003E-2"/>
    <n v="19"/>
    <d v="2024-06-17T00:00:00"/>
    <s v="Ok"/>
    <n v="651.55999999999995"/>
    <n v="21"/>
    <x v="494"/>
    <n v="8835.3799999999992"/>
    <n v="3024.3151199999993"/>
    <n v="0.25500783025187918"/>
    <s v="May-2024"/>
    <m/>
    <s v="Asia. India. Delhi"/>
    <s v="Low"/>
    <x v="0"/>
  </r>
  <r>
    <s v="ORD-2024-433936"/>
    <d v="2024-08-04T00:00:00"/>
    <d v="2024-08-17T00:00:00"/>
    <s v="Americas"/>
    <x v="10"/>
    <s v="Austin"/>
    <s v="Consumer"/>
    <s v="Retail"/>
    <s v="D. Smith"/>
    <x v="5"/>
    <x v="494"/>
    <n v="352.79"/>
    <n v="754.22"/>
    <n v="0.113"/>
    <n v="7"/>
    <d v="2024-08-17T00:00:00"/>
    <s v="Ok"/>
    <n v="754.22"/>
    <n v="13"/>
    <x v="495"/>
    <n v="2469.5300000000002"/>
    <n v="2213.4219799999996"/>
    <n v="0.47265528014233443"/>
    <s v="Aug-2024"/>
    <m/>
    <s v="Americas. USA. Austin"/>
    <s v="Low"/>
    <x v="0"/>
  </r>
  <r>
    <s v="ORD-2023-434071"/>
    <d v="2023-06-20T00:00:00"/>
    <d v="2023-07-04T00:00:00"/>
    <s v="Americas"/>
    <x v="5"/>
    <s v="Brasília"/>
    <s v="Non-Profit"/>
    <s v="Direct"/>
    <s v="C. Otieno"/>
    <x v="2"/>
    <x v="495"/>
    <n v="1292.8599999999999"/>
    <n v="2981.01"/>
    <n v="0.14199999999999999"/>
    <n v="12"/>
    <d v="2023-07-04T00:00:00"/>
    <s v="Ok"/>
    <n v="2981.01"/>
    <n v="14"/>
    <x v="496"/>
    <n v="15514.32"/>
    <n v="15178.158960000001"/>
    <n v="0.49452372288927687"/>
    <s v="Jun-2023"/>
    <m/>
    <s v="Americas. Brazil. Brasília"/>
    <s v="High"/>
    <x v="0"/>
  </r>
  <r>
    <s v="ORD-2024-728474"/>
    <d v="2024-09-09T00:00:00"/>
    <d v="2024-09-13T00:00:00"/>
    <s v="Europe"/>
    <x v="8"/>
    <s v="London"/>
    <s v="Consumer"/>
    <s v="Marketplace"/>
    <s v="F. Müller"/>
    <x v="2"/>
    <x v="496"/>
    <n v="1133.08"/>
    <n v="976.17"/>
    <n v="4.2000000000000003E-2"/>
    <n v="27"/>
    <d v="2024-09-13T00:00:00"/>
    <s v="Ok"/>
    <n v="976.17"/>
    <n v="4"/>
    <x v="497"/>
    <n v="30593.159999999996"/>
    <n v="-5343.5467799999969"/>
    <n v="-0.21162885678452373"/>
    <s v="Sep-2024"/>
    <m/>
    <s v="Europe. United Kingdom. London"/>
    <s v="Low"/>
    <x v="0"/>
  </r>
  <r>
    <s v="ORD-2023-406606"/>
    <d v="2023-10-25T00:00:00"/>
    <d v="2023-10-28T00:00:00"/>
    <s v="Americas"/>
    <x v="5"/>
    <s v="Brasília"/>
    <s v="Corporate"/>
    <s v="Distributor"/>
    <s v="L. Okafor"/>
    <x v="6"/>
    <x v="497"/>
    <n v="509.31"/>
    <n v="1145.9000000000001"/>
    <n v="5.7000000000000002E-2"/>
    <n v="8"/>
    <d v="2023-10-28T00:00:00"/>
    <s v="Ok"/>
    <n v="1145.9000000000001"/>
    <n v="3"/>
    <x v="498"/>
    <n v="4074.48"/>
    <n v="4570.1896000000015"/>
    <n v="0.52867140231709964"/>
    <s v="Oct-2023"/>
    <m/>
    <s v="Americas. Brazil. Brasília"/>
    <s v="Low"/>
    <x v="0"/>
  </r>
  <r>
    <s v="ORD-2025-823055"/>
    <d v="2025-09-08T00:00:00"/>
    <d v="2025-10-05T00:00:00"/>
    <s v="Americas"/>
    <x v="5"/>
    <s v="Rio de Janeiro"/>
    <s v="Education"/>
    <s v="Online"/>
    <s v="C. Otieno"/>
    <x v="5"/>
    <x v="498"/>
    <n v="660.78"/>
    <n v="1630.39"/>
    <n v="0.218"/>
    <n v="13"/>
    <d v="2025-10-05T00:00:00"/>
    <s v="Ok"/>
    <n v="1630.39"/>
    <n v="27"/>
    <x v="499"/>
    <n v="8590.14"/>
    <n v="7984.4047400000018"/>
    <n v="0.48172694123724097"/>
    <s v="Sep-2025"/>
    <m/>
    <s v="Americas. Brazil. Rio de Janeiro"/>
    <s v="High"/>
    <x v="0"/>
  </r>
  <r>
    <s v="ORD-2023-573656"/>
    <d v="2023-05-02T00:00:00"/>
    <d v="2023-05-16T00:00:00"/>
    <s v="Asia"/>
    <x v="4"/>
    <s v="Bengaluru"/>
    <s v="Non-Profit"/>
    <s v="Retail"/>
    <s v="L. Okafor"/>
    <x v="5"/>
    <x v="499"/>
    <n v="475.37"/>
    <n v="963.73"/>
    <n v="4.1000000000000002E-2"/>
    <n v="22"/>
    <d v="2023-05-16T00:00:00"/>
    <s v="Ok"/>
    <n v="963.73"/>
    <n v="14"/>
    <x v="500"/>
    <n v="10458.14"/>
    <n v="9874.6355399999993"/>
    <n v="0.48565113604750881"/>
    <s v="May-2023"/>
    <m/>
    <s v="Asia. India. Bengaluru"/>
    <s v="Low"/>
    <x v="0"/>
  </r>
  <r>
    <s v="ORD-2024-567435"/>
    <d v="2024-04-26T00:00:00"/>
    <d v="2024-04-24T00:00:00"/>
    <s v="Europe"/>
    <x v="8"/>
    <s v="London"/>
    <s v="Non-Profit"/>
    <s v="Distributor"/>
    <s v="N. Brown"/>
    <x v="3"/>
    <x v="500"/>
    <n v="1232.77"/>
    <n v="891.73"/>
    <n v="0.16700000000000001"/>
    <n v="10"/>
    <d v="2024-05-03T00:00:00"/>
    <s v="Ok"/>
    <n v="891.73"/>
    <n v="7"/>
    <x v="501"/>
    <n v="12327.7"/>
    <n v="-4899.589100000002"/>
    <n v="-0.65960096260813805"/>
    <s v="Apr-2024"/>
    <m/>
    <s v="Europe. United Kingdom. London"/>
    <s v="Low"/>
    <x v="0"/>
  </r>
  <r>
    <s v="ORD-2023-744942"/>
    <d v="2023-02-23T00:00:00"/>
    <d v="2023-03-18T00:00:00"/>
    <s v="Asia"/>
    <x v="9"/>
    <s v="Beijing"/>
    <s v="Education"/>
    <s v="Distributor"/>
    <s v="K. Singh"/>
    <x v="1"/>
    <x v="501"/>
    <n v="770.11"/>
    <n v="1667.82"/>
    <n v="6.9000000000000006E-2"/>
    <n v="7"/>
    <d v="2023-03-18T00:00:00"/>
    <s v="Ok"/>
    <n v="1667.82"/>
    <n v="23"/>
    <x v="502"/>
    <n v="5390.77"/>
    <n v="5478.4129400000002"/>
    <n v="0.50403171703355287"/>
    <s v="Feb-2023"/>
    <m/>
    <s v="Asia. China. Beijing"/>
    <s v="High"/>
    <x v="0"/>
  </r>
  <r>
    <s v="ORD-2025-331237"/>
    <d v="2025-03-24T00:00:00"/>
    <d v="2025-03-25T00:00:00"/>
    <s v="Asia"/>
    <x v="9"/>
    <s v="Beijing"/>
    <s v="Non-Profit"/>
    <s v="Online"/>
    <s v="G. Dubois"/>
    <x v="2"/>
    <x v="502"/>
    <n v="1133.03"/>
    <n v="1921.51"/>
    <n v="0.10100000000000001"/>
    <n v="5"/>
    <d v="2025-03-25T00:00:00"/>
    <s v="Ok"/>
    <n v="1921.51"/>
    <n v="1"/>
    <x v="503"/>
    <n v="5665.15"/>
    <n v="2972.0374499999998"/>
    <n v="0.3440978289755654"/>
    <s v="Mar-2025"/>
    <m/>
    <s v="Asia. China. Beijing"/>
    <s v="High"/>
    <x v="0"/>
  </r>
  <r>
    <s v="ORD-2025-680118"/>
    <d v="2025-03-10T00:00:00"/>
    <d v="2025-03-27T00:00:00"/>
    <s v="Americas"/>
    <x v="5"/>
    <s v="Rio de Janeiro"/>
    <s v="Enterprise"/>
    <s v="Direct"/>
    <s v="F. Müller"/>
    <x v="2"/>
    <x v="503"/>
    <n v="996.73"/>
    <n v="1217.43"/>
    <n v="7.0000000000000007E-2"/>
    <n v="9"/>
    <d v="2025-03-27T00:00:00"/>
    <s v="Ok"/>
    <n v="1217.43"/>
    <n v="17"/>
    <x v="504"/>
    <n v="8970.57"/>
    <n v="1219.3191000000006"/>
    <n v="0.11965970267527255"/>
    <s v="Mar-2025"/>
    <m/>
    <s v="Americas. Brazil. Rio de Janeiro"/>
    <s v="High"/>
    <x v="0"/>
  </r>
  <r>
    <s v="ORD-2024-310809"/>
    <d v="2024-04-05T00:00:00"/>
    <d v="2024-04-09T00:00:00"/>
    <s v="Africa"/>
    <x v="1"/>
    <s v="Lagos"/>
    <s v="Non-Profit"/>
    <s v="Direct"/>
    <s v="K. Singh"/>
    <x v="0"/>
    <x v="504"/>
    <n v="395.07"/>
    <n v="970.27"/>
    <n v="0.123"/>
    <n v="38"/>
    <d v="2024-04-09T00:00:00"/>
    <s v="Ok"/>
    <n v="970.27"/>
    <n v="4"/>
    <x v="505"/>
    <n v="15012.66"/>
    <n v="17322.55802"/>
    <n v="0.53571799049833657"/>
    <s v="Apr-2024"/>
    <m/>
    <s v="Africa. Nigeria. Lagos"/>
    <s v="Low"/>
    <x v="0"/>
  </r>
  <r>
    <s v="ORD-2025-474368"/>
    <d v="2025-04-27T00:00:00"/>
    <d v="2025-05-17T00:00:00"/>
    <s v="Americas"/>
    <x v="10"/>
    <s v="Austin"/>
    <s v="Corporate"/>
    <s v="Direct"/>
    <s v="N. Brown"/>
    <x v="3"/>
    <x v="505"/>
    <n v="932.26"/>
    <n v="1624.67"/>
    <n v="0.23499999999999999"/>
    <n v="28"/>
    <d v="2025-05-17T00:00:00"/>
    <s v="Ok"/>
    <n v="1624.67"/>
    <n v="20"/>
    <x v="506"/>
    <n v="26103.279999999999"/>
    <n v="8697.1514000000025"/>
    <n v="0.24991504559337163"/>
    <s v="Apr-2025"/>
    <m/>
    <s v="Americas. USA. Austin"/>
    <s v="High"/>
    <x v="0"/>
  </r>
  <r>
    <s v="ORD-2024-732543"/>
    <d v="2024-10-24T00:00:00"/>
    <d v="2024-10-28T00:00:00"/>
    <s v="Asia"/>
    <x v="9"/>
    <s v="Shanghai"/>
    <s v="Small Business"/>
    <s v="Distributor"/>
    <s v="I. Johnson"/>
    <x v="2"/>
    <x v="506"/>
    <n v="1331.77"/>
    <n v="2606.11"/>
    <n v="0.02"/>
    <n v="6"/>
    <d v="2024-10-28T00:00:00"/>
    <s v="Ok"/>
    <n v="2606.11"/>
    <n v="4"/>
    <x v="507"/>
    <n v="7990.62"/>
    <n v="7333.3067999999994"/>
    <n v="0.47855271665745619"/>
    <s v="Oct-2024"/>
    <m/>
    <s v="Asia. China. Shanghai"/>
    <s v="High"/>
    <x v="0"/>
  </r>
  <r>
    <s v="ORD-2023-867166"/>
    <d v="2023-04-13T00:00:00"/>
    <d v="2023-04-20T00:00:00"/>
    <s v="Europe"/>
    <x v="7"/>
    <s v="Lyon"/>
    <s v="Small Business"/>
    <s v="Online"/>
    <s v="A. Patel"/>
    <x v="4"/>
    <x v="507"/>
    <n v="227.02"/>
    <n v="434.72"/>
    <n v="9.8000000000000004E-2"/>
    <n v="10"/>
    <d v="2023-04-20T00:00:00"/>
    <s v="Ok"/>
    <n v="434.72"/>
    <n v="7"/>
    <x v="508"/>
    <n v="2270.2000000000003"/>
    <n v="1650.9744000000005"/>
    <n v="0.42104079838938052"/>
    <s v="Apr-2023"/>
    <m/>
    <s v="Europe. France. Lyon"/>
    <s v="Low"/>
    <x v="0"/>
  </r>
  <r>
    <s v="ORD-2024-776337"/>
    <d v="2024-11-12T00:00:00"/>
    <d v="2024-11-21T00:00:00"/>
    <s v="Asia"/>
    <x v="4"/>
    <s v="Mumbai"/>
    <s v="Corporate"/>
    <s v="Direct"/>
    <s v="H. Kim"/>
    <x v="4"/>
    <x v="508"/>
    <n v="903.41"/>
    <n v="1860.41"/>
    <n v="0.108"/>
    <n v="5"/>
    <d v="2024-11-21T00:00:00"/>
    <s v="Ok"/>
    <n v="1860.41"/>
    <n v="9"/>
    <x v="509"/>
    <n v="4517.05"/>
    <n v="3780.3786000000009"/>
    <n v="0.455608451996803"/>
    <s v="Nov-2024"/>
    <m/>
    <s v="Asia. India. Mumbai"/>
    <s v="High"/>
    <x v="0"/>
  </r>
  <r>
    <s v="ORD-2023-913592"/>
    <d v="2023-05-10T00:00:00"/>
    <d v="2023-05-14T00:00:00"/>
    <s v="Asia"/>
    <x v="4"/>
    <s v="Delhi"/>
    <s v="Non-Profit"/>
    <s v="Distributor"/>
    <s v="C. Otieno"/>
    <x v="5"/>
    <x v="509"/>
    <n v="622.6"/>
    <n v="833.69"/>
    <n v="0.20899999999999999"/>
    <n v="14"/>
    <d v="2023-05-14T00:00:00"/>
    <s v="Ok"/>
    <n v="833.69"/>
    <n v="4"/>
    <x v="510"/>
    <n v="8716.4"/>
    <n v="515.88306000000011"/>
    <n v="5.5878167582959715E-2"/>
    <s v="May-2023"/>
    <m/>
    <s v="Asia. India. Delhi"/>
    <s v="Low"/>
    <x v="0"/>
  </r>
  <r>
    <s v="ORD-2024-961501"/>
    <d v="2024-03-02T00:00:00"/>
    <d v="2024-03-23T00:00:00"/>
    <s v="Americas"/>
    <x v="10"/>
    <s v="Chicago"/>
    <s v="Small Business"/>
    <s v="Online"/>
    <s v="F. Müller"/>
    <x v="0"/>
    <x v="510"/>
    <n v="225.01"/>
    <n v="333.48"/>
    <n v="0.11899999999999999"/>
    <n v="12"/>
    <d v="2024-03-23T00:00:00"/>
    <s v="Ok"/>
    <n v="333.48"/>
    <n v="21"/>
    <x v="511"/>
    <n v="2700.12"/>
    <n v="825.43056000000024"/>
    <n v="0.23412813004729685"/>
    <s v="Mar-2024"/>
    <m/>
    <s v="Americas. USA. Chicago"/>
    <s v="Low"/>
    <x v="0"/>
  </r>
  <r>
    <s v="ORD-2024-964950"/>
    <d v="2024-10-10T00:00:00"/>
    <d v="2024-10-11T00:00:00"/>
    <s v="Europe"/>
    <x v="8"/>
    <s v="Manchester"/>
    <s v="Non-Profit"/>
    <s v="Distributor"/>
    <s v="L. Okafor"/>
    <x v="0"/>
    <x v="511"/>
    <n v="1389.46"/>
    <n v="1784.7"/>
    <n v="0.14599999999999999"/>
    <n v="33"/>
    <d v="2024-10-11T00:00:00"/>
    <s v="Ok"/>
    <n v="1784.7"/>
    <n v="1"/>
    <x v="512"/>
    <n v="45852.18"/>
    <n v="4444.2353999999978"/>
    <n v="8.8360877503011831E-2"/>
    <s v="Oct-2024"/>
    <m/>
    <s v="Europe. United Kingdom. Manchester"/>
    <s v="High"/>
    <x v="0"/>
  </r>
  <r>
    <s v="ORD-2023-349264"/>
    <d v="2023-06-01T00:00:00"/>
    <d v="2023-06-08T00:00:00"/>
    <s v="Europe"/>
    <x v="6"/>
    <s v="Frankfurt"/>
    <s v="Consumer"/>
    <s v="Online"/>
    <s v="A. Patel"/>
    <x v="3"/>
    <x v="512"/>
    <n v="804.17"/>
    <n v="1072.29"/>
    <n v="3.2000000000000001E-2"/>
    <n v="5"/>
    <d v="2023-06-08T00:00:00"/>
    <s v="Ok"/>
    <n v="1072.29"/>
    <n v="7"/>
    <x v="513"/>
    <n v="4020.85"/>
    <n v="1169.0336000000002"/>
    <n v="0.2252523736755869"/>
    <s v="Jun-2023"/>
    <m/>
    <s v="Europe. Germany. Frankfurt"/>
    <s v="Low"/>
    <x v="0"/>
  </r>
  <r>
    <s v="ORD-2025-137394"/>
    <d v="2025-01-04T00:00:00"/>
    <d v="2025-01-05T00:00:00"/>
    <s v="Asia"/>
    <x v="4"/>
    <s v="Delhi"/>
    <s v="Education"/>
    <s v="Retail"/>
    <s v="I. Johnson"/>
    <x v="0"/>
    <x v="513"/>
    <n v="1428.33"/>
    <n v="3028.05"/>
    <n v="0"/>
    <n v="11"/>
    <d v="2025-01-05T00:00:00"/>
    <s v="Ok"/>
    <n v="3028.05"/>
    <n v="1"/>
    <x v="514"/>
    <n v="15711.63"/>
    <n v="17596.920000000006"/>
    <n v="0.52830039134096207"/>
    <s v="Jan-2025"/>
    <m/>
    <s v="Asia. India. Delhi"/>
    <s v="High"/>
    <x v="0"/>
  </r>
  <r>
    <s v="ORD-2025-635337"/>
    <d v="2025-08-05T00:00:00"/>
    <d v="2025-08-28T00:00:00"/>
    <s v="Asia"/>
    <x v="4"/>
    <s v="Mumbai"/>
    <s v="Non-Profit"/>
    <s v="Distributor"/>
    <s v="N. Brown"/>
    <x v="4"/>
    <x v="514"/>
    <n v="638.54"/>
    <n v="987.24"/>
    <n v="0"/>
    <n v="11"/>
    <d v="2025-08-28T00:00:00"/>
    <s v="Ok"/>
    <n v="987.24"/>
    <n v="23"/>
    <x v="515"/>
    <n v="7023.94"/>
    <n v="3835.7"/>
    <n v="0.35320692030306716"/>
    <s v="Aug-2025"/>
    <m/>
    <s v="Asia. India. Mumbai"/>
    <s v="Low"/>
    <x v="0"/>
  </r>
  <r>
    <s v="ORD-2023-568013"/>
    <d v="2023-09-30T00:00:00"/>
    <d v="2023-10-30T00:00:00"/>
    <s v="Asia"/>
    <x v="2"/>
    <s v="Tokyo"/>
    <s v="Enterprise"/>
    <s v="Online"/>
    <s v="D. Smith"/>
    <x v="1"/>
    <x v="515"/>
    <n v="649.13"/>
    <n v="975.43"/>
    <n v="0.157"/>
    <n v="27"/>
    <d v="2023-10-30T00:00:00"/>
    <s v="Ok"/>
    <n v="975.43"/>
    <n v="30"/>
    <x v="516"/>
    <n v="17526.509999999998"/>
    <n v="4675.2522299999982"/>
    <n v="0.21058023149543473"/>
    <s v="Sep-2023"/>
    <m/>
    <s v="Asia. Japan. Tokyo"/>
    <s v="Low"/>
    <x v="1"/>
  </r>
  <r>
    <s v="ORD-2025-828263"/>
    <d v="2025-05-17T00:00:00"/>
    <d v="2025-05-30T00:00:00"/>
    <s v="Africa"/>
    <x v="1"/>
    <s v="Lagos"/>
    <s v="Consumer"/>
    <s v="Distributor"/>
    <s v="F. Müller"/>
    <x v="6"/>
    <x v="516"/>
    <n v="66.400000000000006"/>
    <n v="141.43"/>
    <n v="0.107"/>
    <n v="8"/>
    <d v="2025-05-30T00:00:00"/>
    <s v="Ok"/>
    <n v="141.43"/>
    <n v="13"/>
    <x v="517"/>
    <n v="531.20000000000005"/>
    <n v="479.17592000000002"/>
    <n v="0.47425508715607551"/>
    <s v="May-2025"/>
    <m/>
    <s v="Africa. Nigeria. Lagos"/>
    <s v="Low"/>
    <x v="0"/>
  </r>
  <r>
    <s v="ORD-2024-402240"/>
    <d v="2024-05-01T00:00:00"/>
    <d v="2024-05-26T00:00:00"/>
    <s v="Europe"/>
    <x v="6"/>
    <s v="Berlin"/>
    <s v="Non-Profit"/>
    <s v="Retail"/>
    <s v="B. Chen"/>
    <x v="2"/>
    <x v="517"/>
    <n v="930.71"/>
    <n v="1625.42"/>
    <n v="0.13800000000000001"/>
    <n v="7"/>
    <d v="2024-05-26T00:00:00"/>
    <s v="Ok"/>
    <n v="1625.42"/>
    <n v="25"/>
    <x v="518"/>
    <n v="6514.97"/>
    <n v="3292.8142799999996"/>
    <n v="0.33573477821231196"/>
    <s v="May-2024"/>
    <m/>
    <s v="Europe. Germany. Berlin"/>
    <s v="High"/>
    <x v="0"/>
  </r>
  <r>
    <s v="ORD-2023-125739"/>
    <d v="2023-05-01T00:00:00"/>
    <d v="2023-05-18T00:00:00"/>
    <s v="Africa"/>
    <x v="1"/>
    <s v="Port Harcourt"/>
    <s v="Corporate"/>
    <s v="Direct"/>
    <s v="F. Müller"/>
    <x v="0"/>
    <x v="518"/>
    <n v="327.97"/>
    <n v="299.94"/>
    <n v="4.9000000000000002E-2"/>
    <n v="3"/>
    <d v="2023-05-18T00:00:00"/>
    <s v="Ok"/>
    <n v="299.94"/>
    <n v="17"/>
    <x v="519"/>
    <n v="983.91000000000008"/>
    <n v="-128.18118000000015"/>
    <n v="-0.14979182306843442"/>
    <s v="May-2023"/>
    <m/>
    <s v="Africa. Nigeria. Port Harcourt"/>
    <s v="Low"/>
    <x v="0"/>
  </r>
  <r>
    <s v="ORD-2024-892879"/>
    <d v="2024-07-09T00:00:00"/>
    <d v="2024-08-08T00:00:00"/>
    <s v="Europe"/>
    <x v="7"/>
    <s v="Marseille"/>
    <s v="Corporate"/>
    <s v="Direct"/>
    <s v="J. Njeri"/>
    <x v="0"/>
    <x v="519"/>
    <n v="1062.3800000000001"/>
    <n v="1503.96"/>
    <n v="0.18"/>
    <n v="6"/>
    <d v="2024-08-08T00:00:00"/>
    <s v="Ok"/>
    <n v="1503.96"/>
    <n v="30"/>
    <x v="520"/>
    <n v="6374.2800000000007"/>
    <n v="1025.2031999999999"/>
    <n v="0.13855064905073369"/>
    <s v="Jul-2024"/>
    <m/>
    <s v="Europe. France. Marseille"/>
    <s v="High"/>
    <x v="0"/>
  </r>
  <r>
    <s v="ORD-2023-472050"/>
    <d v="2023-05-10T00:00:00"/>
    <d v="2023-05-27T00:00:00"/>
    <s v="Asia"/>
    <x v="4"/>
    <s v="Mumbai"/>
    <s v="Consumer"/>
    <s v="Retail"/>
    <s v="M. Rossi"/>
    <x v="4"/>
    <x v="520"/>
    <n v="1286.1600000000001"/>
    <n v="3101.11"/>
    <n v="0.1"/>
    <n v="23"/>
    <d v="2023-05-27T00:00:00"/>
    <s v="Ok"/>
    <n v="3101.11"/>
    <n v="17"/>
    <x v="521"/>
    <n v="29581.68"/>
    <n v="34611.296999999999"/>
    <n v="0.53917575749758417"/>
    <s v="May-2023"/>
    <m/>
    <s v="Asia. India. Mumbai"/>
    <s v="High"/>
    <x v="0"/>
  </r>
  <r>
    <s v="ORD-2024-468615"/>
    <d v="2024-07-09T00:00:00"/>
    <d v="2024-07-12T00:00:00"/>
    <s v="Asia"/>
    <x v="9"/>
    <s v="Shanghai"/>
    <s v="Small Business"/>
    <s v="Retail"/>
    <s v="D. Smith"/>
    <x v="6"/>
    <x v="521"/>
    <n v="748.39"/>
    <n v="979.42"/>
    <n v="0"/>
    <n v="23"/>
    <d v="2024-07-12T00:00:00"/>
    <s v="Ok"/>
    <n v="979.42"/>
    <n v="3"/>
    <x v="522"/>
    <n v="17212.97"/>
    <n v="5313.6899999999987"/>
    <n v="0.23588450307324738"/>
    <s v="Jul-2024"/>
    <m/>
    <s v="Asia. China. Shanghai"/>
    <s v="Low"/>
    <x v="0"/>
  </r>
  <r>
    <s v="ORD-2024-833375"/>
    <d v="2024-04-24T00:00:00"/>
    <d v="2024-05-10T00:00:00"/>
    <s v="Africa"/>
    <x v="0"/>
    <s v="Kisumu"/>
    <s v="Non-Profit"/>
    <s v="Online"/>
    <s v="N. Brown"/>
    <x v="5"/>
    <x v="522"/>
    <n v="513.30999999999995"/>
    <n v="1186.26"/>
    <n v="9.4E-2"/>
    <n v="15"/>
    <d v="2024-05-10T00:00:00"/>
    <s v="Ok"/>
    <n v="1186.26"/>
    <n v="16"/>
    <x v="523"/>
    <n v="7699.65"/>
    <n v="8421.6234000000022"/>
    <n v="0.52239194702820446"/>
    <s v="Apr-2024"/>
    <m/>
    <s v="Africa. Kenya. Kisumu"/>
    <s v="Low"/>
    <x v="0"/>
  </r>
  <r>
    <s v="ORD-2024-206311"/>
    <d v="2024-01-13T00:00:00"/>
    <d v="2024-01-15T00:00:00"/>
    <s v="Americas"/>
    <x v="10"/>
    <s v="San Francisco"/>
    <s v="Non-Profit"/>
    <s v="Direct"/>
    <s v="E. Garcia"/>
    <x v="0"/>
    <x v="523"/>
    <n v="1061.3699999999999"/>
    <n v="1938.33"/>
    <n v="0.17"/>
    <n v="4"/>
    <d v="2024-01-15T00:00:00"/>
    <s v="Ok"/>
    <n v="1938.33"/>
    <n v="2"/>
    <x v="524"/>
    <n v="4245.4799999999996"/>
    <n v="2189.7755999999999"/>
    <n v="0.34027795259600879"/>
    <s v="Jan-2024"/>
    <m/>
    <s v="Americas. USA. San Francisco"/>
    <s v="High"/>
    <x v="0"/>
  </r>
  <r>
    <s v="ORD-2024-364080"/>
    <d v="2024-04-16T00:00:00"/>
    <d v="2024-04-27T00:00:00"/>
    <s v="Africa"/>
    <x v="0"/>
    <s v="Nakuru"/>
    <s v="Enterprise"/>
    <s v="Online"/>
    <s v="D. Smith"/>
    <x v="1"/>
    <x v="524"/>
    <n v="401.3"/>
    <n v="826.47"/>
    <n v="0.22500000000000001"/>
    <n v="13"/>
    <d v="2024-04-27T00:00:00"/>
    <s v="Ok"/>
    <n v="826.47"/>
    <n v="11"/>
    <x v="525"/>
    <n v="5216.9000000000005"/>
    <n v="3109.7852499999999"/>
    <n v="0.37347217489696755"/>
    <s v="Apr-2024"/>
    <m/>
    <s v="Africa. Kenya. Nakuru"/>
    <s v="Low"/>
    <x v="0"/>
  </r>
  <r>
    <s v="ORD-2025-460466"/>
    <d v="2025-02-07T00:00:00"/>
    <d v="2025-02-16T00:00:00"/>
    <s v="Africa"/>
    <x v="1"/>
    <s v="Lagos"/>
    <s v="Small Business"/>
    <s v="Distributor"/>
    <s v="C. Otieno"/>
    <x v="1"/>
    <x v="525"/>
    <n v="90.68"/>
    <n v="118.17"/>
    <n v="0.13500000000000001"/>
    <n v="21"/>
    <d v="2025-02-16T00:00:00"/>
    <s v="Ok"/>
    <n v="118.17"/>
    <n v="9"/>
    <x v="526"/>
    <n v="1904.2800000000002"/>
    <n v="242.27804999999989"/>
    <n v="0.11286815653552899"/>
    <s v="Feb-2025"/>
    <m/>
    <s v="Africa. Nigeria. Lagos"/>
    <s v="Low"/>
    <x v="0"/>
  </r>
  <r>
    <s v="ORD-2023-700699"/>
    <d v="2023-01-12T00:00:00"/>
    <d v="2023-01-26T00:00:00"/>
    <s v="Asia"/>
    <x v="9"/>
    <s v="Shenzhen"/>
    <s v="Non-Profit"/>
    <s v="Retail"/>
    <s v="M. Rossi"/>
    <x v="1"/>
    <x v="526"/>
    <n v="1083.0899999999999"/>
    <n v="1425.87"/>
    <n v="0"/>
    <n v="8"/>
    <d v="2023-01-26T00:00:00"/>
    <s v="Ok"/>
    <n v="1425.87"/>
    <n v="14"/>
    <x v="527"/>
    <n v="8664.7199999999993"/>
    <n v="2742.24"/>
    <n v="0.24040059752992909"/>
    <s v="Jan-2023"/>
    <m/>
    <s v="Asia. China. Shenzhen"/>
    <s v="High"/>
    <x v="0"/>
  </r>
  <r>
    <s v="ORD-2024-713332"/>
    <d v="2024-06-05T00:00:00"/>
    <d v="2024-06-23T00:00:00"/>
    <s v="Africa"/>
    <x v="0"/>
    <s v="Nairobi"/>
    <s v="Consumer"/>
    <s v="Distributor"/>
    <s v="D. Smith"/>
    <x v="4"/>
    <x v="527"/>
    <n v="1208.74"/>
    <n v="1594.78"/>
    <n v="5.8999999999999997E-2"/>
    <n v="39"/>
    <d v="2024-06-23T00:00:00"/>
    <s v="Ok"/>
    <n v="1594.78"/>
    <n v="18"/>
    <x v="528"/>
    <n v="47140.86"/>
    <n v="11385.971219999999"/>
    <n v="0.1945427589817838"/>
    <s v="Jun-2024"/>
    <m/>
    <s v="Africa. Kenya. Nairobi"/>
    <s v="High"/>
    <x v="0"/>
  </r>
  <r>
    <s v="ORD-2023-640022"/>
    <d v="2023-08-24T00:00:00"/>
    <d v="2023-09-20T00:00:00"/>
    <s v="Africa"/>
    <x v="11"/>
    <s v="Durban"/>
    <s v="Small Business"/>
    <s v="Marketplace"/>
    <s v="M. Rossi"/>
    <x v="1"/>
    <x v="528"/>
    <n v="1399.64"/>
    <n v="3342.11"/>
    <n v="0"/>
    <n v="10"/>
    <d v="2023-09-20T00:00:00"/>
    <s v="Ok"/>
    <n v="3342.11"/>
    <n v="27"/>
    <x v="529"/>
    <n v="13996.400000000001"/>
    <n v="19424.699999999997"/>
    <n v="0.58121067229983447"/>
    <s v="Aug-2023"/>
    <m/>
    <s v="Africa. South Africa. Durban"/>
    <s v="High"/>
    <x v="0"/>
  </r>
  <r>
    <s v="ORD-2024-532184"/>
    <d v="2024-01-25T00:00:00"/>
    <d v="2024-02-08T00:00:00"/>
    <s v="Asia"/>
    <x v="2"/>
    <s v="Osaka"/>
    <s v="Consumer"/>
    <s v="Marketplace"/>
    <s v="I. Johnson"/>
    <x v="2"/>
    <x v="529"/>
    <n v="937.16"/>
    <n v="1069.77"/>
    <n v="3.7999999999999999E-2"/>
    <n v="9"/>
    <d v="2024-02-08T00:00:00"/>
    <s v="Ok"/>
    <n v="1069.77"/>
    <n v="14"/>
    <x v="530"/>
    <n v="8434.44"/>
    <n v="827.62866000000031"/>
    <n v="8.9356783066645962E-2"/>
    <s v="Jan-2024"/>
    <m/>
    <s v="Asia. Japan. Osaka"/>
    <s v="Low"/>
    <x v="1"/>
  </r>
  <r>
    <s v="ORD-2025-926547"/>
    <d v="2025-03-11T00:00:00"/>
    <d v="2025-03-26T00:00:00"/>
    <s v="Europe"/>
    <x v="6"/>
    <s v="Berlin"/>
    <s v="Small Business"/>
    <s v="Online"/>
    <s v="I. Johnson"/>
    <x v="3"/>
    <x v="530"/>
    <n v="116.97"/>
    <n v="140.82"/>
    <n v="0.122"/>
    <n v="5"/>
    <d v="2025-03-26T00:00:00"/>
    <s v="Ok"/>
    <n v="140.82"/>
    <n v="15"/>
    <x v="531"/>
    <n v="584.85"/>
    <n v="33.349799999999846"/>
    <n v="5.3946636669891926E-2"/>
    <s v="Mar-2025"/>
    <m/>
    <s v="Europe. Germany. Berlin"/>
    <s v="Low"/>
    <x v="0"/>
  </r>
  <r>
    <s v="ORD-2025-778145"/>
    <d v="2025-04-22T00:00:00"/>
    <d v="2025-05-12T00:00:00"/>
    <s v="Europe"/>
    <x v="7"/>
    <s v="Lyon"/>
    <s v="Enterprise"/>
    <s v="Marketplace"/>
    <s v="K. Singh"/>
    <x v="5"/>
    <x v="531"/>
    <n v="59.51"/>
    <n v="67.040000000000006"/>
    <n v="0.114"/>
    <n v="9"/>
    <d v="2025-05-12T00:00:00"/>
    <s v="Ok"/>
    <n v="67.040000000000006"/>
    <n v="20"/>
    <x v="532"/>
    <n v="535.59"/>
    <n v="-1.0130400000000463"/>
    <n v="-1.8950311663264469E-3"/>
    <s v="Apr-2025"/>
    <m/>
    <s v="Europe. France. Lyon"/>
    <s v="Low"/>
    <x v="0"/>
  </r>
  <r>
    <s v="ORD-2023-525643"/>
    <d v="2023-08-17T00:00:00"/>
    <d v="2023-09-03T00:00:00"/>
    <s v="Africa"/>
    <x v="11"/>
    <s v="Durban"/>
    <s v="Enterprise"/>
    <s v="Retail"/>
    <s v="A. Patel"/>
    <x v="3"/>
    <x v="532"/>
    <n v="676.37"/>
    <n v="1276.67"/>
    <n v="6.6000000000000003E-2"/>
    <n v="10"/>
    <d v="2023-09-03T00:00:00"/>
    <s v="Ok"/>
    <n v="1276.67"/>
    <n v="17"/>
    <x v="533"/>
    <n v="6763.7"/>
    <n v="5160.3977999999997"/>
    <n v="0.4327705027712872"/>
    <s v="Aug-2023"/>
    <m/>
    <s v="Africa. South Africa. Durban"/>
    <s v="High"/>
    <x v="0"/>
  </r>
  <r>
    <s v="ORD-2025-312803"/>
    <d v="2025-06-24T00:00:00"/>
    <d v="2025-07-14T00:00:00"/>
    <s v="Africa"/>
    <x v="11"/>
    <s v="Johannesburg"/>
    <s v="Enterprise"/>
    <s v="Marketplace"/>
    <s v="J. Njeri"/>
    <x v="4"/>
    <x v="533"/>
    <n v="1151.06"/>
    <n v="2821.36"/>
    <n v="0.248"/>
    <n v="20"/>
    <d v="2025-07-14T00:00:00"/>
    <s v="Ok"/>
    <n v="2821.36"/>
    <n v="20"/>
    <x v="534"/>
    <n v="23021.199999999997"/>
    <n v="19412.054400000008"/>
    <n v="0.45747267501594235"/>
    <s v="Jun-2025"/>
    <m/>
    <s v="Africa. South Africa. Johannesburg"/>
    <s v="High"/>
    <x v="0"/>
  </r>
  <r>
    <s v="ORD-2025-149156"/>
    <d v="2025-01-10T00:00:00"/>
    <d v="2025-02-06T00:00:00"/>
    <s v="Americas"/>
    <x v="5"/>
    <s v="Brasília"/>
    <s v="Non-Profit"/>
    <s v="Retail"/>
    <s v="B. Chen"/>
    <x v="4"/>
    <x v="534"/>
    <n v="725.62"/>
    <n v="1559.19"/>
    <n v="0.19"/>
    <n v="12"/>
    <d v="2025-02-06T00:00:00"/>
    <s v="Ok"/>
    <n v="1559.19"/>
    <n v="27"/>
    <x v="535"/>
    <n v="8707.44"/>
    <n v="6447.8868000000002"/>
    <n v="0.42545349797405885"/>
    <s v="Jan-2025"/>
    <m/>
    <s v="Americas. Brazil. Brasília"/>
    <s v="High"/>
    <x v="0"/>
  </r>
  <r>
    <s v="ORD-2023-215819"/>
    <d v="2023-07-01T00:00:00"/>
    <d v="2023-07-11T00:00:00"/>
    <s v="Europe"/>
    <x v="7"/>
    <s v="Paris"/>
    <s v="Corporate"/>
    <s v="Direct"/>
    <s v="F. Müller"/>
    <x v="2"/>
    <x v="535"/>
    <n v="479.5"/>
    <n v="656.66"/>
    <n v="0.14899999999999999"/>
    <n v="14"/>
    <d v="2023-07-11T00:00:00"/>
    <s v="Ok"/>
    <n v="656.66"/>
    <n v="10"/>
    <x v="536"/>
    <n v="6713"/>
    <n v="1110.4472399999995"/>
    <n v="0.14193835606412289"/>
    <s v="Jul-2023"/>
    <m/>
    <s v="Europe. France. Paris"/>
    <s v="Low"/>
    <x v="0"/>
  </r>
  <r>
    <s v="ORD-2024-353078"/>
    <d v="2024-08-16T00:00:00"/>
    <d v="2024-08-26T00:00:00"/>
    <s v="Americas"/>
    <x v="10"/>
    <s v="Chicago"/>
    <s v="Corporate"/>
    <s v="Distributor"/>
    <s v="L. Okafor"/>
    <x v="4"/>
    <x v="387"/>
    <n v="1291.7"/>
    <n v="2657.84"/>
    <n v="8.6999999999999994E-2"/>
    <n v="21"/>
    <d v="2024-08-26T00:00:00"/>
    <s v="Ok"/>
    <n v="2657.84"/>
    <n v="10"/>
    <x v="537"/>
    <n v="27125.7"/>
    <n v="23833.066320000002"/>
    <n v="0.46769315745083367"/>
    <s v="Aug-2024"/>
    <m/>
    <s v="Americas. USA. Chicago"/>
    <s v="High"/>
    <x v="0"/>
  </r>
  <r>
    <s v="ORD-2023-621393"/>
    <d v="2023-07-07T00:00:00"/>
    <d v="2023-07-13T00:00:00"/>
    <s v="Africa"/>
    <x v="11"/>
    <s v="Cape Town"/>
    <s v="Small Business"/>
    <s v="Marketplace"/>
    <s v="B. Chen"/>
    <x v="6"/>
    <x v="536"/>
    <n v="612.59"/>
    <n v="1424.74"/>
    <n v="4.3999999999999997E-2"/>
    <n v="15"/>
    <d v="2023-07-13T00:00:00"/>
    <s v="Ok"/>
    <n v="1424.74"/>
    <n v="6"/>
    <x v="538"/>
    <n v="9188.85"/>
    <n v="11241.921599999996"/>
    <n v="0.55024459281802152"/>
    <s v="Jul-2023"/>
    <m/>
    <s v="Africa. South Africa. Cape Town"/>
    <s v="High"/>
    <x v="0"/>
  </r>
  <r>
    <s v="ORD-2023-974506"/>
    <d v="2023-12-28T00:00:00"/>
    <d v="2024-01-01T00:00:00"/>
    <s v="Africa"/>
    <x v="11"/>
    <s v="Cape Town"/>
    <s v="Education"/>
    <s v="Distributor"/>
    <s v="A. Patel"/>
    <x v="1"/>
    <x v="537"/>
    <n v="1141.8"/>
    <n v="2318.7399999999998"/>
    <n v="0.107"/>
    <n v="32"/>
    <d v="2024-01-01T00:00:00"/>
    <s v="Ok"/>
    <n v="2318.7399999999998"/>
    <n v="4"/>
    <x v="539"/>
    <n v="36537.599999999999"/>
    <n v="29722.714239999994"/>
    <n v="0.44857490612468304"/>
    <s v="Dec-2023"/>
    <m/>
    <s v="Africa. South Africa. Cape Town"/>
    <s v="High"/>
    <x v="0"/>
  </r>
  <r>
    <s v="ORD-2023-811823"/>
    <d v="2023-01-26T00:00:00"/>
    <d v="2023-02-15T00:00:00"/>
    <s v="Europe"/>
    <x v="6"/>
    <s v="Berlin"/>
    <s v="Small Business"/>
    <s v="Online"/>
    <s v="O. Wang"/>
    <x v="2"/>
    <x v="538"/>
    <n v="492.62"/>
    <n v="366.7"/>
    <n v="8.8999999999999996E-2"/>
    <n v="10"/>
    <d v="2023-02-15T00:00:00"/>
    <s v="Ok"/>
    <n v="366.7"/>
    <n v="20"/>
    <x v="540"/>
    <n v="4926.2"/>
    <n v="-1585.5629999999996"/>
    <n v="-0.47462894052840809"/>
    <s v="Jan-2023"/>
    <m/>
    <s v="Europe. Germany. Berlin"/>
    <s v="Low"/>
    <x v="0"/>
  </r>
  <r>
    <s v="ORD-2023-286720"/>
    <d v="2023-07-08T00:00:00"/>
    <d v="2023-07-09T00:00:00"/>
    <s v="Africa"/>
    <x v="0"/>
    <s v="Nairobi"/>
    <s v="Consumer"/>
    <s v="Online"/>
    <s v="D. Smith"/>
    <x v="4"/>
    <x v="539"/>
    <n v="1258.72"/>
    <n v="2797.41"/>
    <n v="0"/>
    <n v="7"/>
    <d v="2023-07-09T00:00:00"/>
    <s v="Ok"/>
    <n v="2797.41"/>
    <n v="1"/>
    <x v="541"/>
    <n v="8811.0400000000009"/>
    <n v="10770.829999999998"/>
    <n v="0.55004093071805704"/>
    <s v="Jul-2023"/>
    <m/>
    <s v="Africa. Kenya. Nairobi"/>
    <s v="High"/>
    <x v="0"/>
  </r>
  <r>
    <s v="ORD-2024-626925"/>
    <d v="2024-06-07T00:00:00"/>
    <d v="2024-06-09T00:00:00"/>
    <s v="Asia"/>
    <x v="9"/>
    <s v="Shanghai"/>
    <s v="Corporate"/>
    <s v="Retail"/>
    <s v="O. Wang"/>
    <x v="5"/>
    <x v="540"/>
    <n v="1370.28"/>
    <n v="2209.66"/>
    <n v="0.13300000000000001"/>
    <n v="16"/>
    <d v="2024-06-09T00:00:00"/>
    <s v="Ok"/>
    <n v="2209.66"/>
    <n v="2"/>
    <x v="542"/>
    <n v="21924.48"/>
    <n v="8727.9235199999966"/>
    <n v="0.28473863442079589"/>
    <s v="Jun-2024"/>
    <m/>
    <s v="Asia. China. Shanghai"/>
    <s v="High"/>
    <x v="0"/>
  </r>
  <r>
    <s v="ORD-2023-960380"/>
    <d v="2023-02-11T00:00:00"/>
    <d v="2023-02-12T00:00:00"/>
    <s v="Africa"/>
    <x v="1"/>
    <s v="Port Harcourt"/>
    <s v="Non-Profit"/>
    <s v="Direct"/>
    <s v="D. Smith"/>
    <x v="6"/>
    <x v="541"/>
    <n v="944.61"/>
    <n v="839.04"/>
    <n v="5.8999999999999997E-2"/>
    <n v="6"/>
    <d v="2023-02-12T00:00:00"/>
    <s v="Ok"/>
    <n v="839.04"/>
    <n v="1"/>
    <x v="543"/>
    <n v="5667.66"/>
    <n v="-930.44016000000011"/>
    <n v="-0.19641059343363726"/>
    <s v="Feb-2023"/>
    <m/>
    <s v="Africa. Nigeria. Port Harcourt"/>
    <s v="Low"/>
    <x v="0"/>
  </r>
  <r>
    <s v="ORD-2023-453699"/>
    <d v="2023-07-01T00:00:00"/>
    <d v="2023-07-08T00:00:00"/>
    <s v="Europe"/>
    <x v="6"/>
    <s v="Frankfurt"/>
    <s v="Small Business"/>
    <s v="Distributor"/>
    <s v="N. Brown"/>
    <x v="4"/>
    <x v="542"/>
    <n v="460.21"/>
    <n v="1139.1500000000001"/>
    <n v="0.115"/>
    <n v="14"/>
    <d v="2023-07-08T00:00:00"/>
    <s v="Ok"/>
    <n v="1139.1500000000001"/>
    <n v="7"/>
    <x v="544"/>
    <n v="6442.94"/>
    <n v="7671.1285000000016"/>
    <n v="0.54350937151821255"/>
    <s v="Jul-2023"/>
    <m/>
    <s v="Europe. Germany. Frankfurt"/>
    <s v="Low"/>
    <x v="0"/>
  </r>
  <r>
    <s v="ORD-2025-960931"/>
    <d v="2025-08-20T00:00:00"/>
    <d v="2025-08-26T00:00:00"/>
    <s v="Americas"/>
    <x v="10"/>
    <s v="New York"/>
    <s v="Corporate"/>
    <s v="Retail"/>
    <s v="M. Rossi"/>
    <x v="2"/>
    <x v="543"/>
    <n v="1304.95"/>
    <n v="1712.03"/>
    <n v="0.21199999999999999"/>
    <n v="8"/>
    <d v="2025-08-26T00:00:00"/>
    <s v="Ok"/>
    <n v="1712.03"/>
    <n v="6"/>
    <x v="545"/>
    <n v="10439.6"/>
    <n v="353.03711999999905"/>
    <n v="3.2710922833287949E-2"/>
    <s v="Aug-2025"/>
    <m/>
    <s v="Americas. USA. New York"/>
    <s v="High"/>
    <x v="0"/>
  </r>
  <r>
    <s v="ORD-2024-419248"/>
    <d v="2024-03-04T00:00:00"/>
    <d v="2024-03-16T00:00:00"/>
    <s v="Africa"/>
    <x v="11"/>
    <s v="Johannesburg"/>
    <s v="Enterprise"/>
    <s v="Distributor"/>
    <s v="M. Rossi"/>
    <x v="5"/>
    <x v="544"/>
    <n v="441.08"/>
    <n v="1054.29"/>
    <n v="0.23699999999999999"/>
    <n v="6"/>
    <d v="2024-03-16T00:00:00"/>
    <s v="Ok"/>
    <n v="1054.29"/>
    <n v="12"/>
    <x v="546"/>
    <n v="2646.48"/>
    <n v="2180.0596199999995"/>
    <n v="0.45168169985932899"/>
    <s v="Mar-2024"/>
    <m/>
    <s v="Africa. South Africa. Johannesburg"/>
    <s v="Low"/>
    <x v="0"/>
  </r>
  <r>
    <s v="ORD-2023-488227"/>
    <d v="2023-09-08T00:00:00"/>
    <d v="2023-10-02T00:00:00"/>
    <s v="Americas"/>
    <x v="3"/>
    <s v="Toronto"/>
    <s v="Education"/>
    <s v="Direct"/>
    <s v="A. Patel"/>
    <x v="6"/>
    <x v="545"/>
    <n v="1299.03"/>
    <n v="2451.2199999999998"/>
    <n v="0.20799999999999999"/>
    <n v="8"/>
    <d v="2023-10-02T00:00:00"/>
    <s v="Ok"/>
    <n v="2451.2199999999998"/>
    <n v="24"/>
    <x v="547"/>
    <n v="10392.24"/>
    <n v="5138.6899199999989"/>
    <n v="0.3308681416032041"/>
    <s v="Sep-2023"/>
    <m/>
    <s v="Americas. Canada. Toronto"/>
    <s v="High"/>
    <x v="0"/>
  </r>
  <r>
    <s v="ORD-2023-472078"/>
    <d v="2023-02-28T00:00:00"/>
    <d v="2023-03-06T00:00:00"/>
    <s v="Europe"/>
    <x v="6"/>
    <s v="Frankfurt"/>
    <s v="Small Business"/>
    <s v="Marketplace"/>
    <s v="D. Smith"/>
    <x v="1"/>
    <x v="546"/>
    <n v="880.02"/>
    <n v="1251.21"/>
    <n v="0.123"/>
    <n v="29"/>
    <d v="2023-03-06T00:00:00"/>
    <s v="Ok"/>
    <n v="1251.21"/>
    <n v="6"/>
    <x v="548"/>
    <n v="25520.579999999998"/>
    <n v="6301.4439300000049"/>
    <n v="0.19802146915172672"/>
    <s v="Feb-2023"/>
    <m/>
    <s v="Europe. Germany. Frankfurt"/>
    <s v="High"/>
    <x v="0"/>
  </r>
  <r>
    <s v="ORD-2024-202877"/>
    <d v="2024-07-13T00:00:00"/>
    <d v="2024-08-03T00:00:00"/>
    <s v="Americas"/>
    <x v="5"/>
    <s v="Rio de Janeiro"/>
    <s v="Corporate"/>
    <s v="Marketplace"/>
    <s v="M. Rossi"/>
    <x v="5"/>
    <x v="547"/>
    <n v="702.98"/>
    <n v="1104.8"/>
    <n v="0.17499999999999999"/>
    <n v="12"/>
    <d v="2024-08-03T00:00:00"/>
    <s v="Ok"/>
    <n v="1104.8"/>
    <n v="21"/>
    <x v="549"/>
    <n v="8435.76"/>
    <n v="2501.7599999999984"/>
    <n v="0.22873192460448061"/>
    <s v="Jul-2024"/>
    <m/>
    <s v="Americas. Brazil. Rio de Janeiro"/>
    <s v="Low"/>
    <x v="0"/>
  </r>
  <r>
    <s v="ORD-2024-140633"/>
    <d v="2024-12-07T00:00:00"/>
    <d v="2024-12-26T00:00:00"/>
    <s v="Europe"/>
    <x v="8"/>
    <s v="London"/>
    <s v="Enterprise"/>
    <s v="Online"/>
    <s v="D. Smith"/>
    <x v="2"/>
    <x v="548"/>
    <n v="1035.24"/>
    <n v="2383.41"/>
    <n v="0.17"/>
    <n v="15"/>
    <d v="2024-12-26T00:00:00"/>
    <s v="Ok"/>
    <n v="2383.41"/>
    <n v="19"/>
    <x v="550"/>
    <n v="15528.6"/>
    <n v="14144.854499999992"/>
    <n v="0.47668378145860962"/>
    <s v="Dec-2024"/>
    <m/>
    <s v="Europe. United Kingdom. London"/>
    <s v="High"/>
    <x v="0"/>
  </r>
  <r>
    <s v="ORD-2025-419532"/>
    <d v="2025-08-06T00:00:00"/>
    <d v="2025-08-23T00:00:00"/>
    <s v="Americas"/>
    <x v="5"/>
    <s v="Brasília"/>
    <s v="Consumer"/>
    <s v="Distributor"/>
    <s v="A. Patel"/>
    <x v="5"/>
    <x v="549"/>
    <n v="86.64"/>
    <n v="213.06"/>
    <n v="0.21199999999999999"/>
    <n v="11"/>
    <d v="2025-08-23T00:00:00"/>
    <s v="Ok"/>
    <n v="213.06"/>
    <n v="17"/>
    <x v="551"/>
    <n v="953.04"/>
    <n v="893.76407999999992"/>
    <n v="0.48395175735154322"/>
    <s v="Aug-2025"/>
    <m/>
    <s v="Americas. Brazil. Brasília"/>
    <s v="Low"/>
    <x v="0"/>
  </r>
  <r>
    <s v="ORD-2023-139236"/>
    <d v="2023-03-03T00:00:00"/>
    <d v="2023-03-20T00:00:00"/>
    <s v="Asia"/>
    <x v="2"/>
    <s v="Nagoya"/>
    <s v="Small Business"/>
    <s v="Online"/>
    <s v="D. Smith"/>
    <x v="2"/>
    <x v="550"/>
    <n v="1171.17"/>
    <n v="2030.64"/>
    <n v="0.157"/>
    <n v="11"/>
    <d v="2023-03-20T00:00:00"/>
    <s v="Ok"/>
    <n v="2030.64"/>
    <n v="17"/>
    <x v="552"/>
    <n v="12882.87"/>
    <n v="5947.254719999999"/>
    <n v="0.31583724528830415"/>
    <s v="Mar-2023"/>
    <m/>
    <s v="Asia. Japan. Nagoya"/>
    <s v="High"/>
    <x v="1"/>
  </r>
  <r>
    <s v="ORD-2025-337268"/>
    <d v="2025-02-16T00:00:00"/>
    <d v="2025-03-17T00:00:00"/>
    <s v="Europe"/>
    <x v="6"/>
    <s v="Munich"/>
    <s v="Consumer"/>
    <s v="Retail"/>
    <s v="L. Okafor"/>
    <x v="6"/>
    <x v="551"/>
    <n v="730.42"/>
    <n v="956.7"/>
    <n v="4.2000000000000003E-2"/>
    <n v="22"/>
    <d v="2025-03-17T00:00:00"/>
    <s v="Ok"/>
    <n v="956.7"/>
    <n v="29"/>
    <x v="553"/>
    <n v="16069.24"/>
    <n v="4094.1692000000021"/>
    <n v="0.20304945256975698"/>
    <s v="Feb-2025"/>
    <m/>
    <s v="Europe. Germany. Munich"/>
    <s v="Low"/>
    <x v="0"/>
  </r>
  <r>
    <s v="ORD-2025-332931"/>
    <d v="2025-02-15T00:00:00"/>
    <d v="2025-03-01T00:00:00"/>
    <s v="Africa"/>
    <x v="0"/>
    <s v="Mombasa"/>
    <s v="Education"/>
    <s v="Direct"/>
    <s v="L. Okafor"/>
    <x v="6"/>
    <x v="552"/>
    <n v="1162.8599999999999"/>
    <n v="1447.68"/>
    <n v="8.6999999999999994E-2"/>
    <n v="12"/>
    <d v="2025-03-01T00:00:00"/>
    <s v="Ok"/>
    <n v="1447.68"/>
    <n v="14"/>
    <x v="554"/>
    <n v="13954.32"/>
    <n v="1906.4620800000012"/>
    <n v="0.12019975247021369"/>
    <s v="Feb-2025"/>
    <m/>
    <s v="Africa. Kenya. Mombasa"/>
    <s v="High"/>
    <x v="0"/>
  </r>
  <r>
    <s v="ORD-2024-536442"/>
    <d v="2024-08-31T00:00:00"/>
    <d v="2024-09-26T00:00:00"/>
    <s v="Asia"/>
    <x v="2"/>
    <s v="Tokyo"/>
    <s v="Education"/>
    <s v="Online"/>
    <s v="I. Johnson"/>
    <x v="3"/>
    <x v="553"/>
    <n v="1189.03"/>
    <n v="2949.62"/>
    <n v="0.125"/>
    <n v="13"/>
    <d v="2024-09-26T00:00:00"/>
    <s v="Ok"/>
    <n v="2949.62"/>
    <n v="26"/>
    <x v="555"/>
    <n v="15457.39"/>
    <n v="18094.537499999999"/>
    <n v="0.53929949330034765"/>
    <s v="Aug-2024"/>
    <m/>
    <s v="Asia. Japan. Tokyo"/>
    <s v="High"/>
    <x v="1"/>
  </r>
  <r>
    <s v="ORD-2023-957692"/>
    <d v="2023-05-07T00:00:00"/>
    <d v="2023-05-20T00:00:00"/>
    <s v="Asia"/>
    <x v="4"/>
    <s v="Mumbai"/>
    <s v="Enterprise"/>
    <s v="Retail"/>
    <s v="D. Smith"/>
    <x v="6"/>
    <x v="554"/>
    <n v="1443.28"/>
    <n v="2580.5700000000002"/>
    <n v="0"/>
    <n v="18"/>
    <d v="2023-05-20T00:00:00"/>
    <s v="Ok"/>
    <n v="2580.5700000000002"/>
    <n v="13"/>
    <x v="556"/>
    <n v="25979.040000000001"/>
    <n v="20471.22"/>
    <n v="0.4407127107577008"/>
    <s v="May-2023"/>
    <m/>
    <s v="Asia. India. Mumbai"/>
    <s v="High"/>
    <x v="0"/>
  </r>
  <r>
    <s v="ORD-2025-874124"/>
    <d v="2025-05-14T00:00:00"/>
    <d v="2025-05-12T00:00:00"/>
    <s v="Americas"/>
    <x v="3"/>
    <s v="Vancouver"/>
    <s v="Non-Profit"/>
    <s v="Distributor"/>
    <s v="F. Müller"/>
    <x v="1"/>
    <x v="555"/>
    <n v="883.5"/>
    <n v="1978.91"/>
    <n v="5.3999999999999999E-2"/>
    <n v="27"/>
    <d v="2025-05-21T00:00:00"/>
    <s v="Ok"/>
    <n v="1978.91"/>
    <n v="7"/>
    <x v="557"/>
    <n v="23854.5"/>
    <n v="26690.819219999998"/>
    <n v="0.52805718970390547"/>
    <s v="May-2025"/>
    <m/>
    <s v="Americas. Canada. Vancouver"/>
    <s v="High"/>
    <x v="0"/>
  </r>
  <r>
    <s v="ORD-2024-687073"/>
    <d v="2024-03-11T00:00:00"/>
    <d v="2024-03-29T00:00:00"/>
    <s v="Americas"/>
    <x v="10"/>
    <s v="New York"/>
    <s v="Corporate"/>
    <s v="Retail"/>
    <s v="M. Rossi"/>
    <x v="5"/>
    <x v="556"/>
    <n v="710.98"/>
    <n v="1481.45"/>
    <n v="0.21099999999999999"/>
    <n v="9"/>
    <d v="2024-03-29T00:00:00"/>
    <s v="Ok"/>
    <n v="1481.45"/>
    <n v="18"/>
    <x v="558"/>
    <n v="6398.82"/>
    <n v="4120.9564500000015"/>
    <n v="0.39173422264120461"/>
    <s v="Mar-2024"/>
    <m/>
    <s v="Americas. USA. New York"/>
    <s v="High"/>
    <x v="0"/>
  </r>
  <r>
    <s v="ORD-2024-555229"/>
    <d v="2024-05-18T00:00:00"/>
    <d v="2024-05-22T00:00:00"/>
    <s v="Africa"/>
    <x v="0"/>
    <s v="Nairobi"/>
    <s v="Corporate"/>
    <s v="Direct"/>
    <s v="H. Kim"/>
    <x v="6"/>
    <x v="557"/>
    <n v="857.42"/>
    <n v="1658.92"/>
    <n v="0.122"/>
    <n v="9"/>
    <d v="2024-05-22T00:00:00"/>
    <s v="Ok"/>
    <n v="1658.92"/>
    <n v="4"/>
    <x v="559"/>
    <n v="7716.78"/>
    <n v="5392.0058400000007"/>
    <n v="0.41132763215544305"/>
    <s v="May-2024"/>
    <m/>
    <s v="Africa. Kenya. Nairobi"/>
    <s v="High"/>
    <x v="0"/>
  </r>
  <r>
    <s v="ORD-2024-872291"/>
    <d v="2024-01-08T00:00:00"/>
    <d v="2024-01-12T00:00:00"/>
    <s v="Asia"/>
    <x v="4"/>
    <s v="Bengaluru"/>
    <s v="Corporate"/>
    <s v="Direct"/>
    <s v="E. Garcia"/>
    <x v="1"/>
    <x v="558"/>
    <n v="802.32"/>
    <n v="602.34"/>
    <n v="0.12"/>
    <n v="25"/>
    <d v="2024-01-12T00:00:00"/>
    <s v="Ok"/>
    <n v="602.34"/>
    <n v="4"/>
    <x v="560"/>
    <n v="20058"/>
    <n v="-6806.52"/>
    <n v="-0.51364224977134632"/>
    <s v="Jan-2024"/>
    <m/>
    <s v="Asia. India. Bengaluru"/>
    <s v="Low"/>
    <x v="0"/>
  </r>
  <r>
    <s v="ORD-2024-250862"/>
    <d v="2024-10-25T00:00:00"/>
    <d v="2024-11-05T00:00:00"/>
    <s v="Americas"/>
    <x v="10"/>
    <s v="New York"/>
    <s v="Corporate"/>
    <s v="Distributor"/>
    <s v="N. Brown"/>
    <x v="0"/>
    <x v="559"/>
    <n v="446.66"/>
    <n v="527.64"/>
    <n v="0.14499999999999999"/>
    <n v="15"/>
    <d v="2024-11-05T00:00:00"/>
    <s v="Ok"/>
    <n v="527.64"/>
    <n v="11"/>
    <x v="561"/>
    <n v="6699.9000000000005"/>
    <n v="67.082999999998719"/>
    <n v="9.9132804087137105E-3"/>
    <s v="Oct-2024"/>
    <m/>
    <s v="Americas. USA. New York"/>
    <s v="Low"/>
    <x v="0"/>
  </r>
  <r>
    <s v="ORD-2024-331226"/>
    <d v="2024-11-30T00:00:00"/>
    <d v="2024-12-19T00:00:00"/>
    <s v="Africa"/>
    <x v="0"/>
    <s v="Kisumu"/>
    <s v="Corporate"/>
    <s v="Online"/>
    <s v="L. Okafor"/>
    <x v="3"/>
    <x v="560"/>
    <n v="1195.98"/>
    <n v="1841.9"/>
    <n v="5.5E-2"/>
    <n v="19"/>
    <d v="2024-12-19T00:00:00"/>
    <s v="Ok"/>
    <n v="1841.9"/>
    <n v="19"/>
    <x v="562"/>
    <n v="22723.62"/>
    <n v="10347.694500000001"/>
    <n v="0.31289032977506842"/>
    <s v="Nov-2024"/>
    <m/>
    <s v="Africa. Kenya. Kisumu"/>
    <s v="High"/>
    <x v="0"/>
  </r>
  <r>
    <s v="ORD-2023-356427"/>
    <d v="2023-04-13T00:00:00"/>
    <d v="2023-05-02T00:00:00"/>
    <s v="Americas"/>
    <x v="3"/>
    <s v="Montreal"/>
    <s v="Consumer"/>
    <s v="Distributor"/>
    <s v="E. Garcia"/>
    <x v="5"/>
    <x v="561"/>
    <n v="671.05"/>
    <n v="1645.48"/>
    <n v="0.13700000000000001"/>
    <n v="6"/>
    <d v="2023-05-02T00:00:00"/>
    <s v="Ok"/>
    <n v="1645.48"/>
    <n v="19"/>
    <x v="563"/>
    <n v="4026.2999999999997"/>
    <n v="4493.9954400000006"/>
    <n v="0.52744596377517172"/>
    <s v="Apr-2023"/>
    <m/>
    <s v="Americas. Canada. Montreal"/>
    <s v="High"/>
    <x v="0"/>
  </r>
  <r>
    <s v="ORD-2025-659650"/>
    <d v="2025-02-04T00:00:00"/>
    <d v="2025-02-08T00:00:00"/>
    <s v="Europe"/>
    <x v="8"/>
    <s v="Manchester"/>
    <s v="Enterprise"/>
    <s v="Marketplace"/>
    <s v="L. Okafor"/>
    <x v="2"/>
    <x v="562"/>
    <n v="586.21"/>
    <n v="727.22"/>
    <n v="6.8000000000000005E-2"/>
    <n v="15"/>
    <d v="2025-02-08T00:00:00"/>
    <s v="Ok"/>
    <n v="727.22"/>
    <n v="4"/>
    <x v="564"/>
    <n v="8793.1500000000015"/>
    <n v="1373.3855999999996"/>
    <n v="0.13508884973559721"/>
    <s v="Feb-2025"/>
    <m/>
    <s v="Europe. United Kingdom. Manchester"/>
    <s v="Low"/>
    <x v="0"/>
  </r>
  <r>
    <s v="ORD-2024-207669"/>
    <d v="2024-01-24T00:00:00"/>
    <d v="2024-02-04T00:00:00"/>
    <s v="Europe"/>
    <x v="8"/>
    <s v="Manchester"/>
    <s v="Consumer"/>
    <s v="Retail"/>
    <s v="B. Chen"/>
    <x v="4"/>
    <x v="563"/>
    <n v="525.34"/>
    <n v="1233.79"/>
    <n v="0.14299999999999999"/>
    <n v="4"/>
    <d v="2024-02-04T00:00:00"/>
    <s v="Ok"/>
    <n v="1233.79"/>
    <n v="11"/>
    <x v="565"/>
    <n v="2101.36"/>
    <n v="2128.0721199999994"/>
    <n v="0.50315788494082736"/>
    <s v="Jan-2024"/>
    <m/>
    <s v="Europe. United Kingdom. Manchester"/>
    <s v="High"/>
    <x v="0"/>
  </r>
  <r>
    <s v="ORD-2024-979401"/>
    <d v="2024-02-08T00:00:00"/>
    <d v="2024-02-09T00:00:00"/>
    <s v="Africa"/>
    <x v="0"/>
    <s v="Mombasa"/>
    <s v="Corporate"/>
    <s v="Direct"/>
    <s v="F. Müller"/>
    <x v="0"/>
    <x v="564"/>
    <n v="1233.52"/>
    <n v="1543.76"/>
    <n v="0.126"/>
    <n v="13"/>
    <d v="2024-02-09T00:00:00"/>
    <s v="Ok"/>
    <n v="1543.76"/>
    <n v="1"/>
    <x v="566"/>
    <n v="16035.76"/>
    <n v="1504.4411200000013"/>
    <n v="8.5771030201277493E-2"/>
    <s v="Feb-2024"/>
    <m/>
    <s v="Africa. Kenya. Mombasa"/>
    <s v="High"/>
    <x v="0"/>
  </r>
  <r>
    <s v="ORD-2025-929414"/>
    <d v="2025-06-26T00:00:00"/>
    <d v="2025-07-11T00:00:00"/>
    <s v="Africa"/>
    <x v="1"/>
    <s v="Port Harcourt"/>
    <s v="Small Business"/>
    <s v="Online"/>
    <s v="A. Patel"/>
    <x v="4"/>
    <x v="565"/>
    <n v="1170.1500000000001"/>
    <n v="2115.19"/>
    <n v="9.1999999999999998E-2"/>
    <n v="23"/>
    <d v="2025-07-11T00:00:00"/>
    <s v="Ok"/>
    <n v="2115.19"/>
    <n v="15"/>
    <x v="567"/>
    <n v="26913.45"/>
    <n v="17260.177960000005"/>
    <n v="0.39073489674946776"/>
    <s v="Jun-2025"/>
    <m/>
    <s v="Africa. Nigeria. Port Harcourt"/>
    <s v="High"/>
    <x v="0"/>
  </r>
  <r>
    <s v="ORD-2024-766980"/>
    <d v="2024-11-04T00:00:00"/>
    <d v="2024-11-07T00:00:00"/>
    <s v="Europe"/>
    <x v="7"/>
    <s v="Lyon"/>
    <s v="Corporate"/>
    <s v="Online"/>
    <s v="O. Wang"/>
    <x v="5"/>
    <x v="566"/>
    <n v="740.68"/>
    <n v="1837.19"/>
    <n v="0.19700000000000001"/>
    <n v="17"/>
    <d v="2024-11-07T00:00:00"/>
    <s v="Ok"/>
    <n v="1837.19"/>
    <n v="3"/>
    <x v="568"/>
    <n v="12591.56"/>
    <n v="12487.920689999997"/>
    <n v="0.4979337827748298"/>
    <s v="Nov-2024"/>
    <m/>
    <s v="Europe. France. Lyon"/>
    <s v="High"/>
    <x v="0"/>
  </r>
  <r>
    <s v="ORD-2024-437164"/>
    <d v="2024-02-20T00:00:00"/>
    <d v="2024-02-20T00:00:00"/>
    <s v="Americas"/>
    <x v="10"/>
    <s v="New York"/>
    <s v="Enterprise"/>
    <s v="Online"/>
    <s v="C. Otieno"/>
    <x v="2"/>
    <x v="567"/>
    <n v="1407.05"/>
    <n v="2858.93"/>
    <n v="0"/>
    <n v="12"/>
    <d v="2024-02-20T00:00:00"/>
    <s v="Ok"/>
    <n v="2858.93"/>
    <n v="0"/>
    <x v="569"/>
    <n v="16884.599999999999"/>
    <n v="17422.559999999998"/>
    <n v="0.50784034586366222"/>
    <s v="Feb-2024"/>
    <m/>
    <s v="Americas. USA. New York"/>
    <s v="High"/>
    <x v="0"/>
  </r>
  <r>
    <s v="ORD-2025-169093"/>
    <d v="2025-04-13T00:00:00"/>
    <d v="2025-04-14T00:00:00"/>
    <s v="Asia"/>
    <x v="2"/>
    <s v="Osaka"/>
    <s v="Enterprise"/>
    <s v="Online"/>
    <s v="G. Dubois"/>
    <x v="0"/>
    <x v="568"/>
    <n v="138.9"/>
    <n v="289.92"/>
    <n v="2.9000000000000001E-2"/>
    <n v="12"/>
    <d v="2025-04-14T00:00:00"/>
    <s v="Ok"/>
    <n v="289.92"/>
    <n v="1"/>
    <x v="570"/>
    <n v="1666.8000000000002"/>
    <n v="1711.3478399999999"/>
    <n v="0.50659353025828491"/>
    <s v="Apr-2025"/>
    <m/>
    <s v="Asia. Japan. Osaka"/>
    <s v="Low"/>
    <x v="1"/>
  </r>
  <r>
    <s v="ORD-2023-868460"/>
    <d v="2023-06-01T00:00:00"/>
    <d v="2023-06-01T00:00:00"/>
    <s v="Asia"/>
    <x v="4"/>
    <s v="Bengaluru"/>
    <s v="Corporate"/>
    <s v="Retail"/>
    <s v="E. Garcia"/>
    <x v="6"/>
    <x v="569"/>
    <n v="669.37"/>
    <n v="997.2"/>
    <n v="8.2000000000000003E-2"/>
    <n v="5"/>
    <d v="2023-06-01T00:00:00"/>
    <s v="Ok"/>
    <n v="997.2"/>
    <n v="0"/>
    <x v="571"/>
    <n v="3346.85"/>
    <n v="1230.2980000000002"/>
    <n v="0.26879139586484863"/>
    <s v="Jun-2023"/>
    <m/>
    <s v="Asia. India. Bengaluru"/>
    <s v="Low"/>
    <x v="0"/>
  </r>
  <r>
    <s v="ORD-2025-177994"/>
    <d v="2025-03-24T00:00:00"/>
    <d v="2025-04-04T00:00:00"/>
    <s v="Asia"/>
    <x v="4"/>
    <s v="Mumbai"/>
    <s v="Education"/>
    <s v="Marketplace"/>
    <s v="J. Njeri"/>
    <x v="3"/>
    <x v="570"/>
    <n v="23.83"/>
    <n v="47.29"/>
    <n v="6.4000000000000001E-2"/>
    <n v="19"/>
    <d v="2025-04-04T00:00:00"/>
    <s v="Ok"/>
    <n v="47.29"/>
    <n v="11"/>
    <x v="572"/>
    <n v="452.77"/>
    <n v="388.23536000000001"/>
    <n v="0.46163244429262618"/>
    <s v="Mar-2025"/>
    <m/>
    <s v="Asia. India. Mumbai"/>
    <s v="Low"/>
    <x v="0"/>
  </r>
  <r>
    <s v="ORD-2024-355095"/>
    <d v="2024-01-02T00:00:00"/>
    <d v="2024-01-02T00:00:00"/>
    <s v="Americas"/>
    <x v="3"/>
    <s v="Vancouver"/>
    <s v="Education"/>
    <s v="Direct"/>
    <s v="A. Patel"/>
    <x v="4"/>
    <x v="571"/>
    <n v="444.41"/>
    <n v="754.24"/>
    <n v="0.20699999999999999"/>
    <n v="32"/>
    <d v="2024-01-02T00:00:00"/>
    <s v="Ok"/>
    <n v="754.24"/>
    <n v="0"/>
    <x v="573"/>
    <n v="14221.12"/>
    <n v="4918.4742400000014"/>
    <n v="0.25697902360546598"/>
    <s v="Jan-2024"/>
    <m/>
    <s v="Americas. Canada. Vancouver"/>
    <s v="Low"/>
    <x v="0"/>
  </r>
  <r>
    <s v="ORD-2023-126505"/>
    <d v="2023-12-19T00:00:00"/>
    <d v="2024-01-01T00:00:00"/>
    <s v="Americas"/>
    <x v="3"/>
    <s v="Toronto"/>
    <s v="Enterprise"/>
    <s v="Retail"/>
    <s v="K. Singh"/>
    <x v="5"/>
    <x v="572"/>
    <n v="856.1"/>
    <n v="901.48"/>
    <n v="5.6000000000000001E-2"/>
    <n v="17"/>
    <d v="2024-01-01T00:00:00"/>
    <s v="Ok"/>
    <n v="901.48"/>
    <n v="13"/>
    <x v="574"/>
    <n v="14553.7"/>
    <n v="-86.748960000000807"/>
    <n v="-5.9963540182134192E-3"/>
    <s v="Dec-2023"/>
    <m/>
    <s v="Americas. Canada. Toronto"/>
    <s v="Low"/>
    <x v="0"/>
  </r>
  <r>
    <s v="ORD-2023-340056"/>
    <d v="2023-04-26T00:00:00"/>
    <d v="2023-04-26T00:00:00"/>
    <s v="Europe"/>
    <x v="7"/>
    <s v="Marseille"/>
    <s v="Consumer"/>
    <s v="Direct"/>
    <s v="M. Rossi"/>
    <x v="0"/>
    <x v="573"/>
    <n v="81.489999999999995"/>
    <n v="113.08"/>
    <n v="0.121"/>
    <n v="5"/>
    <d v="2023-04-26T00:00:00"/>
    <s v="Ok"/>
    <n v="113.08"/>
    <n v="0"/>
    <x v="575"/>
    <n v="407.45"/>
    <n v="89.536600000000021"/>
    <n v="0.18015898215364362"/>
    <s v="Apr-2023"/>
    <m/>
    <s v="Europe. France. Marseille"/>
    <s v="Low"/>
    <x v="0"/>
  </r>
  <r>
    <s v="ORD-2025-281413"/>
    <d v="2025-08-03T00:00:00"/>
    <d v="2025-08-16T00:00:00"/>
    <s v="Americas"/>
    <x v="3"/>
    <s v="Montreal"/>
    <s v="Enterprise"/>
    <s v="Distributor"/>
    <s v="O. Wang"/>
    <x v="2"/>
    <x v="574"/>
    <n v="698.66"/>
    <n v="868.62"/>
    <n v="7.1999999999999995E-2"/>
    <n v="15"/>
    <d v="2025-08-16T00:00:00"/>
    <s v="Ok"/>
    <n v="868.62"/>
    <n v="13"/>
    <x v="576"/>
    <n v="10479.9"/>
    <n v="1611.2903999999999"/>
    <n v="0.13326151906432637"/>
    <s v="Aug-2025"/>
    <m/>
    <s v="Americas. Canada. Montreal"/>
    <s v="Low"/>
    <x v="0"/>
  </r>
  <r>
    <s v="ORD-2023-713614"/>
    <d v="2023-08-02T00:00:00"/>
    <d v="2023-08-19T00:00:00"/>
    <s v="Americas"/>
    <x v="3"/>
    <s v="Vancouver"/>
    <s v="Corporate"/>
    <s v="Online"/>
    <s v="F. Müller"/>
    <x v="2"/>
    <x v="575"/>
    <n v="175.38"/>
    <n v="347.9"/>
    <n v="7.1999999999999995E-2"/>
    <n v="43"/>
    <d v="2023-08-19T00:00:00"/>
    <s v="Ok"/>
    <n v="347.9"/>
    <n v="17"/>
    <x v="577"/>
    <n v="7541.34"/>
    <n v="6341.2615999999998"/>
    <n v="0.45677761148169804"/>
    <s v="Aug-2023"/>
    <m/>
    <s v="Americas. Canada. Vancouver"/>
    <s v="Low"/>
    <x v="0"/>
  </r>
  <r>
    <s v="ORD-2023-173313"/>
    <d v="2023-06-15T00:00:00"/>
    <d v="2023-07-12T00:00:00"/>
    <s v="Europe"/>
    <x v="8"/>
    <s v="Manchester"/>
    <s v="Consumer"/>
    <s v="Direct"/>
    <s v="I. Johnson"/>
    <x v="6"/>
    <x v="576"/>
    <n v="751.28"/>
    <n v="1111.8800000000001"/>
    <n v="0.13500000000000001"/>
    <n v="7"/>
    <d v="2023-07-12T00:00:00"/>
    <s v="Ok"/>
    <n v="1111.8800000000001"/>
    <n v="27"/>
    <x v="578"/>
    <n v="5258.96"/>
    <n v="1473.4734000000008"/>
    <n v="0.21886193482433863"/>
    <s v="Jun-2023"/>
    <m/>
    <s v="Europe. United Kingdom. Manchester"/>
    <s v="Low"/>
    <x v="0"/>
  </r>
  <r>
    <s v="ORD-2024-496601"/>
    <d v="2024-11-11T00:00:00"/>
    <d v="2024-11-24T00:00:00"/>
    <s v="Europe"/>
    <x v="8"/>
    <s v="London"/>
    <s v="Corporate"/>
    <s v="Retail"/>
    <s v="E. Garcia"/>
    <x v="2"/>
    <x v="577"/>
    <n v="164.53"/>
    <n v="327.72"/>
    <n v="6.7000000000000004E-2"/>
    <n v="14"/>
    <d v="2024-11-24T00:00:00"/>
    <s v="Ok"/>
    <n v="327.72"/>
    <n v="13"/>
    <x v="579"/>
    <n v="2303.42"/>
    <n v="1977.25864"/>
    <n v="0.46190307805960412"/>
    <s v="Nov-2024"/>
    <m/>
    <s v="Europe. United Kingdom. London"/>
    <s v="Low"/>
    <x v="0"/>
  </r>
  <r>
    <s v="ORD-2025-155182"/>
    <d v="2025-07-11T00:00:00"/>
    <d v="2025-08-03T00:00:00"/>
    <s v="Africa"/>
    <x v="0"/>
    <s v="Nakuru"/>
    <s v="Small Business"/>
    <s v="Retail"/>
    <s v="C. Otieno"/>
    <x v="3"/>
    <x v="578"/>
    <n v="389.93"/>
    <n v="486.13"/>
    <n v="0.13200000000000001"/>
    <n v="17"/>
    <d v="2025-08-03T00:00:00"/>
    <s v="Ok"/>
    <n v="486.13"/>
    <n v="23"/>
    <x v="580"/>
    <n v="6628.81"/>
    <n v="544.52427999999873"/>
    <n v="7.5909508569562828E-2"/>
    <s v="Jul-2025"/>
    <m/>
    <s v="Africa. Kenya. Nakuru"/>
    <s v="Low"/>
    <x v="0"/>
  </r>
  <r>
    <s v="ORD-2023-244375"/>
    <d v="2023-06-03T00:00:00"/>
    <d v="2023-07-01T00:00:00"/>
    <s v="Americas"/>
    <x v="5"/>
    <s v="Brasília"/>
    <s v="Small Business"/>
    <s v="Marketplace"/>
    <s v="A. Patel"/>
    <x v="0"/>
    <x v="579"/>
    <n v="860.4"/>
    <n v="2066.6"/>
    <n v="0.01"/>
    <n v="3"/>
    <d v="2023-07-01T00:00:00"/>
    <s v="Ok"/>
    <n v="2066.6"/>
    <n v="28"/>
    <x v="581"/>
    <n v="2581.1999999999998"/>
    <n v="3556.601999999999"/>
    <n v="0.57945857491004105"/>
    <s v="Jun-2023"/>
    <m/>
    <s v="Americas. Brazil. Brasília"/>
    <s v="High"/>
    <x v="0"/>
  </r>
  <r>
    <s v="ORD-2023-856322"/>
    <d v="2023-01-29T00:00:00"/>
    <d v="2023-02-06T00:00:00"/>
    <s v="Americas"/>
    <x v="5"/>
    <s v="Brasília"/>
    <s v="Corporate"/>
    <s v="Marketplace"/>
    <s v="D. Smith"/>
    <x v="5"/>
    <x v="580"/>
    <n v="41.84"/>
    <n v="86.2"/>
    <n v="0.22600000000000001"/>
    <n v="27"/>
    <d v="2023-02-06T00:00:00"/>
    <s v="Ok"/>
    <n v="86.2"/>
    <n v="8"/>
    <x v="582"/>
    <n v="1129.68"/>
    <n v="671.72760000000017"/>
    <n v="0.37289039970742882"/>
    <s v="Jan-2023"/>
    <m/>
    <s v="Americas. Brazil. Brasília"/>
    <s v="Low"/>
    <x v="0"/>
  </r>
  <r>
    <s v="ORD-2024-594527"/>
    <d v="2024-09-06T00:00:00"/>
    <d v="2024-09-04T00:00:00"/>
    <s v="Asia"/>
    <x v="2"/>
    <s v="Osaka"/>
    <s v="Corporate"/>
    <s v="Direct"/>
    <s v="A. Patel"/>
    <x v="4"/>
    <x v="581"/>
    <n v="1368.17"/>
    <n v="2307.75"/>
    <n v="0.16300000000000001"/>
    <n v="21"/>
    <d v="2024-09-13T00:00:00"/>
    <s v="Ok"/>
    <n v="2307.75"/>
    <n v="7"/>
    <x v="583"/>
    <n v="28731.57"/>
    <n v="11831.751749999996"/>
    <n v="0.29168596750831921"/>
    <s v="Sep-2024"/>
    <m/>
    <s v="Asia. Japan. Osaka"/>
    <s v="High"/>
    <x v="1"/>
  </r>
  <r>
    <s v="ORD-2024-689872"/>
    <d v="2024-08-03T00:00:00"/>
    <d v="2024-08-09T00:00:00"/>
    <s v="Africa"/>
    <x v="0"/>
    <s v="Mombasa"/>
    <s v="Consumer"/>
    <s v="Marketplace"/>
    <s v="H. Kim"/>
    <x v="4"/>
    <x v="582"/>
    <n v="643.21"/>
    <n v="1112.81"/>
    <n v="0.14099999999999999"/>
    <n v="4"/>
    <d v="2024-08-09T00:00:00"/>
    <s v="Ok"/>
    <n v="1112.81"/>
    <n v="6"/>
    <x v="584"/>
    <n v="2572.84"/>
    <n v="1250.7751599999997"/>
    <n v="0.32711847496702562"/>
    <s v="Aug-2024"/>
    <m/>
    <s v="Africa. Kenya. Mombasa"/>
    <s v="Low"/>
    <x v="0"/>
  </r>
  <r>
    <s v="ORD-2025-246692"/>
    <d v="2025-04-17T00:00:00"/>
    <d v="2025-04-17T00:00:00"/>
    <s v="Americas"/>
    <x v="5"/>
    <s v="São Paulo"/>
    <s v="Corporate"/>
    <s v="Distributor"/>
    <s v="L. Okafor"/>
    <x v="3"/>
    <x v="583"/>
    <n v="719.41"/>
    <n v="1125.99"/>
    <n v="4.1000000000000002E-2"/>
    <n v="21"/>
    <d v="2025-04-17T00:00:00"/>
    <s v="Ok"/>
    <n v="1125.99"/>
    <n v="0"/>
    <x v="585"/>
    <n v="15107.609999999999"/>
    <n v="7568.7026100000021"/>
    <n v="0.33377131194876403"/>
    <s v="Apr-2025"/>
    <m/>
    <s v="Americas. Brazil. São Paulo"/>
    <s v="Low"/>
    <x v="0"/>
  </r>
  <r>
    <s v="ORD-2023-378676"/>
    <d v="2023-05-03T00:00:00"/>
    <d v="2023-05-16T00:00:00"/>
    <s v="Americas"/>
    <x v="10"/>
    <s v="New York"/>
    <s v="Corporate"/>
    <s v="Marketplace"/>
    <s v="L. Okafor"/>
    <x v="3"/>
    <x v="584"/>
    <n v="64.5"/>
    <n v="123.62"/>
    <n v="0"/>
    <n v="3"/>
    <d v="2023-05-16T00:00:00"/>
    <s v="Ok"/>
    <n v="123.62"/>
    <n v="13"/>
    <x v="586"/>
    <n v="193.5"/>
    <n v="177.36"/>
    <n v="0.47823976702798904"/>
    <s v="May-2023"/>
    <m/>
    <s v="Americas. USA. New York"/>
    <s v="Low"/>
    <x v="0"/>
  </r>
  <r>
    <s v="ORD-2024-243988"/>
    <d v="2024-03-13T00:00:00"/>
    <d v="2024-04-06T00:00:00"/>
    <s v="Africa"/>
    <x v="1"/>
    <s v="Abuja"/>
    <s v="Consumer"/>
    <s v="Distributor"/>
    <s v="L. Okafor"/>
    <x v="0"/>
    <x v="585"/>
    <n v="1232.78"/>
    <n v="1731.75"/>
    <n v="9.2999999999999999E-2"/>
    <n v="16"/>
    <d v="2024-04-06T00:00:00"/>
    <s v="Ok"/>
    <n v="1731.75"/>
    <n v="24"/>
    <x v="587"/>
    <n v="19724.48"/>
    <n v="5406.6759999999995"/>
    <n v="0.21513837246484005"/>
    <s v="Mar-2024"/>
    <m/>
    <s v="Africa. Nigeria. Abuja"/>
    <s v="High"/>
    <x v="0"/>
  </r>
  <r>
    <s v="ORD-2024-572312"/>
    <d v="2024-06-16T00:00:00"/>
    <d v="2024-06-21T00:00:00"/>
    <s v="Asia"/>
    <x v="2"/>
    <s v="Tokyo"/>
    <s v="Small Business"/>
    <s v="Distributor"/>
    <s v="F. Müller"/>
    <x v="3"/>
    <x v="586"/>
    <n v="1367.13"/>
    <n v="3062.01"/>
    <n v="0.10299999999999999"/>
    <n v="25"/>
    <d v="2024-06-21T00:00:00"/>
    <s v="Ok"/>
    <n v="3062.01"/>
    <n v="5"/>
    <x v="588"/>
    <n v="34178.25"/>
    <n v="34487.324250000005"/>
    <n v="0.50225057645971705"/>
    <s v="Jun-2024"/>
    <m/>
    <s v="Asia. Japan. Tokyo"/>
    <s v="High"/>
    <x v="1"/>
  </r>
  <r>
    <s v="ORD-2025-281062"/>
    <d v="2025-02-15T00:00:00"/>
    <d v="2025-02-27T00:00:00"/>
    <s v="Europe"/>
    <x v="7"/>
    <s v="Lyon"/>
    <s v="Non-Profit"/>
    <s v="Direct"/>
    <s v="K. Singh"/>
    <x v="6"/>
    <x v="587"/>
    <n v="1027.26"/>
    <n v="2200.41"/>
    <n v="8.7999999999999995E-2"/>
    <n v="6"/>
    <d v="2025-02-27T00:00:00"/>
    <s v="Ok"/>
    <n v="2200.41"/>
    <n v="12"/>
    <x v="589"/>
    <n v="6163.5599999999995"/>
    <n v="5877.0835200000001"/>
    <n v="0.48810377204822358"/>
    <s v="Feb-2025"/>
    <m/>
    <s v="Europe. France. Lyon"/>
    <s v="High"/>
    <x v="0"/>
  </r>
  <r>
    <s v="ORD-2023-727290"/>
    <d v="2023-04-03T00:00:00"/>
    <d v="2023-04-16T00:00:00"/>
    <s v="Europe"/>
    <x v="7"/>
    <s v="Marseille"/>
    <s v="Non-Profit"/>
    <s v="Marketplace"/>
    <s v="M. Rossi"/>
    <x v="6"/>
    <x v="588"/>
    <n v="790.54"/>
    <n v="601.49"/>
    <n v="0"/>
    <n v="15"/>
    <d v="2023-04-16T00:00:00"/>
    <s v="Ok"/>
    <n v="601.49"/>
    <n v="13"/>
    <x v="590"/>
    <n v="11858.099999999999"/>
    <n v="-2835.7499999999982"/>
    <n v="-0.31430281467688553"/>
    <s v="Apr-2023"/>
    <m/>
    <s v="Europe. France. Marseille"/>
    <s v="Low"/>
    <x v="0"/>
  </r>
  <r>
    <s v="ORD-2025-993993"/>
    <d v="2025-08-30T00:00:00"/>
    <d v="2025-09-22T00:00:00"/>
    <s v="Europe"/>
    <x v="7"/>
    <s v="Marseille"/>
    <s v="Corporate"/>
    <s v="Direct"/>
    <s v="E. Garcia"/>
    <x v="0"/>
    <x v="589"/>
    <n v="663.9"/>
    <n v="947.77"/>
    <n v="0.17399999999999999"/>
    <n v="15"/>
    <d v="2025-09-22T00:00:00"/>
    <s v="Ok"/>
    <n v="947.77"/>
    <n v="23"/>
    <x v="591"/>
    <n v="9958.5"/>
    <n v="1784.3703000000005"/>
    <n v="0.1519535049280073"/>
    <s v="Aug-2025"/>
    <m/>
    <s v="Europe. France. Marseille"/>
    <s v="Low"/>
    <x v="0"/>
  </r>
  <r>
    <s v="ORD-2023-619493"/>
    <d v="2023-02-27T00:00:00"/>
    <d v="2023-02-26T00:00:00"/>
    <s v="Americas"/>
    <x v="10"/>
    <s v="San Francisco"/>
    <s v="Non-Profit"/>
    <s v="Online"/>
    <s v="L. Okafor"/>
    <x v="2"/>
    <x v="590"/>
    <n v="1015.91"/>
    <n v="2331.48"/>
    <n v="0.14599999999999999"/>
    <n v="26"/>
    <d v="2023-03-06T00:00:00"/>
    <s v="Ok"/>
    <n v="2331.48"/>
    <n v="7"/>
    <x v="592"/>
    <n v="26413.66"/>
    <n v="25354.521920000003"/>
    <n v="0.48977037592669626"/>
    <s v="Feb-2023"/>
    <m/>
    <s v="Americas. USA. San Francisco"/>
    <s v="High"/>
    <x v="0"/>
  </r>
  <r>
    <s v="ORD-2024-947056"/>
    <d v="2024-07-31T00:00:00"/>
    <d v="2024-08-15T00:00:00"/>
    <s v="Asia"/>
    <x v="2"/>
    <s v="Tokyo"/>
    <s v="Corporate"/>
    <s v="Marketplace"/>
    <s v="F. Müller"/>
    <x v="5"/>
    <x v="591"/>
    <n v="1252.52"/>
    <n v="1417.24"/>
    <n v="0.192"/>
    <n v="5"/>
    <d v="2024-08-15T00:00:00"/>
    <s v="Ok"/>
    <n v="1417.24"/>
    <n v="15"/>
    <x v="593"/>
    <n v="6262.6"/>
    <n v="-536.95039999999972"/>
    <n v="-9.3779821943696953E-2"/>
    <s v="Jul-2024"/>
    <m/>
    <s v="Asia. Japan. Tokyo"/>
    <s v="High"/>
    <x v="1"/>
  </r>
  <r>
    <s v="ORD-2025-856556"/>
    <d v="2025-06-15T00:00:00"/>
    <d v="2025-07-12T00:00:00"/>
    <s v="Europe"/>
    <x v="7"/>
    <s v="Marseille"/>
    <s v="Consumer"/>
    <s v="Direct"/>
    <s v="C. Otieno"/>
    <x v="6"/>
    <x v="592"/>
    <n v="318.83"/>
    <n v="699.5"/>
    <n v="0.08"/>
    <n v="13"/>
    <d v="2025-07-12T00:00:00"/>
    <s v="Ok"/>
    <n v="699.5"/>
    <n v="27"/>
    <x v="594"/>
    <n v="4144.79"/>
    <n v="4221.2300000000005"/>
    <n v="0.50456848059172699"/>
    <s v="Jun-2025"/>
    <m/>
    <s v="Europe. France. Marseille"/>
    <s v="Low"/>
    <x v="0"/>
  </r>
  <r>
    <s v="ORD-2024-442776"/>
    <d v="2024-06-30T00:00:00"/>
    <d v="2024-07-21T00:00:00"/>
    <s v="Africa"/>
    <x v="0"/>
    <s v="Kisumu"/>
    <s v="Small Business"/>
    <s v="Retail"/>
    <s v="K. Singh"/>
    <x v="4"/>
    <x v="593"/>
    <n v="753.43"/>
    <n v="1787.2"/>
    <n v="7.2999999999999995E-2"/>
    <n v="9"/>
    <d v="2024-07-21T00:00:00"/>
    <s v="Ok"/>
    <n v="1787.2"/>
    <n v="21"/>
    <x v="595"/>
    <n v="6780.87"/>
    <n v="8129.7396000000017"/>
    <n v="0.54523187301476939"/>
    <s v="Jun-2024"/>
    <m/>
    <s v="Africa. Kenya. Kisumu"/>
    <s v="High"/>
    <x v="0"/>
  </r>
  <r>
    <s v="ORD-2025-705398"/>
    <d v="2025-02-17T00:00:00"/>
    <d v="2025-02-15T00:00:00"/>
    <s v="Americas"/>
    <x v="3"/>
    <s v="Toronto"/>
    <s v="Small Business"/>
    <s v="Retail"/>
    <s v="D. Smith"/>
    <x v="0"/>
    <x v="594"/>
    <n v="1133.47"/>
    <n v="1698.75"/>
    <n v="4.2999999999999997E-2"/>
    <n v="5"/>
    <d v="2025-02-24T00:00:00"/>
    <s v="Ok"/>
    <n v="1698.75"/>
    <n v="7"/>
    <x v="596"/>
    <n v="5667.35"/>
    <n v="2461.1687499999989"/>
    <n v="0.30278194904821976"/>
    <s v="Feb-2025"/>
    <m/>
    <s v="Americas. Canada. Toronto"/>
    <s v="High"/>
    <x v="0"/>
  </r>
  <r>
    <s v="ORD-2023-689428"/>
    <d v="2023-01-07T00:00:00"/>
    <d v="2023-01-30T00:00:00"/>
    <s v="Africa"/>
    <x v="11"/>
    <s v="Cape Town"/>
    <s v="Consumer"/>
    <s v="Online"/>
    <s v="A. Patel"/>
    <x v="1"/>
    <x v="595"/>
    <n v="299.02"/>
    <n v="724.7"/>
    <n v="0.14000000000000001"/>
    <n v="5"/>
    <d v="2023-01-30T00:00:00"/>
    <s v="Ok"/>
    <n v="724.7"/>
    <n v="23"/>
    <x v="597"/>
    <n v="1495.1"/>
    <n v="1621.1100000000001"/>
    <n v="0.52021847051386139"/>
    <s v="Jan-2023"/>
    <m/>
    <s v="Africa. South Africa. Cape Town"/>
    <s v="Low"/>
    <x v="0"/>
  </r>
  <r>
    <s v="ORD-2025-683247"/>
    <d v="2025-03-10T00:00:00"/>
    <d v="2025-04-04T00:00:00"/>
    <s v="Asia"/>
    <x v="2"/>
    <s v="Osaka"/>
    <s v="Corporate"/>
    <s v="Direct"/>
    <s v="H. Kim"/>
    <x v="1"/>
    <x v="596"/>
    <n v="783.72"/>
    <n v="1355.94"/>
    <n v="0.187"/>
    <n v="4"/>
    <d v="2025-04-04T00:00:00"/>
    <s v="Ok"/>
    <n v="1355.94"/>
    <n v="25"/>
    <x v="598"/>
    <n v="3134.88"/>
    <n v="1274.63688"/>
    <n v="0.28906497348525856"/>
    <s v="Mar-2025"/>
    <m/>
    <s v="Asia. Japan. Osaka"/>
    <s v="High"/>
    <x v="1"/>
  </r>
  <r>
    <s v="ORD-2024-585443"/>
    <d v="2024-08-17T00:00:00"/>
    <d v="2024-08-15T00:00:00"/>
    <s v="Americas"/>
    <x v="5"/>
    <s v="Rio de Janeiro"/>
    <s v="Consumer"/>
    <s v="Direct"/>
    <s v="M. Rossi"/>
    <x v="5"/>
    <x v="597"/>
    <n v="165.3"/>
    <n v="275.07"/>
    <n v="0.13300000000000001"/>
    <n v="25"/>
    <d v="2024-08-24T00:00:00"/>
    <s v="Ok"/>
    <n v="275.07"/>
    <n v="7"/>
    <x v="599"/>
    <n v="4132.5"/>
    <n v="1829.6422499999999"/>
    <n v="0.30687665159280625"/>
    <s v="Aug-2024"/>
    <m/>
    <s v="Americas. Brazil. Rio de Janeiro"/>
    <s v="Low"/>
    <x v="0"/>
  </r>
  <r>
    <s v="ORD-2024-907733"/>
    <d v="2024-03-09T00:00:00"/>
    <d v="2024-03-22T00:00:00"/>
    <s v="Europe"/>
    <x v="8"/>
    <s v="Manchester"/>
    <s v="Consumer"/>
    <s v="Online"/>
    <s v="E. Garcia"/>
    <x v="4"/>
    <x v="598"/>
    <n v="985.45"/>
    <n v="1802.44"/>
    <n v="8.9999999999999993E-3"/>
    <n v="19"/>
    <d v="2024-03-22T00:00:00"/>
    <s v="Ok"/>
    <n v="1802.44"/>
    <n v="13"/>
    <x v="600"/>
    <n v="18723.55"/>
    <n v="15214.592760000003"/>
    <n v="0.44830363486867486"/>
    <s v="Mar-2024"/>
    <m/>
    <s v="Europe. United Kingdom. Manchester"/>
    <s v="High"/>
    <x v="0"/>
  </r>
  <r>
    <s v="ORD-2024-550400"/>
    <d v="2024-08-19T00:00:00"/>
    <d v="2024-09-02T00:00:00"/>
    <s v="Americas"/>
    <x v="3"/>
    <s v="Toronto"/>
    <s v="Consumer"/>
    <s v="Distributor"/>
    <s v="C. Otieno"/>
    <x v="1"/>
    <x v="599"/>
    <n v="1337.01"/>
    <n v="1269.78"/>
    <n v="0.16"/>
    <n v="7"/>
    <d v="2024-09-02T00:00:00"/>
    <s v="Ok"/>
    <n v="1269.78"/>
    <n v="14"/>
    <x v="601"/>
    <n v="9359.07"/>
    <n v="-1892.7636000000011"/>
    <n v="-0.25350735672996244"/>
    <s v="Aug-2024"/>
    <m/>
    <s v="Americas. Canada. Toronto"/>
    <s v="High"/>
    <x v="0"/>
  </r>
  <r>
    <s v="ORD-2025-189846"/>
    <d v="2025-08-11T00:00:00"/>
    <d v="2025-08-28T00:00:00"/>
    <s v="Europe"/>
    <x v="7"/>
    <s v="Paris"/>
    <s v="Education"/>
    <s v="Online"/>
    <s v="F. Müller"/>
    <x v="2"/>
    <x v="600"/>
    <n v="416.16"/>
    <n v="571.9"/>
    <n v="7.0999999999999994E-2"/>
    <n v="2"/>
    <d v="2025-08-28T00:00:00"/>
    <s v="Ok"/>
    <n v="571.9"/>
    <n v="17"/>
    <x v="602"/>
    <n v="832.32"/>
    <n v="230.27020000000005"/>
    <n v="0.21670649701079497"/>
    <s v="Aug-2025"/>
    <m/>
    <s v="Europe. France. Paris"/>
    <s v="Low"/>
    <x v="0"/>
  </r>
  <r>
    <s v="ORD-2025-752192"/>
    <d v="2025-05-16T00:00:00"/>
    <d v="2025-05-18T00:00:00"/>
    <s v="Asia"/>
    <x v="2"/>
    <s v="Tokyo"/>
    <s v="Enterprise"/>
    <s v="Retail"/>
    <s v="J. Njeri"/>
    <x v="1"/>
    <x v="601"/>
    <n v="1144.3800000000001"/>
    <n v="2755.04"/>
    <n v="0.15"/>
    <n v="17"/>
    <d v="2025-05-18T00:00:00"/>
    <s v="Ok"/>
    <n v="2755.04"/>
    <n v="2"/>
    <x v="603"/>
    <n v="19454.460000000003"/>
    <n v="20355.867999999999"/>
    <n v="0.51132128326096682"/>
    <s v="May-2025"/>
    <m/>
    <s v="Asia. Japan. Tokyo"/>
    <s v="High"/>
    <x v="1"/>
  </r>
  <r>
    <s v="ORD-2023-294716"/>
    <d v="2023-04-10T00:00:00"/>
    <d v="2023-04-25T00:00:00"/>
    <s v="Europe"/>
    <x v="8"/>
    <s v="London"/>
    <s v="Small Business"/>
    <s v="Retail"/>
    <s v="D. Smith"/>
    <x v="1"/>
    <x v="602"/>
    <n v="405.66"/>
    <n v="962.51"/>
    <n v="0.19"/>
    <n v="7"/>
    <d v="2023-04-25T00:00:00"/>
    <s v="Ok"/>
    <n v="962.51"/>
    <n v="15"/>
    <x v="604"/>
    <n v="2839.6200000000003"/>
    <n v="2617.8116999999997"/>
    <n v="0.47967832561239376"/>
    <s v="Apr-2023"/>
    <m/>
    <s v="Europe. United Kingdom. London"/>
    <s v="Low"/>
    <x v="0"/>
  </r>
  <r>
    <s v="ORD-2023-552115"/>
    <d v="2023-09-17T00:00:00"/>
    <d v="2023-10-02T00:00:00"/>
    <s v="Americas"/>
    <x v="5"/>
    <s v="Rio de Janeiro"/>
    <s v="Small Business"/>
    <s v="Retail"/>
    <s v="B. Chen"/>
    <x v="4"/>
    <x v="603"/>
    <n v="689.33"/>
    <n v="668.27"/>
    <n v="0.186"/>
    <n v="13"/>
    <d v="2023-10-02T00:00:00"/>
    <s v="Ok"/>
    <n v="668.27"/>
    <n v="15"/>
    <x v="605"/>
    <n v="8961.2900000000009"/>
    <n v="-1889.6568600000001"/>
    <n v="-0.26721647214861033"/>
    <s v="Sep-2023"/>
    <m/>
    <s v="Americas. Brazil. Rio de Janeiro"/>
    <s v="Low"/>
    <x v="0"/>
  </r>
  <r>
    <s v="ORD-2023-107265"/>
    <d v="2023-04-22T00:00:00"/>
    <d v="2023-05-14T00:00:00"/>
    <s v="Asia"/>
    <x v="2"/>
    <s v="Nagoya"/>
    <s v="Enterprise"/>
    <s v="Retail"/>
    <s v="A. Patel"/>
    <x v="6"/>
    <x v="604"/>
    <n v="1209.22"/>
    <n v="1404.33"/>
    <n v="0.10299999999999999"/>
    <n v="11"/>
    <d v="2023-05-14T00:00:00"/>
    <s v="Ok"/>
    <n v="1404.33"/>
    <n v="22"/>
    <x v="606"/>
    <n v="13301.42"/>
    <n v="555.10411000000022"/>
    <n v="4.0060848275751328E-2"/>
    <s v="Apr-2023"/>
    <m/>
    <s v="Asia. Japan. Nagoya"/>
    <s v="High"/>
    <x v="1"/>
  </r>
  <r>
    <s v="ORD-2025-262434"/>
    <d v="2025-06-19T00:00:00"/>
    <d v="2025-06-21T00:00:00"/>
    <s v="Africa"/>
    <x v="11"/>
    <s v="Johannesburg"/>
    <s v="Small Business"/>
    <s v="Unknown"/>
    <s v="H. Kim"/>
    <x v="3"/>
    <x v="605"/>
    <n v="1466.27"/>
    <n v="3589.89"/>
    <n v="9.7000000000000003E-2"/>
    <n v="9"/>
    <d v="2025-06-21T00:00:00"/>
    <s v="Ok"/>
    <n v="3589.89"/>
    <n v="2"/>
    <x v="607"/>
    <n v="13196.43"/>
    <n v="15978.606029999999"/>
    <n v="0.54768076425234147"/>
    <s v="Jun-2025"/>
    <m/>
    <s v="Africa. South Africa. Johannesburg"/>
    <s v="High"/>
    <x v="0"/>
  </r>
  <r>
    <s v="ORD-2024-266562"/>
    <d v="2024-11-27T00:00:00"/>
    <d v="2024-12-24T00:00:00"/>
    <s v="Africa"/>
    <x v="0"/>
    <s v="Mombasa"/>
    <s v="Corporate"/>
    <s v="Distributor"/>
    <s v="B. Chen"/>
    <x v="1"/>
    <x v="606"/>
    <n v="143.33000000000001"/>
    <n v="233.51"/>
    <n v="0.16300000000000001"/>
    <n v="14"/>
    <d v="2024-12-24T00:00:00"/>
    <s v="Ok"/>
    <n v="233.51"/>
    <n v="27"/>
    <x v="608"/>
    <n v="2006.6200000000001"/>
    <n v="729.65017999999986"/>
    <n v="0.26665867476580835"/>
    <s v="Nov-2024"/>
    <m/>
    <s v="Africa. Kenya. Mombasa"/>
    <s v="Low"/>
    <x v="0"/>
  </r>
  <r>
    <s v="ORD-2024-838925"/>
    <d v="2024-01-28T00:00:00"/>
    <d v="2024-01-27T00:00:00"/>
    <s v="Africa"/>
    <x v="11"/>
    <s v="Cape Town"/>
    <s v="Enterprise"/>
    <s v="Direct"/>
    <s v="O. Wang"/>
    <x v="0"/>
    <x v="607"/>
    <n v="109.75"/>
    <n v="124.25"/>
    <n v="0.12"/>
    <n v="19"/>
    <d v="2024-02-04T00:00:00"/>
    <s v="Ok"/>
    <n v="124.25"/>
    <n v="7"/>
    <x v="609"/>
    <n v="2085.25"/>
    <n v="-7.7899999999999636"/>
    <n v="-3.7497713554051405E-3"/>
    <s v="Jan-2024"/>
    <m/>
    <s v="Africa. South Africa. Cape Town"/>
    <s v="Low"/>
    <x v="0"/>
  </r>
  <r>
    <s v="ORD-2023-664790"/>
    <d v="2023-04-16T00:00:00"/>
    <d v="2023-04-23T00:00:00"/>
    <s v="Americas"/>
    <x v="10"/>
    <s v="Austin"/>
    <s v="Corporate"/>
    <s v="Distributor"/>
    <s v="O. Wang"/>
    <x v="1"/>
    <x v="608"/>
    <n v="1099.1500000000001"/>
    <n v="1431.37"/>
    <n v="0.104"/>
    <n v="8"/>
    <d v="2023-04-23T00:00:00"/>
    <s v="Ok"/>
    <n v="1431.37"/>
    <n v="7"/>
    <x v="610"/>
    <n v="8793.2000000000007"/>
    <n v="1466.8601599999984"/>
    <n v="0.14296798821109433"/>
    <s v="Apr-2023"/>
    <m/>
    <s v="Americas. USA. Austin"/>
    <s v="High"/>
    <x v="0"/>
  </r>
  <r>
    <s v="ORD-2024-331408"/>
    <d v="2024-02-01T00:00:00"/>
    <d v="2024-02-01T00:00:00"/>
    <s v="Americas"/>
    <x v="10"/>
    <s v="Austin"/>
    <s v="Consumer"/>
    <s v="Distributor"/>
    <s v="H. Kim"/>
    <x v="1"/>
    <x v="609"/>
    <n v="714.43"/>
    <n v="1595.52"/>
    <n v="0.19400000000000001"/>
    <n v="14"/>
    <d v="2024-02-01T00:00:00"/>
    <s v="Ok"/>
    <n v="1595.52"/>
    <n v="0"/>
    <x v="611"/>
    <n v="10002.019999999999"/>
    <n v="8001.8276800000003"/>
    <n v="0.44445097638151093"/>
    <s v="Feb-2024"/>
    <m/>
    <s v="Americas. USA. Austin"/>
    <s v="High"/>
    <x v="0"/>
  </r>
  <r>
    <s v="ORD-2024-741404"/>
    <d v="2024-10-19T00:00:00"/>
    <d v="2024-11-06T00:00:00"/>
    <s v="Americas"/>
    <x v="10"/>
    <s v="Chicago"/>
    <s v="Education"/>
    <s v="Unknown"/>
    <s v="C. Otieno"/>
    <x v="5"/>
    <x v="610"/>
    <n v="942.02"/>
    <n v="1028.46"/>
    <n v="0"/>
    <n v="9"/>
    <d v="2024-11-06T00:00:00"/>
    <s v="Ok"/>
    <n v="1028.46"/>
    <n v="18"/>
    <x v="612"/>
    <n v="8478.18"/>
    <n v="777.95999999999913"/>
    <n v="8.4047994088248354E-2"/>
    <s v="Oct-2024"/>
    <m/>
    <s v="Americas. USA. Chicago"/>
    <s v="Low"/>
    <x v="0"/>
  </r>
  <r>
    <s v="ORD-2024-341535"/>
    <d v="2024-06-25T00:00:00"/>
    <d v="2024-06-30T00:00:00"/>
    <s v="Africa"/>
    <x v="0"/>
    <s v="Kisumu"/>
    <s v="Education"/>
    <s v="Direct"/>
    <s v="M. Rossi"/>
    <x v="2"/>
    <x v="611"/>
    <n v="1323.55"/>
    <n v="3230.35"/>
    <n v="2.1999999999999999E-2"/>
    <n v="26"/>
    <d v="2024-06-30T00:00:00"/>
    <s v="Ok"/>
    <n v="3230.35"/>
    <n v="5"/>
    <x v="613"/>
    <n v="34412.299999999996"/>
    <n v="47729.039799999991"/>
    <n v="0.58105991351263542"/>
    <s v="Jun-2024"/>
    <m/>
    <s v="Africa. Kenya. Kisumu"/>
    <s v="High"/>
    <x v="0"/>
  </r>
  <r>
    <s v="ORD-2023-451931"/>
    <d v="2023-07-30T00:00:00"/>
    <d v="2023-08-19T00:00:00"/>
    <s v="Europe"/>
    <x v="7"/>
    <s v="Paris"/>
    <s v="Enterprise"/>
    <s v="Marketplace"/>
    <s v="G. Dubois"/>
    <x v="2"/>
    <x v="612"/>
    <n v="1418.51"/>
    <n v="2789.61"/>
    <n v="0.17100000000000001"/>
    <n v="8"/>
    <d v="2023-08-19T00:00:00"/>
    <s v="Ok"/>
    <n v="2789.61"/>
    <n v="20"/>
    <x v="614"/>
    <n v="11348.08"/>
    <n v="7152.6135200000008"/>
    <n v="0.38661326464695689"/>
    <s v="Jul-2023"/>
    <m/>
    <s v="Europe. France. Paris"/>
    <s v="High"/>
    <x v="0"/>
  </r>
  <r>
    <s v="ORD-2025-532859"/>
    <d v="2025-03-11T00:00:00"/>
    <d v="2025-03-27T00:00:00"/>
    <s v="Asia"/>
    <x v="2"/>
    <s v="Tokyo"/>
    <s v="Enterprise"/>
    <s v="Distributor"/>
    <s v="B. Chen"/>
    <x v="1"/>
    <x v="613"/>
    <n v="1317.58"/>
    <n v="1897.74"/>
    <n v="8.1000000000000003E-2"/>
    <n v="6"/>
    <d v="2025-03-27T00:00:00"/>
    <s v="Ok"/>
    <n v="1897.74"/>
    <n v="16"/>
    <x v="615"/>
    <n v="7905.48"/>
    <n v="2558.6583600000013"/>
    <n v="0.24451687009230266"/>
    <s v="Mar-2025"/>
    <m/>
    <s v="Asia. Japan. Tokyo"/>
    <s v="High"/>
    <x v="1"/>
  </r>
  <r>
    <s v="ORD-2023-502205"/>
    <d v="2023-10-09T00:00:00"/>
    <d v="2023-10-11T00:00:00"/>
    <s v="Africa"/>
    <x v="1"/>
    <s v="Port Harcourt"/>
    <s v="Education"/>
    <s v="Marketplace"/>
    <s v="K. Singh"/>
    <x v="2"/>
    <x v="614"/>
    <n v="391.16"/>
    <n v="902.47"/>
    <n v="4.0000000000000001E-3"/>
    <n v="12"/>
    <d v="2023-10-11T00:00:00"/>
    <s v="Ok"/>
    <n v="902.47"/>
    <n v="2"/>
    <x v="616"/>
    <n v="4693.92"/>
    <n v="6092.4014399999996"/>
    <n v="0.56482661618139207"/>
    <s v="Oct-2023"/>
    <m/>
    <s v="Africa. Nigeria. Port Harcourt"/>
    <s v="Low"/>
    <x v="0"/>
  </r>
  <r>
    <s v="ORD-2024-930679"/>
    <d v="2024-12-17T00:00:00"/>
    <d v="2025-01-16T00:00:00"/>
    <s v="Europe"/>
    <x v="8"/>
    <s v="Manchester"/>
    <s v="Corporate"/>
    <s v="Retail"/>
    <s v="D. Smith"/>
    <x v="5"/>
    <x v="615"/>
    <n v="722.87"/>
    <n v="-33.659999999999997"/>
    <n v="0.10199999999999999"/>
    <n v="28"/>
    <d v="2025-01-16T00:00:00"/>
    <s v="Invalid Price"/>
    <n v="33.659999999999997"/>
    <n v="30"/>
    <x v="617"/>
    <n v="20240.36"/>
    <n v="-19394.01296"/>
    <n v="-22.914965189693348"/>
    <s v="Dec-2024"/>
    <m/>
    <s v="Europe. United Kingdom. Manchester"/>
    <s v="Low"/>
    <x v="0"/>
  </r>
  <r>
    <s v="ORD-2025-150713"/>
    <d v="2025-07-11T00:00:00"/>
    <d v="2025-07-16T00:00:00"/>
    <s v="Europe"/>
    <x v="8"/>
    <s v="London"/>
    <s v="Enterprise"/>
    <s v="Online"/>
    <s v="K. Singh"/>
    <x v="1"/>
    <x v="616"/>
    <n v="930.03"/>
    <n v="1086.68"/>
    <n v="0.109"/>
    <n v="26"/>
    <d v="2025-07-16T00:00:00"/>
    <s v="Ok"/>
    <n v="1086.68"/>
    <n v="5"/>
    <x v="618"/>
    <n v="24180.78"/>
    <n v="993.24888000000283"/>
    <n v="3.9455300728168656E-2"/>
    <s v="Jul-2025"/>
    <m/>
    <s v="Europe. United Kingdom. London"/>
    <s v="Low"/>
    <x v="0"/>
  </r>
  <r>
    <s v="ORD-2024-756884"/>
    <d v="2024-10-13T00:00:00"/>
    <d v="2024-10-24T00:00:00"/>
    <s v="Europe"/>
    <x v="7"/>
    <s v="Paris"/>
    <s v="Education"/>
    <s v="Distributor"/>
    <s v="F. Müller"/>
    <x v="0"/>
    <x v="617"/>
    <n v="816.7"/>
    <n v="1010.75"/>
    <n v="4.7E-2"/>
    <n v="43"/>
    <d v="2024-10-24T00:00:00"/>
    <s v="Ok"/>
    <n v="1010.75"/>
    <n v="11"/>
    <x v="619"/>
    <n v="35118.1"/>
    <n v="6301.4242499999964"/>
    <n v="0.15213656757537472"/>
    <s v="Oct-2024"/>
    <m/>
    <s v="Europe. France. Paris"/>
    <s v="Low"/>
    <x v="0"/>
  </r>
  <r>
    <s v="ORD-2023-755337"/>
    <d v="2023-09-08T00:00:00"/>
    <d v="2023-09-14T00:00:00"/>
    <s v="Africa"/>
    <x v="0"/>
    <s v="Nakuru"/>
    <s v="Education"/>
    <s v="Direct"/>
    <s v="I. Johnson"/>
    <x v="6"/>
    <x v="618"/>
    <n v="251.03"/>
    <n v="411.48"/>
    <n v="0.16500000000000001"/>
    <n v="3"/>
    <d v="2023-09-14T00:00:00"/>
    <s v="Ok"/>
    <n v="411.48"/>
    <n v="6"/>
    <x v="620"/>
    <n v="753.09"/>
    <n v="277.66739999999993"/>
    <n v="0.26938191275658069"/>
    <s v="Sep-2023"/>
    <m/>
    <s v="Africa. Kenya. Nakuru"/>
    <s v="Low"/>
    <x v="0"/>
  </r>
  <r>
    <s v="ORD-2025-907040"/>
    <d v="2025-04-17T00:00:00"/>
    <d v="2025-05-03T00:00:00"/>
    <s v="Americas"/>
    <x v="5"/>
    <s v="Rio de Janeiro"/>
    <s v="Consumer"/>
    <s v="Marketplace"/>
    <s v="J. Njeri"/>
    <x v="2"/>
    <x v="619"/>
    <n v="168.68"/>
    <n v="413.34"/>
    <n v="0.186"/>
    <n v="7"/>
    <d v="2025-05-03T00:00:00"/>
    <s v="Ok"/>
    <n v="413.34"/>
    <n v="16"/>
    <x v="621"/>
    <n v="1180.76"/>
    <n v="1174.4513199999999"/>
    <n v="0.49866069767361682"/>
    <s v="Apr-2025"/>
    <m/>
    <s v="Americas. Brazil. Rio de Janeiro"/>
    <s v="Low"/>
    <x v="0"/>
  </r>
  <r>
    <s v="ORD-2024-817997"/>
    <d v="2024-07-28T00:00:00"/>
    <d v="2024-08-23T00:00:00"/>
    <s v="Asia"/>
    <x v="4"/>
    <s v="Hyderabad"/>
    <s v="Corporate"/>
    <s v="Retail"/>
    <s v="J. Njeri"/>
    <x v="2"/>
    <x v="620"/>
    <n v="1339.24"/>
    <n v="1558.89"/>
    <n v="0.192"/>
    <n v="24"/>
    <d v="2024-08-23T00:00:00"/>
    <s v="Ok"/>
    <n v="1558.89"/>
    <n v="26"/>
    <x v="622"/>
    <n v="32141.760000000002"/>
    <n v="-1911.76512"/>
    <n v="-6.3240669659021781E-2"/>
    <s v="Jul-2024"/>
    <m/>
    <s v="Asia. India. Hyderabad"/>
    <s v="High"/>
    <x v="0"/>
  </r>
  <r>
    <s v="ORD-2025-649633"/>
    <d v="2025-07-19T00:00:00"/>
    <d v="2025-07-31T00:00:00"/>
    <s v="Africa"/>
    <x v="0"/>
    <s v="Nairobi"/>
    <s v="Small Business"/>
    <s v="Marketplace"/>
    <s v="O. Wang"/>
    <x v="6"/>
    <x v="621"/>
    <n v="619.64"/>
    <n v="861.16"/>
    <n v="0.113"/>
    <n v="14"/>
    <d v="2025-07-31T00:00:00"/>
    <s v="Ok"/>
    <n v="861.16"/>
    <n v="12"/>
    <x v="623"/>
    <n v="8674.9599999999991"/>
    <n v="2018.9248800000005"/>
    <n v="0.18879246435276761"/>
    <s v="Jul-2025"/>
    <m/>
    <s v="Africa. Kenya. Nairobi"/>
    <s v="Low"/>
    <x v="0"/>
  </r>
  <r>
    <s v="ORD-2023-885216"/>
    <d v="2023-08-03T00:00:00"/>
    <d v="2023-08-02T00:00:00"/>
    <s v="Asia"/>
    <x v="9"/>
    <s v="Shanghai"/>
    <s v="Non-Profit"/>
    <s v="Direct"/>
    <s v="J. Njeri"/>
    <x v="2"/>
    <x v="622"/>
    <n v="1021.97"/>
    <n v="2296.25"/>
    <n v="0.161"/>
    <n v="26"/>
    <d v="2023-08-10T00:00:00"/>
    <s v="Ok"/>
    <n v="2296.25"/>
    <n v="7"/>
    <x v="624"/>
    <n v="26571.22"/>
    <n v="23519.177499999998"/>
    <n v="0.46953465482081669"/>
    <s v="Aug-2023"/>
    <m/>
    <s v="Asia. China. Shanghai"/>
    <s v="High"/>
    <x v="0"/>
  </r>
  <r>
    <s v="ORD-2023-561823"/>
    <d v="2023-11-19T00:00:00"/>
    <d v="2023-12-12T00:00:00"/>
    <s v="Asia"/>
    <x v="4"/>
    <s v="Delhi"/>
    <s v="Small Business"/>
    <s v="Direct"/>
    <s v="C. Otieno"/>
    <x v="2"/>
    <x v="623"/>
    <n v="1349.04"/>
    <n v="2636.6"/>
    <n v="0.114"/>
    <n v="14"/>
    <d v="2023-12-12T00:00:00"/>
    <s v="Ok"/>
    <n v="2636.6"/>
    <n v="23"/>
    <x v="625"/>
    <n v="18886.559999999998"/>
    <n v="13817.826400000005"/>
    <n v="0.42250682312143928"/>
    <s v="Nov-2023"/>
    <m/>
    <s v="Asia. India. Delhi"/>
    <s v="High"/>
    <x v="0"/>
  </r>
  <r>
    <s v="ORD-2023-249805"/>
    <d v="2023-12-22T00:00:00"/>
    <d v="2024-01-16T00:00:00"/>
    <s v="Asia"/>
    <x v="4"/>
    <s v="Hyderabad"/>
    <s v="Small Business"/>
    <s v="Retail"/>
    <s v="A. Patel"/>
    <x v="0"/>
    <x v="624"/>
    <n v="1346.81"/>
    <n v="978.09"/>
    <n v="0.159"/>
    <n v="17"/>
    <d v="2024-01-16T00:00:00"/>
    <s v="Ok"/>
    <n v="978.09"/>
    <n v="25"/>
    <x v="626"/>
    <n v="22895.77"/>
    <n v="-8912.0172700000021"/>
    <n v="-0.6373122753293996"/>
    <s v="Dec-2023"/>
    <m/>
    <s v="Asia. India. Hyderabad"/>
    <s v="Low"/>
    <x v="0"/>
  </r>
  <r>
    <s v="ORD-2023-548934"/>
    <d v="2023-08-03T00:00:00"/>
    <d v="2023-08-30T00:00:00"/>
    <s v="Asia"/>
    <x v="9"/>
    <s v="Shanghai"/>
    <s v="Consumer"/>
    <s v="Distributor"/>
    <s v="N. Brown"/>
    <x v="5"/>
    <x v="625"/>
    <n v="226.04"/>
    <n v="545.72"/>
    <n v="0.151"/>
    <n v="11"/>
    <d v="2023-08-30T00:00:00"/>
    <s v="Ok"/>
    <n v="545.72"/>
    <n v="27"/>
    <x v="627"/>
    <n v="2486.44"/>
    <n v="2610.03908"/>
    <n v="0.51212592831834014"/>
    <s v="Aug-2023"/>
    <m/>
    <s v="Asia. China. Shanghai"/>
    <s v="Low"/>
    <x v="0"/>
  </r>
  <r>
    <s v="ORD-2023-921939"/>
    <d v="2023-06-23T00:00:00"/>
    <d v="2023-07-18T00:00:00"/>
    <s v="Americas"/>
    <x v="3"/>
    <s v="Vancouver"/>
    <s v="Enterprise"/>
    <s v="Online"/>
    <s v="N. Brown"/>
    <x v="3"/>
    <x v="626"/>
    <n v="807.02"/>
    <n v="1435.54"/>
    <n v="0"/>
    <n v="23"/>
    <d v="2023-07-18T00:00:00"/>
    <s v="Ok"/>
    <n v="1435.54"/>
    <n v="25"/>
    <x v="628"/>
    <n v="18561.46"/>
    <n v="14455.96"/>
    <n v="0.43782827368098415"/>
    <s v="Jun-2023"/>
    <m/>
    <s v="Americas. Canada. Vancouver"/>
    <s v="High"/>
    <x v="0"/>
  </r>
  <r>
    <s v="ORD-2023-961864"/>
    <d v="2023-12-07T00:00:00"/>
    <d v="2024-01-02T00:00:00"/>
    <s v="Europe"/>
    <x v="6"/>
    <s v="Frankfurt"/>
    <s v="Enterprise"/>
    <s v="Distributor"/>
    <s v="E. Garcia"/>
    <x v="0"/>
    <x v="627"/>
    <n v="1071.99"/>
    <n v="2397.3000000000002"/>
    <n v="6.2E-2"/>
    <n v="18"/>
    <d v="2024-01-02T00:00:00"/>
    <s v="Ok"/>
    <n v="2397.3000000000002"/>
    <n v="26"/>
    <x v="629"/>
    <n v="19295.82"/>
    <n v="21180.193200000002"/>
    <n v="0.52327765324476183"/>
    <s v="Dec-2023"/>
    <m/>
    <s v="Europe. Germany. Frankfurt"/>
    <s v="High"/>
    <x v="0"/>
  </r>
  <r>
    <s v="ORD-2023-455933"/>
    <d v="2023-11-19T00:00:00"/>
    <d v="2023-12-19T00:00:00"/>
    <s v="Asia"/>
    <x v="2"/>
    <s v="Nagoya"/>
    <s v="Consumer"/>
    <s v="Retail"/>
    <s v="Unknown"/>
    <x v="3"/>
    <x v="628"/>
    <n v="807.11"/>
    <n v="1853.86"/>
    <n v="0.13900000000000001"/>
    <n v="8"/>
    <d v="2023-12-19T00:00:00"/>
    <s v="Ok"/>
    <n v="1853.86"/>
    <n v="30"/>
    <x v="630"/>
    <n v="6456.88"/>
    <n v="6312.5076799999997"/>
    <n v="0.49434693645388639"/>
    <s v="Nov-2023"/>
    <m/>
    <s v="Asia. Japan. Nagoya"/>
    <s v="High"/>
    <x v="1"/>
  </r>
  <r>
    <s v="ORD-2025-728935"/>
    <d v="2025-02-28T00:00:00"/>
    <d v="2025-03-10T00:00:00"/>
    <s v="Asia"/>
    <x v="2"/>
    <s v="Osaka"/>
    <s v="Education"/>
    <s v="Distributor"/>
    <s v="N. Brown"/>
    <x v="4"/>
    <x v="629"/>
    <n v="51.86"/>
    <n v="45.98"/>
    <n v="0.17299999999999999"/>
    <n v="7"/>
    <d v="2025-03-10T00:00:00"/>
    <s v="Ok"/>
    <n v="45.98"/>
    <n v="10"/>
    <x v="631"/>
    <n v="363.02"/>
    <n v="-96.841780000000028"/>
    <n v="-0.3638230806412337"/>
    <s v="Feb-2025"/>
    <m/>
    <s v="Asia. Japan. Osaka"/>
    <s v="Low"/>
    <x v="1"/>
  </r>
  <r>
    <m/>
    <m/>
    <m/>
    <m/>
    <x v="12"/>
    <m/>
    <m/>
    <m/>
    <m/>
    <x v="7"/>
    <x v="630"/>
    <m/>
    <m/>
    <m/>
    <m/>
    <m/>
    <m/>
    <m/>
    <m/>
    <x v="632"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7" firstHeaderRow="1" firstDataRow="2" firstDataCol="1"/>
  <pivotFields count="28">
    <pivotField showAll="0"/>
    <pivotField showAll="0"/>
    <pivotField showAll="0"/>
    <pivotField showAll="0"/>
    <pivotField axis="axisRow" showAll="0">
      <items count="14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34">
        <item x="180"/>
        <item x="112"/>
        <item x="298"/>
        <item x="286"/>
        <item x="172"/>
        <item x="493"/>
        <item x="96"/>
        <item x="54"/>
        <item x="631"/>
        <item x="58"/>
        <item x="2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617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x="6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Sum of Gross Revenue" fld="19" baseField="4" baseItem="0"/>
  </dataFields>
  <formats count="3">
    <format dxfId="13">
      <pivotArea collapsedLevelsAreSubtotals="1" fieldPosition="0">
        <references count="1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collapsedLevelsAreSubtotals="1" fieldPosition="0">
        <references count="1">
          <reference field="4" count="1">
            <x v="11"/>
          </reference>
        </references>
      </pivotArea>
    </format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7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J653" firstHeaderRow="1" firstDataRow="2" firstDataCol="1"/>
  <pivotFields count="28">
    <pivotField showAll="0"/>
    <pivotField showAll="0"/>
    <pivotField showAll="0"/>
    <pivotField showAll="0"/>
    <pivotField showAll="0">
      <items count="14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x="12"/>
        <item t="default"/>
      </items>
    </pivotField>
    <pivotField showAll="0"/>
    <pivotField showAll="0"/>
    <pivotField showAll="0"/>
    <pivotField showAll="0"/>
    <pivotField axis="axisCol" showAll="0">
      <items count="9">
        <item x="6"/>
        <item x="0"/>
        <item x="4"/>
        <item x="5"/>
        <item x="2"/>
        <item x="3"/>
        <item x="1"/>
        <item x="7"/>
        <item t="default"/>
      </items>
    </pivotField>
    <pivotField axis="axisRow" showAll="0" sortType="descending">
      <items count="632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x="6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34">
        <item x="180"/>
        <item x="112"/>
        <item x="298"/>
        <item x="286"/>
        <item x="172"/>
        <item x="493"/>
        <item x="96"/>
        <item x="54"/>
        <item x="631"/>
        <item x="58"/>
        <item x="2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617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x="6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</pivotFields>
  <rowFields count="1">
    <field x="10"/>
  </rowFields>
  <rowItems count="632">
    <i>
      <x v="171"/>
    </i>
    <i>
      <x v="368"/>
    </i>
    <i>
      <x v="248"/>
    </i>
    <i>
      <x v="323"/>
    </i>
    <i>
      <x v="270"/>
    </i>
    <i>
      <x v="319"/>
    </i>
    <i>
      <x v="117"/>
    </i>
    <i>
      <x v="207"/>
    </i>
    <i>
      <x v="405"/>
    </i>
    <i>
      <x v="403"/>
    </i>
    <i>
      <x v="60"/>
    </i>
    <i>
      <x v="303"/>
    </i>
    <i>
      <x v="525"/>
    </i>
    <i>
      <x v="359"/>
    </i>
    <i>
      <x v="536"/>
    </i>
    <i>
      <x v="241"/>
    </i>
    <i>
      <x v="99"/>
    </i>
    <i>
      <x v="223"/>
    </i>
    <i>
      <x v="226"/>
    </i>
    <i>
      <x v="114"/>
    </i>
    <i>
      <x v="396"/>
    </i>
    <i>
      <x v="185"/>
    </i>
    <i>
      <x v="588"/>
    </i>
    <i>
      <x v="247"/>
    </i>
    <i>
      <x v="349"/>
    </i>
    <i>
      <x v="598"/>
    </i>
    <i>
      <x v="23"/>
    </i>
    <i>
      <x v="513"/>
    </i>
    <i>
      <x v="356"/>
    </i>
    <i>
      <x v="544"/>
    </i>
    <i>
      <x v="160"/>
    </i>
    <i>
      <x v="395"/>
    </i>
    <i>
      <x v="387"/>
    </i>
    <i>
      <x v="100"/>
    </i>
    <i>
      <x v="407"/>
    </i>
    <i>
      <x v="386"/>
    </i>
    <i>
      <x v="82"/>
    </i>
    <i>
      <x v="307"/>
    </i>
    <i>
      <x v="236"/>
    </i>
    <i>
      <x v="621"/>
    </i>
    <i>
      <x v="381"/>
    </i>
    <i>
      <x v="616"/>
    </i>
    <i>
      <x v="84"/>
    </i>
    <i>
      <x v="474"/>
    </i>
    <i>
      <x v="180"/>
    </i>
    <i>
      <x v="179"/>
    </i>
    <i>
      <x v="128"/>
    </i>
    <i>
      <x v="503"/>
    </i>
    <i>
      <x v="486"/>
    </i>
    <i>
      <x v="352"/>
    </i>
    <i>
      <x v="209"/>
    </i>
    <i>
      <x v="365"/>
    </i>
    <i>
      <x v="97"/>
    </i>
    <i>
      <x v="542"/>
    </i>
    <i>
      <x v="201"/>
    </i>
    <i>
      <x v="585"/>
    </i>
    <i>
      <x v="361"/>
    </i>
    <i>
      <x v="397"/>
    </i>
    <i>
      <x v="410"/>
    </i>
    <i>
      <x v="199"/>
    </i>
    <i>
      <x v="350"/>
    </i>
    <i>
      <x v="575"/>
    </i>
    <i>
      <x v="479"/>
    </i>
    <i>
      <x v="72"/>
    </i>
    <i>
      <x v="583"/>
    </i>
    <i>
      <x v="517"/>
    </i>
    <i>
      <x v="600"/>
    </i>
    <i>
      <x v="197"/>
    </i>
    <i>
      <x v="399"/>
    </i>
    <i>
      <x v="569"/>
    </i>
    <i>
      <x v="41"/>
    </i>
    <i>
      <x v="440"/>
    </i>
    <i>
      <x v="68"/>
    </i>
    <i>
      <x v="495"/>
    </i>
    <i>
      <x v="428"/>
    </i>
    <i>
      <x v="516"/>
    </i>
    <i>
      <x v="337"/>
    </i>
    <i>
      <x v="534"/>
    </i>
    <i>
      <x v="431"/>
    </i>
    <i>
      <x v="50"/>
    </i>
    <i>
      <x v="214"/>
    </i>
    <i>
      <x v="246"/>
    </i>
    <i>
      <x v="158"/>
    </i>
    <i>
      <x v="489"/>
    </i>
    <i>
      <x v="563"/>
    </i>
    <i>
      <x v="90"/>
    </i>
    <i>
      <x v="402"/>
    </i>
    <i>
      <x v="446"/>
    </i>
    <i>
      <x v="81"/>
    </i>
    <i>
      <x v="476"/>
    </i>
    <i>
      <x v="371"/>
    </i>
    <i>
      <x v="367"/>
    </i>
    <i>
      <x v="145"/>
    </i>
    <i>
      <x v="296"/>
    </i>
    <i>
      <x v="63"/>
    </i>
    <i>
      <x v="623"/>
    </i>
    <i>
      <x v="299"/>
    </i>
    <i>
      <x v="232"/>
    </i>
    <i>
      <x v="413"/>
    </i>
    <i>
      <x v="6"/>
    </i>
    <i>
      <x v="318"/>
    </i>
    <i>
      <x v="508"/>
    </i>
    <i>
      <x v="317"/>
    </i>
    <i>
      <x v="355"/>
    </i>
    <i>
      <x v="338"/>
    </i>
    <i>
      <x v="552"/>
    </i>
    <i>
      <x v="360"/>
    </i>
    <i>
      <x v="237"/>
    </i>
    <i>
      <x v="394"/>
    </i>
    <i>
      <x v="252"/>
    </i>
    <i>
      <x v="392"/>
    </i>
    <i>
      <x v="229"/>
    </i>
    <i>
      <x v="601"/>
    </i>
    <i>
      <x v="456"/>
    </i>
    <i>
      <x v="282"/>
    </i>
    <i>
      <x v="522"/>
    </i>
    <i>
      <x v="502"/>
    </i>
    <i>
      <x v="533"/>
    </i>
    <i>
      <x v="10"/>
    </i>
    <i>
      <x v="505"/>
    </i>
    <i>
      <x v="548"/>
    </i>
    <i>
      <x v="332"/>
    </i>
    <i>
      <x v="250"/>
    </i>
    <i>
      <x v="151"/>
    </i>
    <i>
      <x v="143"/>
    </i>
    <i>
      <x v="281"/>
    </i>
    <i>
      <x v="95"/>
    </i>
    <i>
      <x v="518"/>
    </i>
    <i>
      <x v="531"/>
    </i>
    <i>
      <x v="124"/>
    </i>
    <i>
      <x v="56"/>
    </i>
    <i>
      <x v="44"/>
    </i>
    <i>
      <x v="53"/>
    </i>
    <i>
      <x v="340"/>
    </i>
    <i>
      <x v="200"/>
    </i>
    <i>
      <x v="478"/>
    </i>
    <i>
      <x v="266"/>
    </i>
    <i>
      <x v="259"/>
    </i>
    <i>
      <x v="108"/>
    </i>
    <i>
      <x v="596"/>
    </i>
    <i>
      <x v="369"/>
    </i>
    <i>
      <x v="174"/>
    </i>
    <i>
      <x v="300"/>
    </i>
    <i>
      <x v="205"/>
    </i>
    <i>
      <x v="549"/>
    </i>
    <i>
      <x v="448"/>
    </i>
    <i>
      <x v="120"/>
    </i>
    <i>
      <x v="353"/>
    </i>
    <i>
      <x v="580"/>
    </i>
    <i>
      <x v="172"/>
    </i>
    <i>
      <x v="260"/>
    </i>
    <i>
      <x v="105"/>
    </i>
    <i>
      <x v="275"/>
    </i>
    <i>
      <x v="239"/>
    </i>
    <i>
      <x v="111"/>
    </i>
    <i>
      <x v="59"/>
    </i>
    <i>
      <x v="443"/>
    </i>
    <i>
      <x v="218"/>
    </i>
    <i>
      <x v="116"/>
    </i>
    <i>
      <x v="255"/>
    </i>
    <i>
      <x v="147"/>
    </i>
    <i>
      <x v="451"/>
    </i>
    <i>
      <x v="86"/>
    </i>
    <i>
      <x v="75"/>
    </i>
    <i>
      <x v="26"/>
    </i>
    <i>
      <x v="321"/>
    </i>
    <i>
      <x v="286"/>
    </i>
    <i>
      <x v="123"/>
    </i>
    <i>
      <x v="473"/>
    </i>
    <i>
      <x v="12"/>
    </i>
    <i>
      <x v="33"/>
    </i>
    <i>
      <x v="619"/>
    </i>
    <i>
      <x v="523"/>
    </i>
    <i>
      <x v="538"/>
    </i>
    <i>
      <x v="193"/>
    </i>
    <i>
      <x v="351"/>
    </i>
    <i>
      <x v="375"/>
    </i>
    <i>
      <x v="137"/>
    </i>
    <i>
      <x v="526"/>
    </i>
    <i>
      <x v="622"/>
    </i>
    <i>
      <x v="610"/>
    </i>
    <i>
      <x v="152"/>
    </i>
    <i>
      <x v="501"/>
    </i>
    <i>
      <x v="225"/>
    </i>
    <i>
      <x v="487"/>
    </i>
    <i>
      <x v="414"/>
    </i>
    <i>
      <x v="493"/>
    </i>
    <i>
      <x v="540"/>
    </i>
    <i>
      <x v="183"/>
    </i>
    <i>
      <x v="83"/>
    </i>
    <i>
      <x v="298"/>
    </i>
    <i>
      <x v="217"/>
    </i>
    <i>
      <x v="244"/>
    </i>
    <i>
      <x v="49"/>
    </i>
    <i>
      <x v="435"/>
    </i>
    <i>
      <x v="79"/>
    </i>
    <i>
      <x v="567"/>
    </i>
    <i>
      <x v="437"/>
    </i>
    <i>
      <x v="378"/>
    </i>
    <i>
      <x v="166"/>
    </i>
    <i>
      <x v="251"/>
    </i>
    <i>
      <x v="460"/>
    </i>
    <i>
      <x v="32"/>
    </i>
    <i>
      <x v="188"/>
    </i>
    <i>
      <x v="497"/>
    </i>
    <i>
      <x v="221"/>
    </i>
    <i>
      <x v="463"/>
    </i>
    <i>
      <x v="524"/>
    </i>
    <i>
      <x v="203"/>
    </i>
    <i>
      <x v="125"/>
    </i>
    <i>
      <x v="40"/>
    </i>
    <i>
      <x v="157"/>
    </i>
    <i>
      <x v="415"/>
    </i>
    <i>
      <x v="242"/>
    </i>
    <i>
      <x v="110"/>
    </i>
    <i>
      <x v="401"/>
    </i>
    <i>
      <x v="629"/>
    </i>
    <i>
      <x v="624"/>
    </i>
    <i>
      <x v="118"/>
    </i>
    <i>
      <x v="568"/>
    </i>
    <i>
      <x v="14"/>
    </i>
    <i>
      <x v="618"/>
    </i>
    <i>
      <x v="140"/>
    </i>
    <i>
      <x v="78"/>
    </i>
    <i>
      <x v="379"/>
    </i>
    <i>
      <x v="295"/>
    </i>
    <i>
      <x v="175"/>
    </i>
    <i>
      <x v="139"/>
    </i>
    <i>
      <x v="224"/>
    </i>
    <i>
      <x v="308"/>
    </i>
    <i>
      <x v="578"/>
    </i>
    <i>
      <x v="604"/>
    </i>
    <i>
      <x v="4"/>
    </i>
    <i>
      <x v="98"/>
    </i>
    <i>
      <x v="449"/>
    </i>
    <i>
      <x v="541"/>
    </i>
    <i>
      <x v="347"/>
    </i>
    <i>
      <x v="291"/>
    </i>
    <i>
      <x v="388"/>
    </i>
    <i>
      <x v="553"/>
    </i>
    <i>
      <x v="528"/>
    </i>
    <i>
      <x v="312"/>
    </i>
    <i>
      <x v="468"/>
    </i>
    <i>
      <x v="315"/>
    </i>
    <i>
      <x v="389"/>
    </i>
    <i>
      <x v="507"/>
    </i>
    <i>
      <x v="80"/>
    </i>
    <i>
      <x v="70"/>
    </i>
    <i>
      <x v="48"/>
    </i>
    <i>
      <x v="584"/>
    </i>
    <i>
      <x v="573"/>
    </i>
    <i>
      <x v="29"/>
    </i>
    <i>
      <x v="257"/>
    </i>
    <i>
      <x v="253"/>
    </i>
    <i>
      <x v="91"/>
    </i>
    <i>
      <x v="243"/>
    </i>
    <i>
      <x v="104"/>
    </i>
    <i>
      <x v="383"/>
    </i>
    <i>
      <x v="329"/>
    </i>
    <i>
      <x v="416"/>
    </i>
    <i>
      <x v="235"/>
    </i>
    <i>
      <x v="602"/>
    </i>
    <i>
      <x v="461"/>
    </i>
    <i>
      <x v="227"/>
    </i>
    <i>
      <x v="57"/>
    </i>
    <i>
      <x v="560"/>
    </i>
    <i>
      <x v="594"/>
    </i>
    <i>
      <x v="76"/>
    </i>
    <i>
      <x v="322"/>
    </i>
    <i>
      <x v="18"/>
    </i>
    <i>
      <x v="514"/>
    </i>
    <i>
      <x v="314"/>
    </i>
    <i>
      <x v="181"/>
    </i>
    <i>
      <x v="5"/>
    </i>
    <i>
      <x v="320"/>
    </i>
    <i>
      <x v="163"/>
    </i>
    <i>
      <x v="406"/>
    </i>
    <i>
      <x v="162"/>
    </i>
    <i>
      <x v="213"/>
    </i>
    <i>
      <x v="94"/>
    </i>
    <i>
      <x v="382"/>
    </i>
    <i>
      <x v="67"/>
    </i>
    <i>
      <x v="228"/>
    </i>
    <i>
      <x v="233"/>
    </i>
    <i>
      <x v="204"/>
    </i>
    <i>
      <x v="127"/>
    </i>
    <i>
      <x v="283"/>
    </i>
    <i>
      <x v="268"/>
    </i>
    <i>
      <x v="58"/>
    </i>
    <i>
      <x v="593"/>
    </i>
    <i>
      <x v="258"/>
    </i>
    <i>
      <x v="148"/>
    </i>
    <i>
      <x v="121"/>
    </i>
    <i>
      <x v="65"/>
    </i>
    <i>
      <x v="422"/>
    </i>
    <i>
      <x v="285"/>
    </i>
    <i>
      <x v="297"/>
    </i>
    <i>
      <x v="545"/>
    </i>
    <i>
      <x v="182"/>
    </i>
    <i>
      <x v="357"/>
    </i>
    <i>
      <x v="521"/>
    </i>
    <i>
      <x v="554"/>
    </i>
    <i>
      <x v="54"/>
    </i>
    <i>
      <x v="469"/>
    </i>
    <i>
      <x v="532"/>
    </i>
    <i>
      <x v="543"/>
    </i>
    <i>
      <x v="269"/>
    </i>
    <i>
      <x v="220"/>
    </i>
    <i>
      <x v="452"/>
    </i>
    <i>
      <x v="500"/>
    </i>
    <i>
      <x v="189"/>
    </i>
    <i>
      <x v="346"/>
    </i>
    <i>
      <x v="156"/>
    </i>
    <i>
      <x v="475"/>
    </i>
    <i>
      <x v="385"/>
    </i>
    <i>
      <x v="159"/>
    </i>
    <i>
      <x v="9"/>
    </i>
    <i>
      <x v="565"/>
    </i>
    <i>
      <x v="165"/>
    </i>
    <i>
      <x v="485"/>
    </i>
    <i>
      <x v="511"/>
    </i>
    <i>
      <x v="64"/>
    </i>
    <i>
      <x v="558"/>
    </i>
    <i>
      <x v="343"/>
    </i>
    <i>
      <x v="280"/>
    </i>
    <i>
      <x v="133"/>
    </i>
    <i>
      <x v="249"/>
    </i>
    <i>
      <x v="613"/>
    </i>
    <i>
      <x v="535"/>
    </i>
    <i>
      <x v="480"/>
    </i>
    <i>
      <x v="462"/>
    </i>
    <i>
      <x v="22"/>
    </i>
    <i>
      <x v="39"/>
    </i>
    <i>
      <x v="607"/>
    </i>
    <i>
      <x v="512"/>
    </i>
    <i>
      <x v="316"/>
    </i>
    <i>
      <x v="36"/>
    </i>
    <i>
      <x v="3"/>
    </i>
    <i>
      <x v="527"/>
    </i>
    <i>
      <x v="208"/>
    </i>
    <i>
      <x v="423"/>
    </i>
    <i>
      <x v="398"/>
    </i>
    <i>
      <x v="427"/>
    </i>
    <i>
      <x v="1"/>
    </i>
    <i>
      <x v="625"/>
    </i>
    <i>
      <x v="19"/>
    </i>
    <i>
      <x v="358"/>
    </i>
    <i>
      <x v="324"/>
    </i>
    <i>
      <x v="574"/>
    </i>
    <i>
      <x v="169"/>
    </i>
    <i>
      <x v="620"/>
    </i>
    <i>
      <x v="28"/>
    </i>
    <i>
      <x v="37"/>
    </i>
    <i>
      <x v="499"/>
    </i>
    <i>
      <x v="617"/>
    </i>
    <i>
      <x v="409"/>
    </i>
    <i>
      <x v="373"/>
    </i>
    <i>
      <x v="590"/>
    </i>
    <i>
      <x v="439"/>
    </i>
    <i>
      <x v="561"/>
    </i>
    <i>
      <x v="591"/>
    </i>
    <i>
      <x v="211"/>
    </i>
    <i>
      <x v="16"/>
    </i>
    <i>
      <x v="390"/>
    </i>
    <i>
      <x v="149"/>
    </i>
    <i>
      <x v="192"/>
    </i>
    <i>
      <x v="186"/>
    </i>
    <i>
      <x v="113"/>
    </i>
    <i>
      <x v="464"/>
    </i>
    <i>
      <x v="419"/>
    </i>
    <i>
      <x v="492"/>
    </i>
    <i>
      <x v="615"/>
    </i>
    <i>
      <x v="288"/>
    </i>
    <i>
      <x v="364"/>
    </i>
    <i>
      <x v="432"/>
    </i>
    <i>
      <x v="334"/>
    </i>
    <i>
      <x v="273"/>
    </i>
    <i>
      <x v="490"/>
    </i>
    <i>
      <x v="46"/>
    </i>
    <i>
      <x v="444"/>
    </i>
    <i>
      <x v="155"/>
    </i>
    <i>
      <x v="132"/>
    </i>
    <i>
      <x v="142"/>
    </i>
    <i>
      <x v="418"/>
    </i>
    <i>
      <x v="191"/>
    </i>
    <i>
      <x v="115"/>
    </i>
    <i>
      <x v="119"/>
    </i>
    <i>
      <x v="429"/>
    </i>
    <i>
      <x v="327"/>
    </i>
    <i>
      <x v="310"/>
    </i>
    <i>
      <x v="271"/>
    </i>
    <i>
      <x v="20"/>
    </i>
    <i>
      <x v="421"/>
    </i>
    <i>
      <x v="77"/>
    </i>
    <i>
      <x v="290"/>
    </i>
    <i>
      <x v="231"/>
    </i>
    <i>
      <x v="313"/>
    </i>
    <i>
      <x v="69"/>
    </i>
    <i>
      <x v="380"/>
    </i>
    <i>
      <x v="254"/>
    </i>
    <i>
      <x v="272"/>
    </i>
    <i>
      <x v="547"/>
    </i>
    <i>
      <x v="366"/>
    </i>
    <i>
      <x v="219"/>
    </i>
    <i>
      <x v="510"/>
    </i>
    <i>
      <x v="430"/>
    </i>
    <i>
      <x v="484"/>
    </i>
    <i>
      <x v="129"/>
    </i>
    <i>
      <x v="481"/>
    </i>
    <i>
      <x v="21"/>
    </i>
    <i>
      <x v="586"/>
    </i>
    <i>
      <x v="301"/>
    </i>
    <i>
      <x v="52"/>
    </i>
    <i>
      <x v="168"/>
    </i>
    <i>
      <x v="412"/>
    </i>
    <i>
      <x v="264"/>
    </i>
    <i>
      <x v="302"/>
    </i>
    <i>
      <x v="85"/>
    </i>
    <i>
      <x v="595"/>
    </i>
    <i>
      <x v="215"/>
    </i>
    <i>
      <x v="11"/>
    </i>
    <i>
      <x v="31"/>
    </i>
    <i>
      <x v="8"/>
    </i>
    <i>
      <x v="393"/>
    </i>
    <i>
      <x v="626"/>
    </i>
    <i>
      <x v="599"/>
    </i>
    <i>
      <x v="520"/>
    </i>
    <i>
      <x v="138"/>
    </i>
    <i>
      <x v="7"/>
    </i>
    <i>
      <x v="167"/>
    </i>
    <i>
      <x v="311"/>
    </i>
    <i>
      <x v="35"/>
    </i>
    <i>
      <x v="425"/>
    </i>
    <i>
      <x v="504"/>
    </i>
    <i>
      <x v="546"/>
    </i>
    <i>
      <x v="262"/>
    </i>
    <i>
      <x v="25"/>
    </i>
    <i>
      <x v="305"/>
    </i>
    <i>
      <x v="184"/>
    </i>
    <i>
      <x v="216"/>
    </i>
    <i>
      <x v="551"/>
    </i>
    <i>
      <x v="459"/>
    </i>
    <i>
      <x v="537"/>
    </i>
    <i>
      <x v="88"/>
    </i>
    <i>
      <x v="328"/>
    </i>
    <i>
      <x v="176"/>
    </i>
    <i>
      <x v="34"/>
    </i>
    <i>
      <x v="154"/>
    </i>
    <i>
      <x v="453"/>
    </i>
    <i>
      <x v="134"/>
    </i>
    <i>
      <x v="562"/>
    </i>
    <i>
      <x v="417"/>
    </i>
    <i>
      <x v="579"/>
    </i>
    <i>
      <x v="342"/>
    </i>
    <i>
      <x v="103"/>
    </i>
    <i>
      <x v="210"/>
    </i>
    <i>
      <x v="161"/>
    </i>
    <i>
      <x v="279"/>
    </i>
    <i>
      <x v="92"/>
    </i>
    <i>
      <x v="71"/>
    </i>
    <i>
      <x v="102"/>
    </i>
    <i>
      <x v="277"/>
    </i>
    <i>
      <x v="17"/>
    </i>
    <i>
      <x v="566"/>
    </i>
    <i>
      <x v="212"/>
    </i>
    <i>
      <x v="455"/>
    </i>
    <i>
      <x v="238"/>
    </i>
    <i>
      <x v="344"/>
    </i>
    <i>
      <x v="263"/>
    </i>
    <i>
      <x v="122"/>
    </i>
    <i>
      <x v="2"/>
    </i>
    <i>
      <x v="325"/>
    </i>
    <i>
      <x v="436"/>
    </i>
    <i>
      <x v="47"/>
    </i>
    <i>
      <x v="498"/>
    </i>
    <i>
      <x v="572"/>
    </i>
    <i>
      <x v="550"/>
    </i>
    <i>
      <x v="107"/>
    </i>
    <i>
      <x v="362"/>
    </i>
    <i>
      <x v="230"/>
    </i>
    <i>
      <x v="304"/>
    </i>
    <i>
      <x v="256"/>
    </i>
    <i>
      <x v="472"/>
    </i>
    <i>
      <x v="447"/>
    </i>
    <i>
      <x v="488"/>
    </i>
    <i>
      <x v="454"/>
    </i>
    <i>
      <x v="287"/>
    </i>
    <i>
      <x v="261"/>
    </i>
    <i>
      <x v="112"/>
    </i>
    <i>
      <x v="333"/>
    </i>
    <i>
      <x v="164"/>
    </i>
    <i>
      <x v="467"/>
    </i>
    <i>
      <x v="265"/>
    </i>
    <i>
      <x v="335"/>
    </i>
    <i>
      <x v="483"/>
    </i>
    <i>
      <x v="55"/>
    </i>
    <i>
      <x v="557"/>
    </i>
    <i>
      <x v="74"/>
    </i>
    <i>
      <x v="341"/>
    </i>
    <i>
      <x v="240"/>
    </i>
    <i>
      <x v="611"/>
    </i>
    <i>
      <x v="43"/>
    </i>
    <i>
      <x v="15"/>
    </i>
    <i>
      <x v="555"/>
    </i>
    <i>
      <x v="153"/>
    </i>
    <i>
      <x v="571"/>
    </i>
    <i>
      <x v="131"/>
    </i>
    <i>
      <x v="608"/>
    </i>
    <i>
      <x v="38"/>
    </i>
    <i>
      <x v="627"/>
    </i>
    <i>
      <x v="570"/>
    </i>
    <i>
      <x v="330"/>
    </i>
    <i>
      <x v="509"/>
    </i>
    <i>
      <x v="376"/>
    </i>
    <i>
      <x v="605"/>
    </i>
    <i>
      <x v="222"/>
    </i>
    <i>
      <x v="170"/>
    </i>
    <i>
      <x v="245"/>
    </i>
    <i>
      <x v="609"/>
    </i>
    <i>
      <x v="195"/>
    </i>
    <i>
      <x v="603"/>
    </i>
    <i>
      <x v="612"/>
    </i>
    <i>
      <x v="62"/>
    </i>
    <i>
      <x v="597"/>
    </i>
    <i>
      <x v="581"/>
    </i>
    <i>
      <x v="496"/>
    </i>
    <i>
      <x v="494"/>
    </i>
    <i>
      <x v="404"/>
    </i>
    <i>
      <x v="202"/>
    </i>
    <i>
      <x v="445"/>
    </i>
    <i>
      <x v="187"/>
    </i>
    <i>
      <x v="194"/>
    </i>
    <i>
      <x v="450"/>
    </i>
    <i>
      <x v="384"/>
    </i>
    <i>
      <x v="374"/>
    </i>
    <i>
      <x v="198"/>
    </i>
    <i>
      <x v="592"/>
    </i>
    <i>
      <x v="109"/>
    </i>
    <i>
      <x v="457"/>
    </i>
    <i>
      <x v="144"/>
    </i>
    <i>
      <x v="426"/>
    </i>
    <i>
      <x v="293"/>
    </i>
    <i>
      <x v="433"/>
    </i>
    <i>
      <x v="564"/>
    </i>
    <i>
      <x v="73"/>
    </i>
    <i>
      <x v="348"/>
    </i>
    <i>
      <x v="477"/>
    </i>
    <i>
      <x v="336"/>
    </i>
    <i>
      <x v="529"/>
    </i>
    <i>
      <x v="372"/>
    </i>
    <i>
      <x v="577"/>
    </i>
    <i>
      <x v="66"/>
    </i>
    <i>
      <x v="470"/>
    </i>
    <i>
      <x v="339"/>
    </i>
    <i>
      <x v="491"/>
    </i>
    <i>
      <x v="530"/>
    </i>
    <i>
      <x v="206"/>
    </i>
    <i>
      <x v="370"/>
    </i>
    <i>
      <x v="130"/>
    </i>
    <i>
      <x v="424"/>
    </i>
    <i>
      <x v="89"/>
    </i>
    <i>
      <x v="274"/>
    </i>
    <i>
      <x v="442"/>
    </i>
    <i>
      <x v="539"/>
    </i>
    <i>
      <x v="42"/>
    </i>
    <i>
      <x v="93"/>
    </i>
    <i>
      <x v="101"/>
    </i>
    <i>
      <x v="515"/>
    </i>
    <i>
      <x v="556"/>
    </i>
    <i>
      <x v="420"/>
    </i>
    <i>
      <x v="606"/>
    </i>
    <i>
      <x v="400"/>
    </i>
    <i>
      <x v="292"/>
    </i>
    <i>
      <x v="136"/>
    </i>
    <i>
      <x v="326"/>
    </i>
    <i>
      <x v="331"/>
    </i>
    <i>
      <x v="559"/>
    </i>
    <i>
      <x v="146"/>
    </i>
    <i>
      <x v="411"/>
    </i>
    <i>
      <x v="106"/>
    </i>
    <i>
      <x v="306"/>
    </i>
    <i>
      <x v="24"/>
    </i>
    <i>
      <x v="377"/>
    </i>
    <i>
      <x/>
    </i>
    <i>
      <x v="628"/>
    </i>
    <i>
      <x v="363"/>
    </i>
    <i>
      <x v="614"/>
    </i>
    <i>
      <x v="408"/>
    </i>
    <i>
      <x v="45"/>
    </i>
    <i>
      <x v="27"/>
    </i>
    <i>
      <x v="178"/>
    </i>
    <i>
      <x v="51"/>
    </i>
    <i>
      <x v="30"/>
    </i>
    <i>
      <x v="354"/>
    </i>
    <i>
      <x v="135"/>
    </i>
    <i>
      <x v="141"/>
    </i>
    <i>
      <x v="289"/>
    </i>
    <i>
      <x v="471"/>
    </i>
    <i>
      <x v="589"/>
    </i>
    <i>
      <x v="576"/>
    </i>
    <i>
      <x v="582"/>
    </i>
    <i>
      <x v="177"/>
    </i>
    <i>
      <x v="587"/>
    </i>
    <i>
      <x v="441"/>
    </i>
    <i>
      <x v="150"/>
    </i>
    <i>
      <x v="278"/>
    </i>
    <i>
      <x v="458"/>
    </i>
    <i>
      <x v="276"/>
    </i>
    <i>
      <x v="294"/>
    </i>
    <i>
      <x v="190"/>
    </i>
    <i>
      <x v="466"/>
    </i>
    <i>
      <x v="87"/>
    </i>
    <i>
      <x v="345"/>
    </i>
    <i>
      <x v="284"/>
    </i>
    <i>
      <x v="519"/>
    </i>
    <i>
      <x v="126"/>
    </i>
    <i>
      <x v="234"/>
    </i>
    <i>
      <x v="482"/>
    </i>
    <i>
      <x v="173"/>
    </i>
    <i>
      <x v="434"/>
    </i>
    <i>
      <x v="13"/>
    </i>
    <i>
      <x v="196"/>
    </i>
    <i>
      <x v="438"/>
    </i>
    <i>
      <x v="267"/>
    </i>
    <i>
      <x v="506"/>
    </i>
    <i>
      <x v="96"/>
    </i>
    <i>
      <x v="465"/>
    </i>
    <i>
      <x v="309"/>
    </i>
    <i>
      <x v="391"/>
    </i>
    <i>
      <x v="61"/>
    </i>
    <i>
      <x v="630"/>
    </i>
    <i t="grand">
      <x/>
    </i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Gross Revenue" fld="19" showDataAs="percentOfTotal" baseField="10" baseItem="0" numFmtId="10"/>
  </dataFields>
  <formats count="2">
    <format dxfId="15">
      <pivotArea grandRow="1" outline="0" collapsedLevelsAreSubtotals="1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O633" totalsRowShown="0" headerRowDxfId="9" headerRowBorderDxfId="8" tableBorderDxfId="7">
  <autoFilter ref="A1:O633"/>
  <tableColumns count="15">
    <tableColumn id="1" name="OrderID"/>
    <tableColumn id="2" name="OrderDate" dataDxfId="6"/>
    <tableColumn id="3" name="RequiredDate" dataDxfId="5"/>
    <tableColumn id="4" name="Region"/>
    <tableColumn id="5" name="Country"/>
    <tableColumn id="6" name="City"/>
    <tableColumn id="7" name="CustomerSegment"/>
    <tableColumn id="8" name="Channel" dataDxfId="4"/>
    <tableColumn id="9" name="Salesperson" dataDxfId="3"/>
    <tableColumn id="10" name="ProductCategory" dataDxfId="2"/>
    <tableColumn id="11" name="SKU"/>
    <tableColumn id="12" name="UnitCost" dataDxfId="1"/>
    <tableColumn id="13" name="UnitPrice" dataDxfId="0"/>
    <tableColumn id="14" name="DiscountPct" dataCellStyle="Percent"/>
    <tableColumn id="15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11"/>
  <sheetViews>
    <sheetView showGridLines="0" workbookViewId="0">
      <selection activeCell="A12" sqref="A12"/>
    </sheetView>
  </sheetViews>
  <sheetFormatPr defaultRowHeight="14.25" x14ac:dyDescent="0.45"/>
  <sheetData>
    <row r="10" spans="1:1" x14ac:dyDescent="0.45">
      <c r="A10" t="s">
        <v>1424</v>
      </c>
    </row>
    <row r="11" spans="1:1" x14ac:dyDescent="0.45">
      <c r="A11" t="s">
        <v>1425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653"/>
  <sheetViews>
    <sheetView workbookViewId="0">
      <selection activeCell="A20" sqref="A20:J653"/>
      <pivotSelection pane="bottomRight" showHeader="1" activeRow="19" previousRow="19" click="1" r:id="rId2">
        <pivotArea type="all" dataOnly="0" outline="0" fieldPosition="0"/>
      </pivotSelection>
    </sheetView>
  </sheetViews>
  <sheetFormatPr defaultRowHeight="14.25" x14ac:dyDescent="0.45"/>
  <cols>
    <col min="1" max="1" width="19.19921875" customWidth="1"/>
    <col min="2" max="2" width="14.73046875" customWidth="1"/>
    <col min="3" max="3" width="11.1328125" customWidth="1"/>
    <col min="4" max="4" width="7.1328125" customWidth="1"/>
    <col min="5" max="5" width="8.19921875" customWidth="1"/>
    <col min="6" max="6" width="10.265625" customWidth="1"/>
    <col min="7" max="7" width="6.73046875" customWidth="1"/>
    <col min="8" max="8" width="7.06640625" customWidth="1"/>
    <col min="9" max="9" width="6.3984375" customWidth="1"/>
    <col min="10" max="10" width="10.19921875" customWidth="1"/>
    <col min="11" max="16" width="11.73046875" customWidth="1"/>
    <col min="17" max="17" width="11.86328125" customWidth="1"/>
    <col min="18" max="18" width="13.46484375" customWidth="1"/>
    <col min="19" max="573" width="14.73046875" bestFit="1" customWidth="1"/>
    <col min="574" max="574" width="11.86328125" bestFit="1" customWidth="1"/>
    <col min="575" max="633" width="11.73046875" bestFit="1" customWidth="1"/>
    <col min="634" max="634" width="11.86328125" bestFit="1" customWidth="1"/>
    <col min="635" max="635" width="8.19921875" customWidth="1"/>
    <col min="636" max="636" width="10.9296875" bestFit="1" customWidth="1"/>
    <col min="637" max="637" width="10.19921875" bestFit="1" customWidth="1"/>
  </cols>
  <sheetData>
    <row r="3" spans="1:4" x14ac:dyDescent="0.45">
      <c r="A3" s="14" t="s">
        <v>1440</v>
      </c>
      <c r="B3" s="14" t="s">
        <v>1439</v>
      </c>
    </row>
    <row r="4" spans="1:4" x14ac:dyDescent="0.45">
      <c r="A4" s="14" t="s">
        <v>1436</v>
      </c>
      <c r="B4" t="s">
        <v>1442</v>
      </c>
      <c r="C4" t="s">
        <v>1443</v>
      </c>
      <c r="D4" t="s">
        <v>1438</v>
      </c>
    </row>
    <row r="5" spans="1:4" x14ac:dyDescent="0.45">
      <c r="A5" s="15" t="s">
        <v>655</v>
      </c>
      <c r="B5" s="13">
        <v>1037432.4552200001</v>
      </c>
      <c r="C5" s="13"/>
      <c r="D5" s="13">
        <v>1037432.4552200001</v>
      </c>
    </row>
    <row r="6" spans="1:4" x14ac:dyDescent="0.45">
      <c r="A6" s="15" t="s">
        <v>653</v>
      </c>
      <c r="B6" s="13">
        <v>882622.97854000016</v>
      </c>
      <c r="C6" s="13"/>
      <c r="D6" s="13">
        <v>882622.97854000016</v>
      </c>
    </row>
    <row r="7" spans="1:4" x14ac:dyDescent="0.45">
      <c r="A7" s="15" t="s">
        <v>659</v>
      </c>
      <c r="B7" s="13">
        <v>894790.37817000004</v>
      </c>
      <c r="C7" s="13"/>
      <c r="D7" s="13">
        <v>894790.37817000004</v>
      </c>
    </row>
    <row r="8" spans="1:4" x14ac:dyDescent="0.45">
      <c r="A8" s="15" t="s">
        <v>657</v>
      </c>
      <c r="B8" s="13">
        <v>758280.91688999988</v>
      </c>
      <c r="C8" s="13"/>
      <c r="D8" s="13">
        <v>758280.91688999988</v>
      </c>
    </row>
    <row r="9" spans="1:4" x14ac:dyDescent="0.45">
      <c r="A9" s="15" t="s">
        <v>656</v>
      </c>
      <c r="B9" s="13">
        <v>929424.8882200002</v>
      </c>
      <c r="C9" s="13"/>
      <c r="D9" s="13">
        <v>929424.8882200002</v>
      </c>
    </row>
    <row r="10" spans="1:4" x14ac:dyDescent="0.45">
      <c r="A10" s="15" t="s">
        <v>654</v>
      </c>
      <c r="B10" s="13">
        <v>1091932.6467800003</v>
      </c>
      <c r="C10" s="13"/>
      <c r="D10" s="13">
        <v>1091932.6467800003</v>
      </c>
    </row>
    <row r="11" spans="1:4" x14ac:dyDescent="0.45">
      <c r="A11" s="15" t="s">
        <v>652</v>
      </c>
      <c r="B11" s="13"/>
      <c r="C11" s="13">
        <v>854748.89269999997</v>
      </c>
      <c r="D11" s="13">
        <v>854748.89269999997</v>
      </c>
    </row>
    <row r="12" spans="1:4" x14ac:dyDescent="0.45">
      <c r="A12" s="15" t="s">
        <v>650</v>
      </c>
      <c r="B12" s="13">
        <v>936159.62260999985</v>
      </c>
      <c r="C12" s="13"/>
      <c r="D12" s="13">
        <v>936159.62260999985</v>
      </c>
    </row>
    <row r="13" spans="1:4" x14ac:dyDescent="0.45">
      <c r="A13" s="15" t="s">
        <v>651</v>
      </c>
      <c r="B13" s="13">
        <v>881838.67690999969</v>
      </c>
      <c r="C13" s="13"/>
      <c r="D13" s="13">
        <v>881838.67690999969</v>
      </c>
    </row>
    <row r="14" spans="1:4" x14ac:dyDescent="0.45">
      <c r="A14" s="15" t="s">
        <v>661</v>
      </c>
      <c r="B14" s="13">
        <v>779637.54197999963</v>
      </c>
      <c r="C14" s="13"/>
      <c r="D14" s="13">
        <v>779637.54197999963</v>
      </c>
    </row>
    <row r="15" spans="1:4" x14ac:dyDescent="0.45">
      <c r="A15" s="15" t="s">
        <v>658</v>
      </c>
      <c r="B15" s="13">
        <v>1113282.1309</v>
      </c>
      <c r="C15" s="13"/>
      <c r="D15" s="13">
        <v>1113282.1309</v>
      </c>
    </row>
    <row r="16" spans="1:4" x14ac:dyDescent="0.45">
      <c r="A16" s="15" t="s">
        <v>660</v>
      </c>
      <c r="B16" s="13">
        <v>768694.58758000017</v>
      </c>
      <c r="C16" s="13"/>
      <c r="D16" s="13">
        <v>768694.58758000017</v>
      </c>
    </row>
    <row r="17" spans="1:10" x14ac:dyDescent="0.45">
      <c r="A17" s="15" t="s">
        <v>1438</v>
      </c>
      <c r="B17" s="13">
        <v>10074096.823800001</v>
      </c>
      <c r="C17" s="13">
        <v>854748.89269999997</v>
      </c>
      <c r="D17" s="13">
        <v>10928845.716500001</v>
      </c>
    </row>
    <row r="20" spans="1:10" x14ac:dyDescent="0.45">
      <c r="A20" s="14" t="s">
        <v>1440</v>
      </c>
      <c r="B20" s="14" t="s">
        <v>1439</v>
      </c>
    </row>
    <row r="21" spans="1:10" x14ac:dyDescent="0.45">
      <c r="A21" s="14" t="s">
        <v>1436</v>
      </c>
      <c r="B21" t="s">
        <v>733</v>
      </c>
      <c r="C21" t="s">
        <v>727</v>
      </c>
      <c r="D21" t="s">
        <v>731</v>
      </c>
      <c r="E21" t="s">
        <v>732</v>
      </c>
      <c r="F21" t="s">
        <v>729</v>
      </c>
      <c r="G21" t="s">
        <v>730</v>
      </c>
      <c r="H21" t="s">
        <v>728</v>
      </c>
      <c r="I21" t="s">
        <v>1437</v>
      </c>
      <c r="J21" t="s">
        <v>1438</v>
      </c>
    </row>
    <row r="22" spans="1:10" x14ac:dyDescent="0.45">
      <c r="A22" s="15" t="s">
        <v>971</v>
      </c>
      <c r="B22" s="18">
        <v>0</v>
      </c>
      <c r="C22" s="18">
        <v>1.2744056777169348E-2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1.2744056777169348E-2</v>
      </c>
    </row>
    <row r="23" spans="1:10" x14ac:dyDescent="0.45">
      <c r="A23" s="15" t="s">
        <v>781</v>
      </c>
      <c r="B23" s="18">
        <v>0</v>
      </c>
      <c r="C23" s="18">
        <v>0</v>
      </c>
      <c r="D23" s="18">
        <v>0</v>
      </c>
      <c r="E23" s="18">
        <v>0</v>
      </c>
      <c r="F23" s="18">
        <v>9.9959321262141285E-3</v>
      </c>
      <c r="G23" s="18">
        <v>0</v>
      </c>
      <c r="H23" s="18">
        <v>0</v>
      </c>
      <c r="I23" s="18">
        <v>0</v>
      </c>
      <c r="J23" s="18">
        <v>9.9959321262141285E-3</v>
      </c>
    </row>
    <row r="24" spans="1:10" x14ac:dyDescent="0.45">
      <c r="A24" s="15" t="s">
        <v>1155</v>
      </c>
      <c r="B24" s="18">
        <v>0</v>
      </c>
      <c r="C24" s="18">
        <v>0</v>
      </c>
      <c r="D24" s="18">
        <v>9.3443484050486914E-3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9.3443484050486914E-3</v>
      </c>
    </row>
    <row r="25" spans="1:10" x14ac:dyDescent="0.45">
      <c r="A25" s="15" t="s">
        <v>909</v>
      </c>
      <c r="B25" s="18">
        <v>0</v>
      </c>
      <c r="C25" s="18">
        <v>0</v>
      </c>
      <c r="D25" s="18">
        <v>0</v>
      </c>
      <c r="E25" s="18">
        <v>8.4835354441889204E-3</v>
      </c>
      <c r="F25" s="18">
        <v>0</v>
      </c>
      <c r="G25" s="18">
        <v>0</v>
      </c>
      <c r="H25" s="18">
        <v>0</v>
      </c>
      <c r="I25" s="18">
        <v>0</v>
      </c>
      <c r="J25" s="18">
        <v>8.4835354441889204E-3</v>
      </c>
    </row>
    <row r="26" spans="1:10" x14ac:dyDescent="0.45">
      <c r="A26" s="15" t="s">
        <v>874</v>
      </c>
      <c r="B26" s="18">
        <v>0</v>
      </c>
      <c r="C26" s="18">
        <v>0</v>
      </c>
      <c r="D26" s="18">
        <v>0</v>
      </c>
      <c r="E26" s="18">
        <v>7.9976359981035333E-3</v>
      </c>
      <c r="F26" s="18">
        <v>0</v>
      </c>
      <c r="G26" s="18">
        <v>0</v>
      </c>
      <c r="H26" s="18">
        <v>0</v>
      </c>
      <c r="I26" s="18">
        <v>0</v>
      </c>
      <c r="J26" s="18">
        <v>7.9976359981035333E-3</v>
      </c>
    </row>
    <row r="27" spans="1:10" x14ac:dyDescent="0.45">
      <c r="A27" s="15" t="s">
        <v>899</v>
      </c>
      <c r="B27" s="18">
        <v>0</v>
      </c>
      <c r="C27" s="18">
        <v>0</v>
      </c>
      <c r="D27" s="18">
        <v>0</v>
      </c>
      <c r="E27" s="18">
        <v>7.835936432948911E-3</v>
      </c>
      <c r="F27" s="18">
        <v>0</v>
      </c>
      <c r="G27" s="18">
        <v>0</v>
      </c>
      <c r="H27" s="18">
        <v>0</v>
      </c>
      <c r="I27" s="18">
        <v>0</v>
      </c>
      <c r="J27" s="18">
        <v>7.835936432948911E-3</v>
      </c>
    </row>
    <row r="28" spans="1:10" x14ac:dyDescent="0.45">
      <c r="A28" s="15" t="s">
        <v>1198</v>
      </c>
      <c r="B28" s="18">
        <v>0</v>
      </c>
      <c r="C28" s="18">
        <v>7.6985366783039267E-3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7.6985366783039267E-3</v>
      </c>
    </row>
    <row r="29" spans="1:10" x14ac:dyDescent="0.45">
      <c r="A29" s="15" t="s">
        <v>1096</v>
      </c>
      <c r="B29" s="18">
        <v>0</v>
      </c>
      <c r="C29" s="18">
        <v>0</v>
      </c>
      <c r="D29" s="18">
        <v>7.5501762638502702E-3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7.5501762638502702E-3</v>
      </c>
    </row>
    <row r="30" spans="1:10" x14ac:dyDescent="0.45">
      <c r="A30" s="15" t="s">
        <v>1345</v>
      </c>
      <c r="B30" s="18">
        <v>0</v>
      </c>
      <c r="C30" s="18">
        <v>0</v>
      </c>
      <c r="D30" s="18">
        <v>0</v>
      </c>
      <c r="E30" s="18">
        <v>0</v>
      </c>
      <c r="F30" s="18">
        <v>7.5160123887544486E-3</v>
      </c>
      <c r="G30" s="18">
        <v>0</v>
      </c>
      <c r="H30" s="18">
        <v>0</v>
      </c>
      <c r="I30" s="18">
        <v>0</v>
      </c>
      <c r="J30" s="18">
        <v>7.5160123887544486E-3</v>
      </c>
    </row>
    <row r="31" spans="1:10" x14ac:dyDescent="0.45">
      <c r="A31" s="15" t="s">
        <v>1010</v>
      </c>
      <c r="B31" s="18">
        <v>0</v>
      </c>
      <c r="C31" s="18">
        <v>0</v>
      </c>
      <c r="D31" s="18">
        <v>0</v>
      </c>
      <c r="E31" s="18">
        <v>0</v>
      </c>
      <c r="F31" s="18">
        <v>7.2787884524620925E-3</v>
      </c>
      <c r="G31" s="18">
        <v>0</v>
      </c>
      <c r="H31" s="18">
        <v>0</v>
      </c>
      <c r="I31" s="18">
        <v>0</v>
      </c>
      <c r="J31" s="18">
        <v>7.2787884524620925E-3</v>
      </c>
    </row>
    <row r="32" spans="1:10" x14ac:dyDescent="0.45">
      <c r="A32" s="15" t="s">
        <v>1080</v>
      </c>
      <c r="B32" s="18">
        <v>7.2361262169346871E-3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7.2361262169346871E-3</v>
      </c>
    </row>
    <row r="33" spans="1:10" x14ac:dyDescent="0.45">
      <c r="A33" s="15" t="s">
        <v>797</v>
      </c>
      <c r="B33" s="18">
        <v>0</v>
      </c>
      <c r="C33" s="18">
        <v>0</v>
      </c>
      <c r="D33" s="18">
        <v>0</v>
      </c>
      <c r="E33" s="18">
        <v>6.6489928886352221E-3</v>
      </c>
      <c r="F33" s="18">
        <v>0</v>
      </c>
      <c r="G33" s="18">
        <v>0</v>
      </c>
      <c r="H33" s="18">
        <v>0</v>
      </c>
      <c r="I33" s="18">
        <v>0</v>
      </c>
      <c r="J33" s="18">
        <v>6.6489928886352221E-3</v>
      </c>
    </row>
    <row r="34" spans="1:10" x14ac:dyDescent="0.45">
      <c r="A34" s="15" t="s">
        <v>1320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6.2829667497575755E-3</v>
      </c>
      <c r="H34" s="18">
        <v>0</v>
      </c>
      <c r="I34" s="18">
        <v>0</v>
      </c>
      <c r="J34" s="18">
        <v>6.2829667497575755E-3</v>
      </c>
    </row>
    <row r="35" spans="1:10" x14ac:dyDescent="0.45">
      <c r="A35" s="15" t="s">
        <v>957</v>
      </c>
      <c r="B35" s="18">
        <v>0</v>
      </c>
      <c r="C35" s="18">
        <v>0</v>
      </c>
      <c r="D35" s="18">
        <v>0</v>
      </c>
      <c r="E35" s="18">
        <v>0</v>
      </c>
      <c r="F35" s="18">
        <v>6.1295376417349022E-3</v>
      </c>
      <c r="G35" s="18">
        <v>0</v>
      </c>
      <c r="H35" s="18">
        <v>0</v>
      </c>
      <c r="I35" s="18">
        <v>0</v>
      </c>
      <c r="J35" s="18">
        <v>6.1295376417349022E-3</v>
      </c>
    </row>
    <row r="36" spans="1:10" x14ac:dyDescent="0.45">
      <c r="A36" s="15" t="s">
        <v>1271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6.0628831222278509E-3</v>
      </c>
      <c r="I36" s="18">
        <v>0</v>
      </c>
      <c r="J36" s="18">
        <v>6.0628831222278509E-3</v>
      </c>
    </row>
    <row r="37" spans="1:10" x14ac:dyDescent="0.45">
      <c r="A37" s="15" t="s">
        <v>851</v>
      </c>
      <c r="B37" s="18">
        <v>0</v>
      </c>
      <c r="C37" s="18">
        <v>0</v>
      </c>
      <c r="D37" s="18">
        <v>5.9584819192465173E-3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5.9584819192465173E-3</v>
      </c>
    </row>
    <row r="38" spans="1:10" x14ac:dyDescent="0.45">
      <c r="A38" s="15" t="s">
        <v>860</v>
      </c>
      <c r="B38" s="18">
        <v>0</v>
      </c>
      <c r="C38" s="18">
        <v>5.9577550849397622E-3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5.9577550849397622E-3</v>
      </c>
    </row>
    <row r="39" spans="1:10" x14ac:dyDescent="0.45">
      <c r="A39" s="15" t="s">
        <v>1121</v>
      </c>
      <c r="B39" s="18">
        <v>0</v>
      </c>
      <c r="C39" s="18">
        <v>0</v>
      </c>
      <c r="D39" s="18">
        <v>5.9536876919914937E-3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5.9536876919914937E-3</v>
      </c>
    </row>
    <row r="40" spans="1:10" x14ac:dyDescent="0.45">
      <c r="A40" s="15" t="s">
        <v>1254</v>
      </c>
      <c r="B40" s="18">
        <v>0</v>
      </c>
      <c r="C40" s="18">
        <v>0</v>
      </c>
      <c r="D40" s="18">
        <v>5.8737197564316997E-3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5.8737197564316997E-3</v>
      </c>
    </row>
    <row r="41" spans="1:10" x14ac:dyDescent="0.45">
      <c r="A41" s="15" t="s">
        <v>743</v>
      </c>
      <c r="B41" s="18">
        <v>0</v>
      </c>
      <c r="C41" s="18">
        <v>5.5750171555640337E-3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5.5750171555640337E-3</v>
      </c>
    </row>
    <row r="42" spans="1:10" x14ac:dyDescent="0.45">
      <c r="A42" s="15" t="s">
        <v>814</v>
      </c>
      <c r="B42" s="18">
        <v>0</v>
      </c>
      <c r="C42" s="18">
        <v>0</v>
      </c>
      <c r="D42" s="18">
        <v>0</v>
      </c>
      <c r="E42" s="18">
        <v>0</v>
      </c>
      <c r="F42" s="18">
        <v>5.5168502570195465E-3</v>
      </c>
      <c r="G42" s="18">
        <v>0</v>
      </c>
      <c r="H42" s="18">
        <v>0</v>
      </c>
      <c r="I42" s="18">
        <v>0</v>
      </c>
      <c r="J42" s="18">
        <v>5.5168502570195465E-3</v>
      </c>
    </row>
    <row r="43" spans="1:10" x14ac:dyDescent="0.45">
      <c r="A43" s="15" t="s">
        <v>1261</v>
      </c>
      <c r="B43" s="18">
        <v>0</v>
      </c>
      <c r="C43" s="18">
        <v>0</v>
      </c>
      <c r="D43" s="18">
        <v>5.3552619131257547E-3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5.3552619131257547E-3</v>
      </c>
    </row>
    <row r="44" spans="1:10" x14ac:dyDescent="0.45">
      <c r="A44" s="15" t="s">
        <v>1157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5.3154410325598461E-3</v>
      </c>
      <c r="I44" s="18">
        <v>0</v>
      </c>
      <c r="J44" s="18">
        <v>5.3154410325598461E-3</v>
      </c>
    </row>
    <row r="45" spans="1:10" x14ac:dyDescent="0.45">
      <c r="A45" s="15" t="s">
        <v>1164</v>
      </c>
      <c r="B45" s="18">
        <v>0</v>
      </c>
      <c r="C45" s="18">
        <v>0</v>
      </c>
      <c r="D45" s="18">
        <v>5.3123313757048049E-3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5.3123313757048049E-3</v>
      </c>
    </row>
    <row r="46" spans="1:10" x14ac:dyDescent="0.45">
      <c r="A46" s="15" t="s">
        <v>1129</v>
      </c>
      <c r="B46" s="18">
        <v>0</v>
      </c>
      <c r="C46" s="18">
        <v>0</v>
      </c>
      <c r="D46" s="18">
        <v>0</v>
      </c>
      <c r="E46" s="18">
        <v>5.1402297422120441E-3</v>
      </c>
      <c r="F46" s="18">
        <v>0</v>
      </c>
      <c r="G46" s="18">
        <v>0</v>
      </c>
      <c r="H46" s="18">
        <v>0</v>
      </c>
      <c r="I46" s="18">
        <v>0</v>
      </c>
      <c r="J46" s="18">
        <v>5.1402297422120441E-3</v>
      </c>
    </row>
    <row r="47" spans="1:10" x14ac:dyDescent="0.45">
      <c r="A47" s="15" t="s">
        <v>933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5.113118548799124E-3</v>
      </c>
      <c r="I47" s="18">
        <v>0</v>
      </c>
      <c r="J47" s="18">
        <v>5.113118548799124E-3</v>
      </c>
    </row>
    <row r="48" spans="1:10" x14ac:dyDescent="0.45">
      <c r="A48" s="15" t="s">
        <v>1053</v>
      </c>
      <c r="B48" s="18">
        <v>4.8526958395917795E-3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4.8526958395917795E-3</v>
      </c>
    </row>
    <row r="49" spans="1:10" x14ac:dyDescent="0.45">
      <c r="A49" s="15" t="s">
        <v>834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4.8294276787451068E-3</v>
      </c>
      <c r="H49" s="18">
        <v>0</v>
      </c>
      <c r="I49" s="18">
        <v>0</v>
      </c>
      <c r="J49" s="18">
        <v>4.8294276787451068E-3</v>
      </c>
    </row>
    <row r="50" spans="1:10" x14ac:dyDescent="0.45">
      <c r="A50" s="15" t="s">
        <v>1324</v>
      </c>
      <c r="B50" s="18">
        <v>0</v>
      </c>
      <c r="C50" s="18">
        <v>0</v>
      </c>
      <c r="D50" s="18">
        <v>0</v>
      </c>
      <c r="E50" s="18">
        <v>0</v>
      </c>
      <c r="F50" s="18">
        <v>4.7368389364159623E-3</v>
      </c>
      <c r="G50" s="18">
        <v>0</v>
      </c>
      <c r="H50" s="18">
        <v>0</v>
      </c>
      <c r="I50" s="18">
        <v>0</v>
      </c>
      <c r="J50" s="18">
        <v>4.7368389364159623E-3</v>
      </c>
    </row>
    <row r="51" spans="1:10" x14ac:dyDescent="0.45">
      <c r="A51" s="15" t="s">
        <v>1289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4.6249458114033396E-3</v>
      </c>
      <c r="I51" s="18">
        <v>0</v>
      </c>
      <c r="J51" s="18">
        <v>4.6249458114033396E-3</v>
      </c>
    </row>
    <row r="52" spans="1:10" x14ac:dyDescent="0.45">
      <c r="A52" s="15" t="s">
        <v>1245</v>
      </c>
      <c r="B52" s="18">
        <v>0</v>
      </c>
      <c r="C52" s="18">
        <v>4.6021708700731481E-3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4.6021708700731481E-3</v>
      </c>
    </row>
    <row r="53" spans="1:10" x14ac:dyDescent="0.45">
      <c r="A53" s="15" t="s">
        <v>1356</v>
      </c>
      <c r="B53" s="18">
        <v>0</v>
      </c>
      <c r="C53" s="18">
        <v>0</v>
      </c>
      <c r="D53" s="18">
        <v>0</v>
      </c>
      <c r="E53" s="18">
        <v>0</v>
      </c>
      <c r="F53" s="18">
        <v>4.5833200320849277E-3</v>
      </c>
      <c r="G53" s="18">
        <v>0</v>
      </c>
      <c r="H53" s="18">
        <v>0</v>
      </c>
      <c r="I53" s="18">
        <v>0</v>
      </c>
      <c r="J53" s="18">
        <v>4.5833200320849277E-3</v>
      </c>
    </row>
    <row r="54" spans="1:10" x14ac:dyDescent="0.45">
      <c r="A54" s="15" t="s">
        <v>1091</v>
      </c>
      <c r="B54" s="18">
        <v>0</v>
      </c>
      <c r="C54" s="18">
        <v>0</v>
      </c>
      <c r="D54" s="18">
        <v>0</v>
      </c>
      <c r="E54" s="18">
        <v>0</v>
      </c>
      <c r="F54" s="18">
        <v>4.5143387215644754E-3</v>
      </c>
      <c r="G54" s="18">
        <v>0</v>
      </c>
      <c r="H54" s="18">
        <v>0</v>
      </c>
      <c r="I54" s="18">
        <v>0</v>
      </c>
      <c r="J54" s="18">
        <v>4.5143387215644754E-3</v>
      </c>
    </row>
    <row r="55" spans="1:10" x14ac:dyDescent="0.45">
      <c r="A55" s="15" t="s">
        <v>1125</v>
      </c>
      <c r="B55" s="18">
        <v>0</v>
      </c>
      <c r="C55" s="18">
        <v>4.4010055862883498E-3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4.4010055862883498E-3</v>
      </c>
    </row>
    <row r="56" spans="1:10" x14ac:dyDescent="0.45">
      <c r="A56" s="15" t="s">
        <v>937</v>
      </c>
      <c r="B56" s="18">
        <v>0</v>
      </c>
      <c r="C56" s="18">
        <v>0</v>
      </c>
      <c r="D56" s="18">
        <v>0</v>
      </c>
      <c r="E56" s="18">
        <v>0</v>
      </c>
      <c r="F56" s="18">
        <v>4.3886352524482542E-3</v>
      </c>
      <c r="G56" s="18">
        <v>0</v>
      </c>
      <c r="H56" s="18">
        <v>0</v>
      </c>
      <c r="I56" s="18">
        <v>0</v>
      </c>
      <c r="J56" s="18">
        <v>4.3886352524482542E-3</v>
      </c>
    </row>
    <row r="57" spans="1:10" x14ac:dyDescent="0.45">
      <c r="A57" s="15" t="s">
        <v>1116</v>
      </c>
      <c r="B57" s="18">
        <v>0</v>
      </c>
      <c r="C57" s="18">
        <v>0</v>
      </c>
      <c r="D57" s="18">
        <v>0</v>
      </c>
      <c r="E57" s="18">
        <v>0</v>
      </c>
      <c r="F57" s="18">
        <v>4.3639899617206757E-3</v>
      </c>
      <c r="G57" s="18">
        <v>0</v>
      </c>
      <c r="H57" s="18">
        <v>0</v>
      </c>
      <c r="I57" s="18">
        <v>0</v>
      </c>
      <c r="J57" s="18">
        <v>4.3639899617206757E-3</v>
      </c>
    </row>
    <row r="58" spans="1:10" x14ac:dyDescent="0.45">
      <c r="A58" s="15" t="s">
        <v>1288</v>
      </c>
      <c r="B58" s="18">
        <v>4.2502439145856892E-3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4.2502439145856892E-3</v>
      </c>
    </row>
    <row r="59" spans="1:10" x14ac:dyDescent="0.45">
      <c r="A59" s="15" t="s">
        <v>1181</v>
      </c>
      <c r="B59" s="18">
        <v>0</v>
      </c>
      <c r="C59" s="18">
        <v>0</v>
      </c>
      <c r="D59" s="18">
        <v>0</v>
      </c>
      <c r="E59" s="18">
        <v>4.1676115247225439E-3</v>
      </c>
      <c r="F59" s="18">
        <v>0</v>
      </c>
      <c r="G59" s="18">
        <v>0</v>
      </c>
      <c r="H59" s="18">
        <v>0</v>
      </c>
      <c r="I59" s="18">
        <v>0</v>
      </c>
      <c r="J59" s="18">
        <v>4.1676115247225439E-3</v>
      </c>
    </row>
    <row r="60" spans="1:10" x14ac:dyDescent="0.45">
      <c r="A60" s="15" t="s">
        <v>1299</v>
      </c>
      <c r="B60" s="18">
        <v>0</v>
      </c>
      <c r="C60" s="18">
        <v>0</v>
      </c>
      <c r="D60" s="18">
        <v>4.0419298712679385E-3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4.0419298712679385E-3</v>
      </c>
    </row>
    <row r="61" spans="1:10" x14ac:dyDescent="0.45">
      <c r="A61" s="15" t="s">
        <v>1090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4.0176191648226209E-3</v>
      </c>
      <c r="I61" s="18">
        <v>0</v>
      </c>
      <c r="J61" s="18">
        <v>4.0176191648226209E-3</v>
      </c>
    </row>
    <row r="62" spans="1:10" x14ac:dyDescent="0.45">
      <c r="A62" s="15" t="s">
        <v>1110</v>
      </c>
      <c r="B62" s="18">
        <v>0</v>
      </c>
      <c r="C62" s="18">
        <v>0</v>
      </c>
      <c r="D62" s="18">
        <v>0</v>
      </c>
      <c r="E62" s="18">
        <v>0</v>
      </c>
      <c r="F62" s="18">
        <v>3.9851869254814735E-3</v>
      </c>
      <c r="G62" s="18">
        <v>0</v>
      </c>
      <c r="H62" s="18">
        <v>0</v>
      </c>
      <c r="I62" s="18">
        <v>0</v>
      </c>
      <c r="J62" s="18">
        <v>3.9851869254814735E-3</v>
      </c>
    </row>
    <row r="63" spans="1:10" x14ac:dyDescent="0.45">
      <c r="A63" s="15" t="s">
        <v>829</v>
      </c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3.9536660358160704E-3</v>
      </c>
      <c r="I63" s="18">
        <v>0</v>
      </c>
      <c r="J63" s="18">
        <v>3.9536660358160704E-3</v>
      </c>
    </row>
    <row r="64" spans="1:10" x14ac:dyDescent="0.45">
      <c r="A64" s="15" t="s">
        <v>1040</v>
      </c>
      <c r="B64" s="18">
        <v>3.9423076432446962E-3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3.9423076432446962E-3</v>
      </c>
    </row>
    <row r="65" spans="1:10" x14ac:dyDescent="0.45">
      <c r="A65" s="15" t="s">
        <v>883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3.8884074807498908E-3</v>
      </c>
      <c r="H65" s="18">
        <v>0</v>
      </c>
      <c r="I65" s="18">
        <v>0</v>
      </c>
      <c r="J65" s="18">
        <v>3.8884074807498908E-3</v>
      </c>
    </row>
    <row r="66" spans="1:10" x14ac:dyDescent="0.45">
      <c r="A66" s="15" t="s">
        <v>1267</v>
      </c>
      <c r="B66" s="18">
        <v>0</v>
      </c>
      <c r="C66" s="18">
        <v>0</v>
      </c>
      <c r="D66" s="18">
        <v>3.8826839998240366E-3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3.8826839998240366E-3</v>
      </c>
    </row>
    <row r="67" spans="1:10" x14ac:dyDescent="0.45">
      <c r="A67" s="15" t="s">
        <v>1211</v>
      </c>
      <c r="B67" s="18">
        <v>0</v>
      </c>
      <c r="C67" s="18">
        <v>0</v>
      </c>
      <c r="D67" s="18">
        <v>3.8351914673586569E-3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3.8351914673586569E-3</v>
      </c>
    </row>
    <row r="68" spans="1:10" x14ac:dyDescent="0.45">
      <c r="A68" s="15" t="s">
        <v>1351</v>
      </c>
      <c r="B68" s="18">
        <v>0</v>
      </c>
      <c r="C68" s="18">
        <v>3.7899267063003926E-3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3.7899267063003926E-3</v>
      </c>
    </row>
    <row r="69" spans="1:10" x14ac:dyDescent="0.45">
      <c r="A69" s="15" t="s">
        <v>915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3.783770699367436E-3</v>
      </c>
      <c r="H69" s="18">
        <v>0</v>
      </c>
      <c r="I69" s="18">
        <v>0</v>
      </c>
      <c r="J69" s="18">
        <v>3.783770699367436E-3</v>
      </c>
    </row>
    <row r="70" spans="1:10" x14ac:dyDescent="0.45">
      <c r="A70" s="15" t="s">
        <v>1162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3.7641909371902696E-3</v>
      </c>
      <c r="H70" s="18">
        <v>0</v>
      </c>
      <c r="I70" s="18">
        <v>0</v>
      </c>
      <c r="J70" s="18">
        <v>3.7641909371902696E-3</v>
      </c>
    </row>
    <row r="71" spans="1:10" x14ac:dyDescent="0.45">
      <c r="A71" s="15" t="s">
        <v>774</v>
      </c>
      <c r="B71" s="18">
        <v>0</v>
      </c>
      <c r="C71" s="18">
        <v>0</v>
      </c>
      <c r="D71" s="18">
        <v>0</v>
      </c>
      <c r="E71" s="18">
        <v>3.7613122223821272E-3</v>
      </c>
      <c r="F71" s="18">
        <v>0</v>
      </c>
      <c r="G71" s="18">
        <v>0</v>
      </c>
      <c r="H71" s="18">
        <v>0</v>
      </c>
      <c r="I71" s="18">
        <v>0</v>
      </c>
      <c r="J71" s="18">
        <v>3.7613122223821272E-3</v>
      </c>
    </row>
    <row r="72" spans="1:10" x14ac:dyDescent="0.45">
      <c r="A72" s="15" t="s">
        <v>1315</v>
      </c>
      <c r="B72" s="18">
        <v>0</v>
      </c>
      <c r="C72" s="18">
        <v>0</v>
      </c>
      <c r="D72" s="18">
        <v>3.7115833457836149E-3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3.7115833457836149E-3</v>
      </c>
    </row>
    <row r="73" spans="1:10" x14ac:dyDescent="0.45">
      <c r="A73" s="15" t="s">
        <v>1213</v>
      </c>
      <c r="B73" s="18">
        <v>0</v>
      </c>
      <c r="C73" s="18">
        <v>0</v>
      </c>
      <c r="D73" s="18">
        <v>0</v>
      </c>
      <c r="E73" s="18">
        <v>0</v>
      </c>
      <c r="F73" s="18">
        <v>3.7047638890968519E-3</v>
      </c>
      <c r="G73" s="18">
        <v>0</v>
      </c>
      <c r="H73" s="18">
        <v>0</v>
      </c>
      <c r="I73" s="18">
        <v>0</v>
      </c>
      <c r="J73" s="18">
        <v>3.7047638890968519E-3</v>
      </c>
    </row>
    <row r="74" spans="1:10" x14ac:dyDescent="0.45">
      <c r="A74" s="15" t="s">
        <v>1361</v>
      </c>
      <c r="B74" s="18">
        <v>0</v>
      </c>
      <c r="C74" s="18">
        <v>3.703594528641821E-3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3.703594528641821E-3</v>
      </c>
    </row>
    <row r="75" spans="1:10" x14ac:dyDescent="0.45">
      <c r="A75" s="15" t="s">
        <v>1047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3.6898050394396377E-3</v>
      </c>
      <c r="I75" s="18">
        <v>0</v>
      </c>
      <c r="J75" s="18">
        <v>3.6898050394396377E-3</v>
      </c>
    </row>
    <row r="76" spans="1:10" x14ac:dyDescent="0.45">
      <c r="A76" s="15" t="s">
        <v>998</v>
      </c>
      <c r="B76" s="18">
        <v>0</v>
      </c>
      <c r="C76" s="18">
        <v>0</v>
      </c>
      <c r="D76" s="18">
        <v>3.6728375220265192E-3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3.6728375220265192E-3</v>
      </c>
    </row>
    <row r="77" spans="1:10" x14ac:dyDescent="0.45">
      <c r="A77" s="15" t="s">
        <v>1335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3.6426836861550458E-3</v>
      </c>
      <c r="I77" s="18">
        <v>0</v>
      </c>
      <c r="J77" s="18">
        <v>3.6426836861550458E-3</v>
      </c>
    </row>
    <row r="78" spans="1:10" x14ac:dyDescent="0.45">
      <c r="A78" s="15" t="s">
        <v>1036</v>
      </c>
      <c r="B78" s="18">
        <v>0</v>
      </c>
      <c r="C78" s="18">
        <v>0</v>
      </c>
      <c r="D78" s="18">
        <v>0</v>
      </c>
      <c r="E78" s="18">
        <v>0</v>
      </c>
      <c r="F78" s="18">
        <v>3.6313458190815884E-3</v>
      </c>
      <c r="G78" s="18">
        <v>0</v>
      </c>
      <c r="H78" s="18">
        <v>0</v>
      </c>
      <c r="I78" s="18">
        <v>0</v>
      </c>
      <c r="J78" s="18">
        <v>3.6313458190815884E-3</v>
      </c>
    </row>
    <row r="79" spans="1:10" x14ac:dyDescent="0.45">
      <c r="A79" s="15" t="s">
        <v>1056</v>
      </c>
      <c r="B79" s="18">
        <v>0</v>
      </c>
      <c r="C79" s="18">
        <v>0</v>
      </c>
      <c r="D79" s="18">
        <v>0</v>
      </c>
      <c r="E79" s="18">
        <v>0</v>
      </c>
      <c r="F79" s="18">
        <v>3.61856828853331E-3</v>
      </c>
      <c r="G79" s="18">
        <v>0</v>
      </c>
      <c r="H79" s="18">
        <v>0</v>
      </c>
      <c r="I79" s="18">
        <v>0</v>
      </c>
      <c r="J79" s="18">
        <v>3.61856828853331E-3</v>
      </c>
    </row>
    <row r="80" spans="1:10" x14ac:dyDescent="0.45">
      <c r="A80" s="15" t="s">
        <v>854</v>
      </c>
      <c r="B80" s="18">
        <v>0</v>
      </c>
      <c r="C80" s="18">
        <v>0</v>
      </c>
      <c r="D80" s="18">
        <v>0</v>
      </c>
      <c r="E80" s="18">
        <v>0</v>
      </c>
      <c r="F80" s="18">
        <v>3.6158259906934978E-3</v>
      </c>
      <c r="G80" s="18">
        <v>0</v>
      </c>
      <c r="H80" s="18">
        <v>0</v>
      </c>
      <c r="I80" s="18">
        <v>0</v>
      </c>
      <c r="J80" s="18">
        <v>3.6158259906934978E-3</v>
      </c>
    </row>
    <row r="81" spans="1:10" x14ac:dyDescent="0.45">
      <c r="A81" s="15" t="s">
        <v>753</v>
      </c>
      <c r="B81" s="18">
        <v>0</v>
      </c>
      <c r="C81" s="18">
        <v>0</v>
      </c>
      <c r="D81" s="18">
        <v>3.5926669603104557E-3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3.5926669603104557E-3</v>
      </c>
    </row>
    <row r="82" spans="1:10" x14ac:dyDescent="0.45">
      <c r="A82" s="15" t="s">
        <v>1000</v>
      </c>
      <c r="B82" s="18">
        <v>0</v>
      </c>
      <c r="C82" s="18">
        <v>0</v>
      </c>
      <c r="D82" s="18">
        <v>0</v>
      </c>
      <c r="E82" s="18">
        <v>3.5519542655262086E-3</v>
      </c>
      <c r="F82" s="18">
        <v>0</v>
      </c>
      <c r="G82" s="18">
        <v>0</v>
      </c>
      <c r="H82" s="18">
        <v>0</v>
      </c>
      <c r="I82" s="18">
        <v>0</v>
      </c>
      <c r="J82" s="18">
        <v>3.5519542655262086E-3</v>
      </c>
    </row>
    <row r="83" spans="1:10" x14ac:dyDescent="0.45">
      <c r="A83" s="15" t="s">
        <v>1071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3.5260773278023064E-3</v>
      </c>
      <c r="I83" s="18">
        <v>0</v>
      </c>
      <c r="J83" s="18">
        <v>3.5260773278023064E-3</v>
      </c>
    </row>
    <row r="84" spans="1:10" x14ac:dyDescent="0.45">
      <c r="A84" s="15" t="s">
        <v>1109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3.5156523677511288E-3</v>
      </c>
      <c r="H84" s="18">
        <v>0</v>
      </c>
      <c r="I84" s="18">
        <v>0</v>
      </c>
      <c r="J84" s="18">
        <v>3.5156523677511288E-3</v>
      </c>
    </row>
    <row r="85" spans="1:10" x14ac:dyDescent="0.45">
      <c r="A85" s="15" t="s">
        <v>752</v>
      </c>
      <c r="B85" s="18">
        <v>3.4858378504221792E-3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3.4858378504221792E-3</v>
      </c>
    </row>
    <row r="86" spans="1:10" x14ac:dyDescent="0.45">
      <c r="A86" s="15" t="s">
        <v>1115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3.4369851102655558E-3</v>
      </c>
      <c r="I86" s="18">
        <v>0</v>
      </c>
      <c r="J86" s="18">
        <v>3.4369851102655558E-3</v>
      </c>
    </row>
    <row r="87" spans="1:10" x14ac:dyDescent="0.45">
      <c r="A87" s="15" t="s">
        <v>970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3.3890662125534822E-3</v>
      </c>
      <c r="H87" s="18">
        <v>0</v>
      </c>
      <c r="I87" s="18">
        <v>0</v>
      </c>
      <c r="J87" s="18">
        <v>3.3890662125534822E-3</v>
      </c>
    </row>
    <row r="88" spans="1:10" x14ac:dyDescent="0.45">
      <c r="A88" s="15" t="s">
        <v>1204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3.3443082836112255E-3</v>
      </c>
      <c r="I88" s="18">
        <v>0</v>
      </c>
      <c r="J88" s="18">
        <v>3.3443082836112255E-3</v>
      </c>
    </row>
    <row r="89" spans="1:10" x14ac:dyDescent="0.45">
      <c r="A89" s="15" t="s">
        <v>1215</v>
      </c>
      <c r="B89" s="18">
        <v>0</v>
      </c>
      <c r="C89" s="18">
        <v>0</v>
      </c>
      <c r="D89" s="18">
        <v>3.308775504571833E-3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3.308775504571833E-3</v>
      </c>
    </row>
    <row r="90" spans="1:10" x14ac:dyDescent="0.45">
      <c r="A90" s="15" t="s">
        <v>782</v>
      </c>
      <c r="B90" s="18">
        <v>0</v>
      </c>
      <c r="C90" s="18">
        <v>0</v>
      </c>
      <c r="D90" s="18">
        <v>0</v>
      </c>
      <c r="E90" s="18">
        <v>0</v>
      </c>
      <c r="F90" s="18">
        <v>3.2593837669627054E-3</v>
      </c>
      <c r="G90" s="18">
        <v>0</v>
      </c>
      <c r="H90" s="18">
        <v>0</v>
      </c>
      <c r="I90" s="18">
        <v>0</v>
      </c>
      <c r="J90" s="18">
        <v>3.2593837669627054E-3</v>
      </c>
    </row>
    <row r="91" spans="1:10" x14ac:dyDescent="0.45">
      <c r="A91" s="15" t="s">
        <v>872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3.254482572327016E-3</v>
      </c>
      <c r="I91" s="18">
        <v>0</v>
      </c>
      <c r="J91" s="18">
        <v>3.254482572327016E-3</v>
      </c>
    </row>
    <row r="92" spans="1:10" x14ac:dyDescent="0.45">
      <c r="A92" s="15" t="s">
        <v>810</v>
      </c>
      <c r="B92" s="18">
        <v>3.2387938047803073E-3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3.2387938047803073E-3</v>
      </c>
    </row>
    <row r="93" spans="1:10" x14ac:dyDescent="0.45">
      <c r="A93" s="15" t="s">
        <v>751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3.2361341680031031E-3</v>
      </c>
      <c r="H93" s="18">
        <v>0</v>
      </c>
      <c r="I93" s="18">
        <v>0</v>
      </c>
      <c r="J93" s="18">
        <v>3.2361341680031031E-3</v>
      </c>
    </row>
    <row r="94" spans="1:10" x14ac:dyDescent="0.45">
      <c r="A94" s="15" t="s">
        <v>1094</v>
      </c>
      <c r="B94" s="18">
        <v>3.2178828132695602E-3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3.2178828132695602E-3</v>
      </c>
    </row>
    <row r="95" spans="1:10" x14ac:dyDescent="0.45">
      <c r="A95" s="15" t="s">
        <v>1012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3.187925322012666E-3</v>
      </c>
      <c r="H95" s="18">
        <v>0</v>
      </c>
      <c r="I95" s="18">
        <v>0</v>
      </c>
      <c r="J95" s="18">
        <v>3.187925322012666E-3</v>
      </c>
    </row>
    <row r="96" spans="1:10" x14ac:dyDescent="0.45">
      <c r="A96" s="15" t="s">
        <v>1087</v>
      </c>
      <c r="B96" s="18">
        <v>0</v>
      </c>
      <c r="C96" s="18">
        <v>0</v>
      </c>
      <c r="D96" s="18">
        <v>0</v>
      </c>
      <c r="E96" s="18">
        <v>0</v>
      </c>
      <c r="F96" s="18">
        <v>3.1857863953038087E-3</v>
      </c>
      <c r="G96" s="18">
        <v>0</v>
      </c>
      <c r="H96" s="18">
        <v>0</v>
      </c>
      <c r="I96" s="18">
        <v>0</v>
      </c>
      <c r="J96" s="18">
        <v>3.1857863953038087E-3</v>
      </c>
    </row>
    <row r="97" spans="1:10" x14ac:dyDescent="0.45">
      <c r="A97" s="15" t="s">
        <v>1239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3.1842732803391573E-3</v>
      </c>
      <c r="H97" s="18">
        <v>0</v>
      </c>
      <c r="I97" s="18">
        <v>0</v>
      </c>
      <c r="J97" s="18">
        <v>3.1842732803391573E-3</v>
      </c>
    </row>
    <row r="98" spans="1:10" x14ac:dyDescent="0.45">
      <c r="A98" s="15" t="s">
        <v>1006</v>
      </c>
      <c r="B98" s="18">
        <v>0</v>
      </c>
      <c r="C98" s="18">
        <v>0</v>
      </c>
      <c r="D98" s="18">
        <v>0</v>
      </c>
      <c r="E98" s="18">
        <v>3.1688713719980168E-3</v>
      </c>
      <c r="F98" s="18">
        <v>0</v>
      </c>
      <c r="G98" s="18">
        <v>0</v>
      </c>
      <c r="H98" s="18">
        <v>0</v>
      </c>
      <c r="I98" s="18">
        <v>0</v>
      </c>
      <c r="J98" s="18">
        <v>3.1688713719980168E-3</v>
      </c>
    </row>
    <row r="99" spans="1:10" x14ac:dyDescent="0.45">
      <c r="A99" s="15" t="s">
        <v>783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3.1517017673693502E-3</v>
      </c>
      <c r="I99" s="18">
        <v>0</v>
      </c>
      <c r="J99" s="18">
        <v>3.1517017673693502E-3</v>
      </c>
    </row>
    <row r="100" spans="1:10" x14ac:dyDescent="0.45">
      <c r="A100" s="15" t="s">
        <v>1301</v>
      </c>
      <c r="B100" s="18">
        <v>0</v>
      </c>
      <c r="C100" s="18">
        <v>0</v>
      </c>
      <c r="D100" s="18">
        <v>0</v>
      </c>
      <c r="E100" s="18">
        <v>0</v>
      </c>
      <c r="F100" s="18">
        <v>3.1391384680455516E-3</v>
      </c>
      <c r="G100" s="18">
        <v>0</v>
      </c>
      <c r="H100" s="18">
        <v>0</v>
      </c>
      <c r="I100" s="18">
        <v>0</v>
      </c>
      <c r="J100" s="18">
        <v>3.1391384680455516E-3</v>
      </c>
    </row>
    <row r="101" spans="1:10" x14ac:dyDescent="0.45">
      <c r="A101" s="15" t="s">
        <v>831</v>
      </c>
      <c r="B101" s="18">
        <v>3.1237663048402134E-3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3.1237663048402134E-3</v>
      </c>
    </row>
    <row r="102" spans="1:10" x14ac:dyDescent="0.45">
      <c r="A102" s="15" t="s">
        <v>976</v>
      </c>
      <c r="B102" s="18">
        <v>0</v>
      </c>
      <c r="C102" s="18">
        <v>0</v>
      </c>
      <c r="D102" s="18">
        <v>3.1186152247115032E-3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3.1186152247115032E-3</v>
      </c>
    </row>
    <row r="103" spans="1:10" x14ac:dyDescent="0.45">
      <c r="A103" s="15" t="s">
        <v>1332</v>
      </c>
      <c r="B103" s="18">
        <v>0</v>
      </c>
      <c r="C103" s="18">
        <v>0</v>
      </c>
      <c r="D103" s="18">
        <v>3.1053730320999362E-3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3.1053730320999362E-3</v>
      </c>
    </row>
    <row r="104" spans="1:10" x14ac:dyDescent="0.45">
      <c r="A104" s="15" t="s">
        <v>794</v>
      </c>
      <c r="B104" s="18">
        <v>0</v>
      </c>
      <c r="C104" s="18">
        <v>3.0824391407721827E-3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3.0824391407721827E-3</v>
      </c>
    </row>
    <row r="105" spans="1:10" x14ac:dyDescent="0.45">
      <c r="A105" s="15" t="s">
        <v>1287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3.0700339606171256E-3</v>
      </c>
      <c r="H105" s="18">
        <v>0</v>
      </c>
      <c r="I105" s="18">
        <v>0</v>
      </c>
      <c r="J105" s="18">
        <v>3.0700339606171256E-3</v>
      </c>
    </row>
    <row r="106" spans="1:10" x14ac:dyDescent="0.45">
      <c r="A106" s="15" t="s">
        <v>1262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3.0580631172733969E-3</v>
      </c>
      <c r="I106" s="18">
        <v>0</v>
      </c>
      <c r="J106" s="18">
        <v>3.0580631172733969E-3</v>
      </c>
    </row>
    <row r="107" spans="1:10" x14ac:dyDescent="0.45">
      <c r="A107" s="15" t="s">
        <v>1247</v>
      </c>
      <c r="B107" s="18">
        <v>0</v>
      </c>
      <c r="C107" s="18">
        <v>3.0477646829355355E-3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3.0477646829355355E-3</v>
      </c>
    </row>
    <row r="108" spans="1:10" x14ac:dyDescent="0.45">
      <c r="A108" s="15" t="s">
        <v>1113</v>
      </c>
      <c r="B108" s="18">
        <v>0</v>
      </c>
      <c r="C108" s="18">
        <v>0</v>
      </c>
      <c r="D108" s="18">
        <v>0</v>
      </c>
      <c r="E108" s="18">
        <v>0</v>
      </c>
      <c r="F108" s="18">
        <v>3.0378357368405075E-3</v>
      </c>
      <c r="G108" s="18">
        <v>0</v>
      </c>
      <c r="H108" s="18">
        <v>0</v>
      </c>
      <c r="I108" s="18">
        <v>0</v>
      </c>
      <c r="J108" s="18">
        <v>3.0378357368405075E-3</v>
      </c>
    </row>
    <row r="109" spans="1:10" x14ac:dyDescent="0.45">
      <c r="A109" s="15" t="s">
        <v>1294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3.0260574042206539E-3</v>
      </c>
      <c r="H109" s="18">
        <v>0</v>
      </c>
      <c r="I109" s="18">
        <v>0</v>
      </c>
      <c r="J109" s="18">
        <v>3.0260574042206539E-3</v>
      </c>
    </row>
    <row r="110" spans="1:10" x14ac:dyDescent="0.45">
      <c r="A110" s="15" t="s">
        <v>811</v>
      </c>
      <c r="B110" s="18">
        <v>3.0252267565717183E-3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3.0252267565717183E-3</v>
      </c>
    </row>
    <row r="111" spans="1:10" x14ac:dyDescent="0.45">
      <c r="A111" s="15" t="s">
        <v>1360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3.0211260051142843E-3</v>
      </c>
      <c r="H111" s="18">
        <v>0</v>
      </c>
      <c r="I111" s="18">
        <v>0</v>
      </c>
      <c r="J111" s="18">
        <v>3.0211260051142843E-3</v>
      </c>
    </row>
    <row r="112" spans="1:10" x14ac:dyDescent="0.45">
      <c r="A112" s="15" t="s">
        <v>1357</v>
      </c>
      <c r="B112" s="18">
        <v>0</v>
      </c>
      <c r="C112" s="18">
        <v>0</v>
      </c>
      <c r="D112" s="18">
        <v>0</v>
      </c>
      <c r="E112" s="18">
        <v>0</v>
      </c>
      <c r="F112" s="18">
        <v>2.992483126614555E-3</v>
      </c>
      <c r="G112" s="18">
        <v>0</v>
      </c>
      <c r="H112" s="18">
        <v>0</v>
      </c>
      <c r="I112" s="18">
        <v>0</v>
      </c>
      <c r="J112" s="18">
        <v>2.992483126614555E-3</v>
      </c>
    </row>
    <row r="113" spans="1:10" x14ac:dyDescent="0.45">
      <c r="A113" s="15" t="s">
        <v>779</v>
      </c>
      <c r="B113" s="18">
        <v>0</v>
      </c>
      <c r="C113" s="18">
        <v>0</v>
      </c>
      <c r="D113" s="18">
        <v>0</v>
      </c>
      <c r="E113" s="18">
        <v>0</v>
      </c>
      <c r="F113" s="18">
        <v>2.9743817639334685E-3</v>
      </c>
      <c r="G113" s="18">
        <v>0</v>
      </c>
      <c r="H113" s="18">
        <v>0</v>
      </c>
      <c r="I113" s="18">
        <v>0</v>
      </c>
      <c r="J113" s="18">
        <v>2.9743817639334685E-3</v>
      </c>
    </row>
    <row r="114" spans="1:10" x14ac:dyDescent="0.45">
      <c r="A114" s="15" t="s">
        <v>1238</v>
      </c>
      <c r="B114" s="18">
        <v>0</v>
      </c>
      <c r="C114" s="18">
        <v>2.9587038612121121E-3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2.9587038612121121E-3</v>
      </c>
    </row>
    <row r="115" spans="1:10" x14ac:dyDescent="0.45">
      <c r="A115" s="15" t="s">
        <v>1106</v>
      </c>
      <c r="B115" s="18">
        <v>0</v>
      </c>
      <c r="C115" s="18">
        <v>0</v>
      </c>
      <c r="D115" s="18">
        <v>0</v>
      </c>
      <c r="E115" s="18">
        <v>2.9536810727654674E-3</v>
      </c>
      <c r="F115" s="18">
        <v>0</v>
      </c>
      <c r="G115" s="18">
        <v>0</v>
      </c>
      <c r="H115" s="18">
        <v>0</v>
      </c>
      <c r="I115" s="18">
        <v>0</v>
      </c>
      <c r="J115" s="18">
        <v>2.9536810727654674E-3</v>
      </c>
    </row>
    <row r="116" spans="1:10" x14ac:dyDescent="0.45">
      <c r="A116" s="15" t="s">
        <v>876</v>
      </c>
      <c r="B116" s="18">
        <v>2.9359345618318209E-3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2.9359345618318209E-3</v>
      </c>
    </row>
    <row r="117" spans="1:10" x14ac:dyDescent="0.45">
      <c r="A117" s="15" t="s">
        <v>1280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2.9117461034294037E-3</v>
      </c>
      <c r="I117" s="18">
        <v>0</v>
      </c>
      <c r="J117" s="18">
        <v>2.9117461034294037E-3</v>
      </c>
    </row>
    <row r="118" spans="1:10" x14ac:dyDescent="0.45">
      <c r="A118" s="15" t="s">
        <v>789</v>
      </c>
      <c r="B118" s="18">
        <v>0</v>
      </c>
      <c r="C118" s="18">
        <v>0</v>
      </c>
      <c r="D118" s="18">
        <v>0</v>
      </c>
      <c r="E118" s="18">
        <v>2.8988235484164091E-3</v>
      </c>
      <c r="F118" s="18">
        <v>0</v>
      </c>
      <c r="G118" s="18">
        <v>0</v>
      </c>
      <c r="H118" s="18">
        <v>0</v>
      </c>
      <c r="I118" s="18">
        <v>0</v>
      </c>
      <c r="J118" s="18">
        <v>2.8988235484164091E-3</v>
      </c>
    </row>
    <row r="119" spans="1:10" x14ac:dyDescent="0.45">
      <c r="A119" s="15" t="s">
        <v>907</v>
      </c>
      <c r="B119" s="18">
        <v>0</v>
      </c>
      <c r="C119" s="18">
        <v>0</v>
      </c>
      <c r="D119" s="18">
        <v>2.88742182098495E-3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2.88742182098495E-3</v>
      </c>
    </row>
    <row r="120" spans="1:10" x14ac:dyDescent="0.45">
      <c r="A120" s="15" t="s">
        <v>1147</v>
      </c>
      <c r="B120" s="18">
        <v>0</v>
      </c>
      <c r="C120" s="18">
        <v>0</v>
      </c>
      <c r="D120" s="18">
        <v>0</v>
      </c>
      <c r="E120" s="18">
        <v>0</v>
      </c>
      <c r="F120" s="18">
        <v>2.8835088222008759E-3</v>
      </c>
      <c r="G120" s="18">
        <v>0</v>
      </c>
      <c r="H120" s="18">
        <v>0</v>
      </c>
      <c r="I120" s="18">
        <v>0</v>
      </c>
      <c r="J120" s="18">
        <v>2.8835088222008759E-3</v>
      </c>
    </row>
    <row r="121" spans="1:10" x14ac:dyDescent="0.45">
      <c r="A121" s="15" t="s">
        <v>1175</v>
      </c>
      <c r="B121" s="18">
        <v>2.8834778921274931E-3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2.8834778921274931E-3</v>
      </c>
    </row>
    <row r="122" spans="1:10" x14ac:dyDescent="0.45">
      <c r="A122" s="15" t="s">
        <v>929</v>
      </c>
      <c r="B122" s="18">
        <v>0</v>
      </c>
      <c r="C122" s="18">
        <v>0</v>
      </c>
      <c r="D122" s="18">
        <v>0</v>
      </c>
      <c r="E122" s="18">
        <v>2.854066016588368E-3</v>
      </c>
      <c r="F122" s="18">
        <v>0</v>
      </c>
      <c r="G122" s="18">
        <v>0</v>
      </c>
      <c r="H122" s="18">
        <v>0</v>
      </c>
      <c r="I122" s="18">
        <v>0</v>
      </c>
      <c r="J122" s="18">
        <v>2.854066016588368E-3</v>
      </c>
    </row>
    <row r="123" spans="1:10" x14ac:dyDescent="0.45">
      <c r="A123" s="15" t="s">
        <v>1108</v>
      </c>
      <c r="B123" s="18">
        <v>0</v>
      </c>
      <c r="C123" s="18">
        <v>0</v>
      </c>
      <c r="D123" s="18">
        <v>0</v>
      </c>
      <c r="E123" s="18">
        <v>0</v>
      </c>
      <c r="F123" s="18">
        <v>0</v>
      </c>
      <c r="G123" s="18">
        <v>2.8370102830886645E-3</v>
      </c>
      <c r="H123" s="18">
        <v>0</v>
      </c>
      <c r="I123" s="18">
        <v>0</v>
      </c>
      <c r="J123" s="18">
        <v>2.8370102830886645E-3</v>
      </c>
    </row>
    <row r="124" spans="1:10" x14ac:dyDescent="0.45">
      <c r="A124" s="15" t="s">
        <v>1044</v>
      </c>
      <c r="B124" s="18">
        <v>0</v>
      </c>
      <c r="C124" s="18">
        <v>0</v>
      </c>
      <c r="D124" s="18">
        <v>0</v>
      </c>
      <c r="E124" s="18">
        <v>2.8181634729732077E-3</v>
      </c>
      <c r="F124" s="18">
        <v>0</v>
      </c>
      <c r="G124" s="18">
        <v>0</v>
      </c>
      <c r="H124" s="18">
        <v>0</v>
      </c>
      <c r="I124" s="18">
        <v>0</v>
      </c>
      <c r="J124" s="18">
        <v>2.8181634729732077E-3</v>
      </c>
    </row>
    <row r="125" spans="1:10" x14ac:dyDescent="0.45">
      <c r="A125" s="15" t="s">
        <v>1229</v>
      </c>
      <c r="B125" s="18">
        <v>0</v>
      </c>
      <c r="C125" s="18">
        <v>0</v>
      </c>
      <c r="D125" s="18">
        <v>0</v>
      </c>
      <c r="E125" s="18">
        <v>0</v>
      </c>
      <c r="F125" s="18">
        <v>2.8083916413662552E-3</v>
      </c>
      <c r="G125" s="18">
        <v>0</v>
      </c>
      <c r="H125" s="18">
        <v>0</v>
      </c>
      <c r="I125" s="18">
        <v>0</v>
      </c>
      <c r="J125" s="18">
        <v>2.8083916413662552E-3</v>
      </c>
    </row>
    <row r="126" spans="1:10" x14ac:dyDescent="0.45">
      <c r="A126" s="15" t="s">
        <v>1274</v>
      </c>
      <c r="B126" s="18">
        <v>0</v>
      </c>
      <c r="C126" s="18">
        <v>0</v>
      </c>
      <c r="D126" s="18">
        <v>0</v>
      </c>
      <c r="E126" s="18">
        <v>2.8047246996745542E-3</v>
      </c>
      <c r="F126" s="18">
        <v>0</v>
      </c>
      <c r="G126" s="18">
        <v>0</v>
      </c>
      <c r="H126" s="18">
        <v>0</v>
      </c>
      <c r="I126" s="18">
        <v>0</v>
      </c>
      <c r="J126" s="18">
        <v>2.8047246996745542E-3</v>
      </c>
    </row>
    <row r="127" spans="1:10" x14ac:dyDescent="0.45">
      <c r="A127" s="15" t="s">
        <v>776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2.7996155123506178E-3</v>
      </c>
      <c r="I127" s="18">
        <v>0</v>
      </c>
      <c r="J127" s="18">
        <v>2.7996155123506178E-3</v>
      </c>
    </row>
    <row r="128" spans="1:10" x14ac:dyDescent="0.45">
      <c r="A128" s="15" t="s">
        <v>960</v>
      </c>
      <c r="B128" s="18">
        <v>0</v>
      </c>
      <c r="C128" s="18">
        <v>0</v>
      </c>
      <c r="D128" s="18">
        <v>0</v>
      </c>
      <c r="E128" s="18">
        <v>0</v>
      </c>
      <c r="F128" s="18">
        <v>2.7888964453019237E-3</v>
      </c>
      <c r="G128" s="18">
        <v>0</v>
      </c>
      <c r="H128" s="18">
        <v>0</v>
      </c>
      <c r="I128" s="18">
        <v>0</v>
      </c>
      <c r="J128" s="18">
        <v>2.7888964453019237E-3</v>
      </c>
    </row>
    <row r="129" spans="1:10" x14ac:dyDescent="0.45">
      <c r="A129" s="15" t="s">
        <v>1159</v>
      </c>
      <c r="B129" s="18">
        <v>0</v>
      </c>
      <c r="C129" s="18">
        <v>0</v>
      </c>
      <c r="D129" s="18">
        <v>2.7848883394931035E-3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2.7848883394931035E-3</v>
      </c>
    </row>
    <row r="130" spans="1:10" x14ac:dyDescent="0.45">
      <c r="A130" s="15" t="s">
        <v>1354</v>
      </c>
      <c r="B130" s="18">
        <v>0</v>
      </c>
      <c r="C130" s="18">
        <v>0</v>
      </c>
      <c r="D130" s="18">
        <v>0</v>
      </c>
      <c r="E130" s="18">
        <v>0</v>
      </c>
      <c r="F130" s="18">
        <v>2.7660738987613106E-3</v>
      </c>
      <c r="G130" s="18">
        <v>0</v>
      </c>
      <c r="H130" s="18">
        <v>0</v>
      </c>
      <c r="I130" s="18">
        <v>0</v>
      </c>
      <c r="J130" s="18">
        <v>2.7660738987613106E-3</v>
      </c>
    </row>
    <row r="131" spans="1:10" x14ac:dyDescent="0.45">
      <c r="A131" s="15" t="s">
        <v>845</v>
      </c>
      <c r="B131" s="18">
        <v>0</v>
      </c>
      <c r="C131" s="18">
        <v>0</v>
      </c>
      <c r="D131" s="18">
        <v>2.7589075829369636E-3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2.7589075829369636E-3</v>
      </c>
    </row>
    <row r="132" spans="1:10" x14ac:dyDescent="0.45">
      <c r="A132" s="15" t="s">
        <v>1282</v>
      </c>
      <c r="B132" s="18">
        <v>0</v>
      </c>
      <c r="C132" s="18">
        <v>0</v>
      </c>
      <c r="D132" s="18">
        <v>0</v>
      </c>
      <c r="E132" s="18">
        <v>0</v>
      </c>
      <c r="F132" s="18">
        <v>2.715149913334399E-3</v>
      </c>
      <c r="G132" s="18">
        <v>0</v>
      </c>
      <c r="H132" s="18">
        <v>0</v>
      </c>
      <c r="I132" s="18">
        <v>0</v>
      </c>
      <c r="J132" s="18">
        <v>2.715149913334399E-3</v>
      </c>
    </row>
    <row r="133" spans="1:10" x14ac:dyDescent="0.45">
      <c r="A133" s="15" t="s">
        <v>790</v>
      </c>
      <c r="B133" s="18">
        <v>0</v>
      </c>
      <c r="C133" s="18">
        <v>0</v>
      </c>
      <c r="D133" s="18">
        <v>2.7138904436376852E-3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2.7138904436376852E-3</v>
      </c>
    </row>
    <row r="134" spans="1:10" x14ac:dyDescent="0.45">
      <c r="A134" s="15" t="s">
        <v>887</v>
      </c>
      <c r="B134" s="18">
        <v>0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2.7134457608115141E-3</v>
      </c>
      <c r="I134" s="18">
        <v>0</v>
      </c>
      <c r="J134" s="18">
        <v>2.7134457608115141E-3</v>
      </c>
    </row>
    <row r="135" spans="1:10" x14ac:dyDescent="0.45">
      <c r="A135" s="15" t="s">
        <v>1156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  <c r="G135" s="18">
        <v>2.7109285910468734E-3</v>
      </c>
      <c r="H135" s="18">
        <v>0</v>
      </c>
      <c r="I135" s="18">
        <v>0</v>
      </c>
      <c r="J135" s="18">
        <v>2.7109285910468734E-3</v>
      </c>
    </row>
    <row r="136" spans="1:10" x14ac:dyDescent="0.45">
      <c r="A136" s="15" t="s">
        <v>1007</v>
      </c>
      <c r="B136" s="18">
        <v>0</v>
      </c>
      <c r="C136" s="18">
        <v>0</v>
      </c>
      <c r="D136" s="18">
        <v>0</v>
      </c>
      <c r="E136" s="18">
        <v>2.7026382077483691E-3</v>
      </c>
      <c r="F136" s="18">
        <v>0</v>
      </c>
      <c r="G136" s="18">
        <v>0</v>
      </c>
      <c r="H136" s="18">
        <v>0</v>
      </c>
      <c r="I136" s="18">
        <v>0</v>
      </c>
      <c r="J136" s="18">
        <v>2.7026382077483691E-3</v>
      </c>
    </row>
    <row r="137" spans="1:10" x14ac:dyDescent="0.45">
      <c r="A137" s="15" t="s">
        <v>893</v>
      </c>
      <c r="B137" s="18">
        <v>0</v>
      </c>
      <c r="C137" s="18">
        <v>0</v>
      </c>
      <c r="D137" s="18">
        <v>0</v>
      </c>
      <c r="E137" s="18">
        <v>0</v>
      </c>
      <c r="F137" s="18">
        <v>0</v>
      </c>
      <c r="G137" s="18">
        <v>2.6776619671571148E-3</v>
      </c>
      <c r="H137" s="18">
        <v>0</v>
      </c>
      <c r="I137" s="18">
        <v>0</v>
      </c>
      <c r="J137" s="18">
        <v>2.6776619671571148E-3</v>
      </c>
    </row>
    <row r="138" spans="1:10" x14ac:dyDescent="0.45">
      <c r="A138" s="15" t="s">
        <v>1339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  <c r="G138" s="18">
        <v>2.6695441391356199E-3</v>
      </c>
      <c r="H138" s="18">
        <v>0</v>
      </c>
      <c r="I138" s="18">
        <v>0</v>
      </c>
      <c r="J138" s="18">
        <v>2.6695441391356199E-3</v>
      </c>
    </row>
    <row r="139" spans="1:10" x14ac:dyDescent="0.45">
      <c r="A139" s="15" t="s">
        <v>1220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2.6403954954212117E-3</v>
      </c>
      <c r="I139" s="18">
        <v>0</v>
      </c>
      <c r="J139" s="18">
        <v>2.6403954954212117E-3</v>
      </c>
    </row>
    <row r="140" spans="1:10" x14ac:dyDescent="0.45">
      <c r="A140" s="15" t="s">
        <v>941</v>
      </c>
      <c r="B140" s="18">
        <v>2.5973480252487924E-3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2.5973480252487924E-3</v>
      </c>
    </row>
    <row r="141" spans="1:10" x14ac:dyDescent="0.45">
      <c r="A141" s="15" t="s">
        <v>1070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2.5846962518056701E-3</v>
      </c>
      <c r="H141" s="18">
        <v>0</v>
      </c>
      <c r="I141" s="18">
        <v>0</v>
      </c>
      <c r="J141" s="18">
        <v>2.5846962518056701E-3</v>
      </c>
    </row>
    <row r="142" spans="1:10" x14ac:dyDescent="0.45">
      <c r="A142" s="15" t="s">
        <v>953</v>
      </c>
      <c r="B142" s="18">
        <v>0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2.5814182002227922E-3</v>
      </c>
      <c r="I142" s="18">
        <v>0</v>
      </c>
      <c r="J142" s="18">
        <v>2.5814182002227922E-3</v>
      </c>
    </row>
    <row r="143" spans="1:10" x14ac:dyDescent="0.45">
      <c r="A143" s="15" t="s">
        <v>922</v>
      </c>
      <c r="B143" s="18">
        <v>0</v>
      </c>
      <c r="C143" s="18">
        <v>0</v>
      </c>
      <c r="D143" s="18">
        <v>0</v>
      </c>
      <c r="E143" s="18">
        <v>2.568632670659589E-3</v>
      </c>
      <c r="F143" s="18">
        <v>0</v>
      </c>
      <c r="G143" s="18">
        <v>0</v>
      </c>
      <c r="H143" s="18">
        <v>0</v>
      </c>
      <c r="I143" s="18">
        <v>0</v>
      </c>
      <c r="J143" s="18">
        <v>2.568632670659589E-3</v>
      </c>
    </row>
    <row r="144" spans="1:10" x14ac:dyDescent="0.45">
      <c r="A144" s="15" t="s">
        <v>1063</v>
      </c>
      <c r="B144" s="18">
        <v>0</v>
      </c>
      <c r="C144" s="18">
        <v>0</v>
      </c>
      <c r="D144" s="18">
        <v>2.5397404922730574E-3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2.5397404922730574E-3</v>
      </c>
    </row>
    <row r="145" spans="1:10" x14ac:dyDescent="0.45">
      <c r="A145" s="15" t="s">
        <v>795</v>
      </c>
      <c r="B145" s="18">
        <v>0</v>
      </c>
      <c r="C145" s="18">
        <v>2.5347206025771881E-3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2.5347206025771881E-3</v>
      </c>
    </row>
    <row r="146" spans="1:10" x14ac:dyDescent="0.45">
      <c r="A146" s="15" t="s">
        <v>844</v>
      </c>
      <c r="B146" s="18">
        <v>0</v>
      </c>
      <c r="C146" s="18">
        <v>2.5324129114765695E-3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2.5324129114765695E-3</v>
      </c>
    </row>
    <row r="147" spans="1:10" x14ac:dyDescent="0.45">
      <c r="A147" s="15" t="s">
        <v>869</v>
      </c>
      <c r="B147" s="18">
        <v>0</v>
      </c>
      <c r="C147" s="18">
        <v>0</v>
      </c>
      <c r="D147" s="18">
        <v>0</v>
      </c>
      <c r="E147" s="18">
        <v>2.5044310780851162E-3</v>
      </c>
      <c r="F147" s="18">
        <v>0</v>
      </c>
      <c r="G147" s="18">
        <v>0</v>
      </c>
      <c r="H147" s="18">
        <v>0</v>
      </c>
      <c r="I147" s="18">
        <v>0</v>
      </c>
      <c r="J147" s="18">
        <v>2.5044310780851162E-3</v>
      </c>
    </row>
    <row r="148" spans="1:10" x14ac:dyDescent="0.45">
      <c r="A148" s="15" t="s">
        <v>768</v>
      </c>
      <c r="B148" s="18">
        <v>0</v>
      </c>
      <c r="C148" s="18">
        <v>2.5008889967890508E-3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2.5008889967890508E-3</v>
      </c>
    </row>
    <row r="149" spans="1:10" x14ac:dyDescent="0.45">
      <c r="A149" s="15" t="s">
        <v>1168</v>
      </c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2.4933099713229903E-3</v>
      </c>
      <c r="H149" s="18">
        <v>0</v>
      </c>
      <c r="I149" s="18">
        <v>0</v>
      </c>
      <c r="J149" s="18">
        <v>2.4933099713229903E-3</v>
      </c>
    </row>
    <row r="150" spans="1:10" x14ac:dyDescent="0.45">
      <c r="A150" s="15" t="s">
        <v>1208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2.4882913297003722E-3</v>
      </c>
      <c r="I150" s="18">
        <v>0</v>
      </c>
      <c r="J150" s="18">
        <v>2.4882913297003722E-3</v>
      </c>
    </row>
    <row r="151" spans="1:10" x14ac:dyDescent="0.45">
      <c r="A151" s="15" t="s">
        <v>1082</v>
      </c>
      <c r="B151" s="18">
        <v>0</v>
      </c>
      <c r="C151" s="18">
        <v>2.4850651921086622E-3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2.4850651921086622E-3</v>
      </c>
    </row>
    <row r="152" spans="1:10" x14ac:dyDescent="0.45">
      <c r="A152" s="15" t="s">
        <v>1022</v>
      </c>
      <c r="B152" s="18">
        <v>2.4490271831352742E-3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2.4490271831352742E-3</v>
      </c>
    </row>
    <row r="153" spans="1:10" x14ac:dyDescent="0.45">
      <c r="A153" s="15" t="s">
        <v>921</v>
      </c>
      <c r="B153" s="18">
        <v>2.4485008247119582E-3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2.4485008247119582E-3</v>
      </c>
    </row>
    <row r="154" spans="1:10" x14ac:dyDescent="0.45">
      <c r="A154" s="15" t="s">
        <v>1086</v>
      </c>
      <c r="B154" s="18">
        <v>2.4295889674708997E-3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2.4295889674708997E-3</v>
      </c>
    </row>
    <row r="155" spans="1:10" x14ac:dyDescent="0.45">
      <c r="A155" s="15" t="s">
        <v>918</v>
      </c>
      <c r="B155" s="18">
        <v>0</v>
      </c>
      <c r="C155" s="18">
        <v>0</v>
      </c>
      <c r="D155" s="18">
        <v>0</v>
      </c>
      <c r="E155" s="18">
        <v>2.4164160694600287E-3</v>
      </c>
      <c r="F155" s="18">
        <v>0</v>
      </c>
      <c r="G155" s="18">
        <v>0</v>
      </c>
      <c r="H155" s="18">
        <v>0</v>
      </c>
      <c r="I155" s="18">
        <v>0</v>
      </c>
      <c r="J155" s="18">
        <v>2.4164160694600287E-3</v>
      </c>
    </row>
    <row r="156" spans="1:10" x14ac:dyDescent="0.45">
      <c r="A156" s="15" t="s">
        <v>798</v>
      </c>
      <c r="B156" s="18">
        <v>0</v>
      </c>
      <c r="C156" s="18">
        <v>0</v>
      </c>
      <c r="D156" s="18">
        <v>2.4068668075610854E-3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2.4068668075610854E-3</v>
      </c>
    </row>
    <row r="157" spans="1:10" x14ac:dyDescent="0.45">
      <c r="A157" s="15" t="s">
        <v>765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2.392783739321992E-3</v>
      </c>
      <c r="H157" s="18">
        <v>0</v>
      </c>
      <c r="I157" s="18">
        <v>0</v>
      </c>
      <c r="J157" s="18">
        <v>2.392783739321992E-3</v>
      </c>
    </row>
    <row r="158" spans="1:10" x14ac:dyDescent="0.45">
      <c r="A158" s="15" t="s">
        <v>939</v>
      </c>
      <c r="B158" s="18">
        <v>0</v>
      </c>
      <c r="C158" s="18">
        <v>0</v>
      </c>
      <c r="D158" s="18">
        <v>0</v>
      </c>
      <c r="E158" s="18">
        <v>2.3910766093574948E-3</v>
      </c>
      <c r="F158" s="18">
        <v>0</v>
      </c>
      <c r="G158" s="18">
        <v>0</v>
      </c>
      <c r="H158" s="18">
        <v>0</v>
      </c>
      <c r="I158" s="18">
        <v>0</v>
      </c>
      <c r="J158" s="18">
        <v>2.3910766093574948E-3</v>
      </c>
    </row>
    <row r="159" spans="1:10" x14ac:dyDescent="0.45">
      <c r="A159" s="15" t="s">
        <v>1073</v>
      </c>
      <c r="B159" s="18">
        <v>0</v>
      </c>
      <c r="C159" s="18">
        <v>0</v>
      </c>
      <c r="D159" s="18">
        <v>0</v>
      </c>
      <c r="E159" s="18">
        <v>2.3887805388802521E-3</v>
      </c>
      <c r="F159" s="18">
        <v>0</v>
      </c>
      <c r="G159" s="18">
        <v>0</v>
      </c>
      <c r="H159" s="18">
        <v>0</v>
      </c>
      <c r="I159" s="18">
        <v>0</v>
      </c>
      <c r="J159" s="18">
        <v>2.3887805388802521E-3</v>
      </c>
    </row>
    <row r="160" spans="1:10" x14ac:dyDescent="0.45">
      <c r="A160" s="15" t="s">
        <v>1058</v>
      </c>
      <c r="B160" s="18">
        <v>0</v>
      </c>
      <c r="C160" s="18">
        <v>2.3804388985675549E-3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2.3804388985675549E-3</v>
      </c>
    </row>
    <row r="161" spans="1:10" x14ac:dyDescent="0.45">
      <c r="A161" s="15" t="s">
        <v>750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2.3743051620560406E-3</v>
      </c>
      <c r="I161" s="18">
        <v>0</v>
      </c>
      <c r="J161" s="18">
        <v>2.3743051620560406E-3</v>
      </c>
    </row>
    <row r="162" spans="1:10" x14ac:dyDescent="0.45">
      <c r="A162" s="15" t="s">
        <v>878</v>
      </c>
      <c r="B162" s="18">
        <v>0</v>
      </c>
      <c r="C162" s="18">
        <v>0</v>
      </c>
      <c r="D162" s="18">
        <v>0</v>
      </c>
      <c r="E162" s="18">
        <v>0</v>
      </c>
      <c r="F162" s="18">
        <v>2.3490245636134379E-3</v>
      </c>
      <c r="G162" s="18">
        <v>0</v>
      </c>
      <c r="H162" s="18">
        <v>0</v>
      </c>
      <c r="I162" s="18">
        <v>0</v>
      </c>
      <c r="J162" s="18">
        <v>2.3490245636134379E-3</v>
      </c>
    </row>
    <row r="163" spans="1:10" x14ac:dyDescent="0.45">
      <c r="A163" s="15" t="s">
        <v>1034</v>
      </c>
      <c r="B163" s="18">
        <v>0</v>
      </c>
      <c r="C163" s="18">
        <v>2.3403454256275481E-3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2.3403454256275481E-3</v>
      </c>
    </row>
    <row r="164" spans="1:10" x14ac:dyDescent="0.45">
      <c r="A164" s="15" t="s">
        <v>938</v>
      </c>
      <c r="B164" s="18">
        <v>0</v>
      </c>
      <c r="C164" s="18">
        <v>0</v>
      </c>
      <c r="D164" s="18">
        <v>0</v>
      </c>
      <c r="E164" s="18">
        <v>2.3381959506867016E-3</v>
      </c>
      <c r="F164" s="18">
        <v>0</v>
      </c>
      <c r="G164" s="18">
        <v>0</v>
      </c>
      <c r="H164" s="18">
        <v>0</v>
      </c>
      <c r="I164" s="18">
        <v>0</v>
      </c>
      <c r="J164" s="18">
        <v>2.3381959506867016E-3</v>
      </c>
    </row>
    <row r="165" spans="1:10" x14ac:dyDescent="0.45">
      <c r="A165" s="15" t="s">
        <v>833</v>
      </c>
      <c r="B165" s="18">
        <v>0</v>
      </c>
      <c r="C165" s="18">
        <v>0</v>
      </c>
      <c r="D165" s="18">
        <v>2.3335410839862595E-3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2.3335410839862595E-3</v>
      </c>
    </row>
    <row r="166" spans="1:10" x14ac:dyDescent="0.45">
      <c r="A166" s="15" t="s">
        <v>987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2.3318029681327875E-3</v>
      </c>
      <c r="I166" s="18">
        <v>0</v>
      </c>
      <c r="J166" s="18">
        <v>2.3318029681327875E-3</v>
      </c>
    </row>
    <row r="167" spans="1:10" x14ac:dyDescent="0.45">
      <c r="A167" s="15" t="s">
        <v>936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G167" s="18">
        <v>2.3148867370141727E-3</v>
      </c>
      <c r="H167" s="18">
        <v>0</v>
      </c>
      <c r="I167" s="18">
        <v>0</v>
      </c>
      <c r="J167" s="18">
        <v>2.3148867370141727E-3</v>
      </c>
    </row>
    <row r="168" spans="1:10" x14ac:dyDescent="0.45">
      <c r="A168" s="15" t="s">
        <v>1201</v>
      </c>
      <c r="B168" s="18">
        <v>0</v>
      </c>
      <c r="C168" s="18">
        <v>2.3121462829189354E-3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2.3121462829189354E-3</v>
      </c>
    </row>
    <row r="169" spans="1:10" x14ac:dyDescent="0.45">
      <c r="A169" s="15" t="s">
        <v>1230</v>
      </c>
      <c r="B169" s="18">
        <v>0</v>
      </c>
      <c r="C169" s="18">
        <v>0</v>
      </c>
      <c r="D169" s="18">
        <v>0</v>
      </c>
      <c r="E169" s="18">
        <v>0</v>
      </c>
      <c r="F169" s="18">
        <v>2.3103641386280158E-3</v>
      </c>
      <c r="G169" s="18">
        <v>0</v>
      </c>
      <c r="H169" s="18">
        <v>0</v>
      </c>
      <c r="I169" s="18">
        <v>0</v>
      </c>
      <c r="J169" s="18">
        <v>2.3103641386280158E-3</v>
      </c>
    </row>
    <row r="170" spans="1:10" x14ac:dyDescent="0.45">
      <c r="A170" s="15" t="s">
        <v>1350</v>
      </c>
      <c r="B170" s="18">
        <v>0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2.3034480980908267E-3</v>
      </c>
      <c r="I170" s="18">
        <v>0</v>
      </c>
      <c r="J170" s="18">
        <v>2.3034480980908267E-3</v>
      </c>
    </row>
    <row r="171" spans="1:10" x14ac:dyDescent="0.45">
      <c r="A171" s="15" t="s">
        <v>1319</v>
      </c>
      <c r="B171" s="18">
        <v>0</v>
      </c>
      <c r="C171" s="18">
        <v>2.2995251879215236E-3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2.2995251879215236E-3</v>
      </c>
    </row>
    <row r="172" spans="1:10" x14ac:dyDescent="0.45">
      <c r="A172" s="15" t="s">
        <v>1300</v>
      </c>
      <c r="B172" s="18">
        <v>0</v>
      </c>
      <c r="C172" s="18">
        <v>0</v>
      </c>
      <c r="D172" s="18">
        <v>0</v>
      </c>
      <c r="E172" s="18">
        <v>2.2947968468560089E-3</v>
      </c>
      <c r="F172" s="18">
        <v>0</v>
      </c>
      <c r="G172" s="18">
        <v>0</v>
      </c>
      <c r="H172" s="18">
        <v>0</v>
      </c>
      <c r="I172" s="18">
        <v>0</v>
      </c>
      <c r="J172" s="18">
        <v>2.2947968468560089E-3</v>
      </c>
    </row>
    <row r="173" spans="1:10" x14ac:dyDescent="0.45">
      <c r="A173" s="15" t="s">
        <v>758</v>
      </c>
      <c r="B173" s="18">
        <v>0</v>
      </c>
      <c r="C173" s="18">
        <v>2.2778645801921453E-3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2.2778645801921453E-3</v>
      </c>
    </row>
    <row r="174" spans="1:10" x14ac:dyDescent="0.45">
      <c r="A174" s="15" t="s">
        <v>849</v>
      </c>
      <c r="B174" s="18">
        <v>0</v>
      </c>
      <c r="C174" s="18">
        <v>0</v>
      </c>
      <c r="D174" s="18">
        <v>0</v>
      </c>
      <c r="E174" s="18">
        <v>2.2438789380086134E-3</v>
      </c>
      <c r="F174" s="18">
        <v>0</v>
      </c>
      <c r="G174" s="18">
        <v>0</v>
      </c>
      <c r="H174" s="18">
        <v>0</v>
      </c>
      <c r="I174" s="18">
        <v>0</v>
      </c>
      <c r="J174" s="18">
        <v>2.2438789380086134E-3</v>
      </c>
    </row>
    <row r="175" spans="1:10" x14ac:dyDescent="0.45">
      <c r="A175" s="15" t="s">
        <v>926</v>
      </c>
      <c r="B175" s="18">
        <v>0</v>
      </c>
      <c r="C175" s="18">
        <v>0</v>
      </c>
      <c r="D175" s="18">
        <v>2.2302991104723958E-3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2.2302991104723958E-3</v>
      </c>
    </row>
    <row r="176" spans="1:10" x14ac:dyDescent="0.45">
      <c r="A176" s="15" t="s">
        <v>1192</v>
      </c>
      <c r="B176" s="18">
        <v>0</v>
      </c>
      <c r="C176" s="18">
        <v>2.2254472824408274E-3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2.2254472824408274E-3</v>
      </c>
    </row>
    <row r="177" spans="1:10" x14ac:dyDescent="0.45">
      <c r="A177" s="15" t="s">
        <v>1171</v>
      </c>
      <c r="B177" s="18">
        <v>2.2215382950593423E-3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2.2215382950593423E-3</v>
      </c>
    </row>
    <row r="178" spans="1:10" x14ac:dyDescent="0.45">
      <c r="A178" s="15" t="s">
        <v>947</v>
      </c>
      <c r="B178" s="18">
        <v>0</v>
      </c>
      <c r="C178" s="18">
        <v>0</v>
      </c>
      <c r="D178" s="18">
        <v>0</v>
      </c>
      <c r="E178" s="18">
        <v>0</v>
      </c>
      <c r="F178" s="18">
        <v>0</v>
      </c>
      <c r="G178" s="18">
        <v>2.2164326067325539E-3</v>
      </c>
      <c r="H178" s="18">
        <v>0</v>
      </c>
      <c r="I178" s="18">
        <v>0</v>
      </c>
      <c r="J178" s="18">
        <v>2.2164326067325539E-3</v>
      </c>
    </row>
    <row r="179" spans="1:10" x14ac:dyDescent="0.45">
      <c r="A179" s="15" t="s">
        <v>989</v>
      </c>
      <c r="B179" s="18">
        <v>0</v>
      </c>
      <c r="C179" s="18">
        <v>0</v>
      </c>
      <c r="D179" s="18">
        <v>2.2107737840531719E-3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2.2107737840531719E-3</v>
      </c>
    </row>
    <row r="180" spans="1:10" x14ac:dyDescent="0.45">
      <c r="A180" s="15" t="s">
        <v>891</v>
      </c>
      <c r="B180" s="18">
        <v>0</v>
      </c>
      <c r="C180" s="18">
        <v>2.2095583674991669E-3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2.2095583674991669E-3</v>
      </c>
    </row>
    <row r="181" spans="1:10" x14ac:dyDescent="0.45">
      <c r="A181" s="15" t="s">
        <v>754</v>
      </c>
      <c r="B181" s="18">
        <v>0</v>
      </c>
      <c r="C181" s="18">
        <v>0</v>
      </c>
      <c r="D181" s="18">
        <v>2.1761045344518204E-3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2.1761045344518204E-3</v>
      </c>
    </row>
    <row r="182" spans="1:10" x14ac:dyDescent="0.45">
      <c r="A182" s="15" t="s">
        <v>1185</v>
      </c>
      <c r="B182" s="18">
        <v>0</v>
      </c>
      <c r="C182" s="18">
        <v>2.1680610866550154E-3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2.1680610866550154E-3</v>
      </c>
    </row>
    <row r="183" spans="1:10" x14ac:dyDescent="0.45">
      <c r="A183" s="15" t="s">
        <v>841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2.1674314977507079E-3</v>
      </c>
      <c r="H183" s="18">
        <v>0</v>
      </c>
      <c r="I183" s="18">
        <v>0</v>
      </c>
      <c r="J183" s="18">
        <v>2.1674314977507079E-3</v>
      </c>
    </row>
    <row r="184" spans="1:10" x14ac:dyDescent="0.45">
      <c r="A184" s="15" t="s">
        <v>1142</v>
      </c>
      <c r="B184" s="18">
        <v>2.1656962330675062E-3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2.1656962330675062E-3</v>
      </c>
    </row>
    <row r="185" spans="1:10" x14ac:dyDescent="0.45">
      <c r="A185" s="15" t="s">
        <v>1026</v>
      </c>
      <c r="B185" s="18">
        <v>2.1388895649527128E-3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2.1388895649527128E-3</v>
      </c>
    </row>
    <row r="186" spans="1:10" x14ac:dyDescent="0.45">
      <c r="A186" s="15" t="s">
        <v>1089</v>
      </c>
      <c r="B186" s="18">
        <v>2.1223667056605028E-3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8">
        <v>2.1223667056605028E-3</v>
      </c>
    </row>
    <row r="187" spans="1:10" x14ac:dyDescent="0.45">
      <c r="A187" s="15" t="s">
        <v>1187</v>
      </c>
      <c r="B187" s="18">
        <v>0</v>
      </c>
      <c r="C187" s="18">
        <v>0</v>
      </c>
      <c r="D187" s="18">
        <v>0</v>
      </c>
      <c r="E187" s="18">
        <v>2.1166369212327237E-3</v>
      </c>
      <c r="F187" s="18">
        <v>0</v>
      </c>
      <c r="G187" s="18">
        <v>0</v>
      </c>
      <c r="H187" s="18">
        <v>0</v>
      </c>
      <c r="I187" s="18">
        <v>0</v>
      </c>
      <c r="J187" s="18">
        <v>2.1166369212327237E-3</v>
      </c>
    </row>
    <row r="188" spans="1:10" x14ac:dyDescent="0.45">
      <c r="A188" s="15" t="s">
        <v>855</v>
      </c>
      <c r="B188" s="18">
        <v>0</v>
      </c>
      <c r="C188" s="18">
        <v>0</v>
      </c>
      <c r="D188" s="18">
        <v>0</v>
      </c>
      <c r="E188" s="18">
        <v>2.1029984525539167E-3</v>
      </c>
      <c r="F188" s="18">
        <v>0</v>
      </c>
      <c r="G188" s="18">
        <v>0</v>
      </c>
      <c r="H188" s="18">
        <v>0</v>
      </c>
      <c r="I188" s="18">
        <v>0</v>
      </c>
      <c r="J188" s="18">
        <v>2.1029984525539167E-3</v>
      </c>
    </row>
    <row r="189" spans="1:10" x14ac:dyDescent="0.45">
      <c r="A189" s="15" t="s">
        <v>994</v>
      </c>
      <c r="B189" s="18">
        <v>0</v>
      </c>
      <c r="C189" s="18">
        <v>2.0937870323718194E-3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2.0937870323718194E-3</v>
      </c>
    </row>
    <row r="190" spans="1:10" x14ac:dyDescent="0.45">
      <c r="A190" s="15" t="s">
        <v>1317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2.0749046329535128E-3</v>
      </c>
      <c r="H190" s="18">
        <v>0</v>
      </c>
      <c r="I190" s="18">
        <v>0</v>
      </c>
      <c r="J190" s="18">
        <v>2.0749046329535128E-3</v>
      </c>
    </row>
    <row r="191" spans="1:10" x14ac:dyDescent="0.45">
      <c r="A191" s="15" t="s">
        <v>1212</v>
      </c>
      <c r="B191" s="18">
        <v>2.069830646968307E-3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2.069830646968307E-3</v>
      </c>
    </row>
    <row r="192" spans="1:10" x14ac:dyDescent="0.45">
      <c r="A192" s="15" t="s">
        <v>1255</v>
      </c>
      <c r="B192" s="18">
        <v>2.0612112737569362E-3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2.0612112737569362E-3</v>
      </c>
    </row>
    <row r="193" spans="1:10" x14ac:dyDescent="0.45">
      <c r="A193" s="15" t="s">
        <v>1139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2.0548504739247046E-3</v>
      </c>
      <c r="I193" s="18">
        <v>0</v>
      </c>
      <c r="J193" s="18">
        <v>2.0548504739247046E-3</v>
      </c>
    </row>
    <row r="194" spans="1:10" x14ac:dyDescent="0.45">
      <c r="A194" s="15" t="s">
        <v>1054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2.0478104074807399E-3</v>
      </c>
      <c r="H194" s="18">
        <v>0</v>
      </c>
      <c r="I194" s="18">
        <v>0</v>
      </c>
      <c r="J194" s="18">
        <v>2.0478104074807399E-3</v>
      </c>
    </row>
    <row r="195" spans="1:10" x14ac:dyDescent="0.45">
      <c r="A195" s="15" t="s">
        <v>1249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2.0314828121766357E-3</v>
      </c>
      <c r="I195" s="18">
        <v>0</v>
      </c>
      <c r="J195" s="18">
        <v>2.0314828121766357E-3</v>
      </c>
    </row>
    <row r="196" spans="1:10" x14ac:dyDescent="0.45">
      <c r="A196" s="15" t="s">
        <v>1118</v>
      </c>
      <c r="B196" s="18">
        <v>0</v>
      </c>
      <c r="C196" s="18">
        <v>0</v>
      </c>
      <c r="D196" s="18">
        <v>2.0189607276354131E-3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2.0189607276354131E-3</v>
      </c>
    </row>
    <row r="197" spans="1:10" x14ac:dyDescent="0.45">
      <c r="A197" s="15" t="s">
        <v>894</v>
      </c>
      <c r="B197" s="18">
        <v>0</v>
      </c>
      <c r="C197" s="18">
        <v>0</v>
      </c>
      <c r="D197" s="18">
        <v>0</v>
      </c>
      <c r="E197" s="18">
        <v>2.0171271579685129E-3</v>
      </c>
      <c r="F197" s="18">
        <v>0</v>
      </c>
      <c r="G197" s="18">
        <v>0</v>
      </c>
      <c r="H197" s="18">
        <v>0</v>
      </c>
      <c r="I197" s="18">
        <v>0</v>
      </c>
      <c r="J197" s="18">
        <v>2.0171271579685129E-3</v>
      </c>
    </row>
    <row r="198" spans="1:10" x14ac:dyDescent="0.45">
      <c r="A198" s="15" t="s">
        <v>1217</v>
      </c>
      <c r="B198" s="18">
        <v>0</v>
      </c>
      <c r="C198" s="18">
        <v>0</v>
      </c>
      <c r="D198" s="18">
        <v>0</v>
      </c>
      <c r="E198" s="18">
        <v>0</v>
      </c>
      <c r="F198" s="18">
        <v>2.0046702294390473E-3</v>
      </c>
      <c r="G198" s="18">
        <v>0</v>
      </c>
      <c r="H198" s="18">
        <v>0</v>
      </c>
      <c r="I198" s="18">
        <v>0</v>
      </c>
      <c r="J198" s="18">
        <v>2.0046702294390473E-3</v>
      </c>
    </row>
    <row r="199" spans="1:10" x14ac:dyDescent="0.45">
      <c r="A199" s="15" t="s">
        <v>812</v>
      </c>
      <c r="B199" s="18">
        <v>0</v>
      </c>
      <c r="C199" s="18">
        <v>1.993617328416057E-3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1.993617328416057E-3</v>
      </c>
    </row>
    <row r="200" spans="1:10" x14ac:dyDescent="0.45">
      <c r="A200" s="15" t="s">
        <v>930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1.9837181677172596E-3</v>
      </c>
      <c r="H200" s="18">
        <v>0</v>
      </c>
      <c r="I200" s="18">
        <v>0</v>
      </c>
      <c r="J200" s="18">
        <v>1.9837181677172596E-3</v>
      </c>
    </row>
    <row r="201" spans="1:10" x14ac:dyDescent="0.45">
      <c r="A201" s="15" t="s">
        <v>1177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1.9823173061443962E-3</v>
      </c>
      <c r="I201" s="18">
        <v>0</v>
      </c>
      <c r="J201" s="18">
        <v>1.9823173061443962E-3</v>
      </c>
    </row>
    <row r="202" spans="1:10" x14ac:dyDescent="0.45">
      <c r="A202" s="15" t="s">
        <v>747</v>
      </c>
      <c r="B202" s="18">
        <v>0</v>
      </c>
      <c r="C202" s="18">
        <v>0</v>
      </c>
      <c r="D202" s="18">
        <v>0</v>
      </c>
      <c r="E202" s="18">
        <v>0</v>
      </c>
      <c r="F202" s="18">
        <v>0</v>
      </c>
      <c r="G202" s="18">
        <v>0</v>
      </c>
      <c r="H202" s="18">
        <v>1.9750621941173052E-3</v>
      </c>
      <c r="I202" s="18">
        <v>0</v>
      </c>
      <c r="J202" s="18">
        <v>1.9750621941173052E-3</v>
      </c>
    </row>
    <row r="203" spans="1:10" x14ac:dyDescent="0.45">
      <c r="A203" s="15" t="s">
        <v>1099</v>
      </c>
      <c r="B203" s="18">
        <v>0</v>
      </c>
      <c r="C203" s="18">
        <v>1.9750204257538528E-3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1.9750204257538528E-3</v>
      </c>
    </row>
    <row r="204" spans="1:10" x14ac:dyDescent="0.45">
      <c r="A204" s="15" t="s">
        <v>959</v>
      </c>
      <c r="B204" s="18">
        <v>0</v>
      </c>
      <c r="C204" s="18">
        <v>0</v>
      </c>
      <c r="D204" s="18">
        <v>0</v>
      </c>
      <c r="E204" s="18">
        <v>0</v>
      </c>
      <c r="F204" s="18">
        <v>0</v>
      </c>
      <c r="G204" s="18">
        <v>1.9740098871950254E-3</v>
      </c>
      <c r="H204" s="18">
        <v>0</v>
      </c>
      <c r="I204" s="18">
        <v>0</v>
      </c>
      <c r="J204" s="18">
        <v>1.9740098871950254E-3</v>
      </c>
    </row>
    <row r="205" spans="1:10" x14ac:dyDescent="0.45">
      <c r="A205" s="15" t="s">
        <v>885</v>
      </c>
      <c r="B205" s="18">
        <v>0</v>
      </c>
      <c r="C205" s="18">
        <v>0</v>
      </c>
      <c r="D205" s="18">
        <v>1.9739129876662491E-3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1.9739129876662491E-3</v>
      </c>
    </row>
    <row r="206" spans="1:10" x14ac:dyDescent="0.45">
      <c r="A206" s="15" t="s">
        <v>1140</v>
      </c>
      <c r="B206" s="18">
        <v>0</v>
      </c>
      <c r="C206" s="18">
        <v>0</v>
      </c>
      <c r="D206" s="18">
        <v>0</v>
      </c>
      <c r="E206" s="18">
        <v>0</v>
      </c>
      <c r="F206" s="18">
        <v>0</v>
      </c>
      <c r="G206" s="18">
        <v>1.9710240695847781E-3</v>
      </c>
      <c r="H206" s="18">
        <v>0</v>
      </c>
      <c r="I206" s="18">
        <v>0</v>
      </c>
      <c r="J206" s="18">
        <v>1.9710240695847781E-3</v>
      </c>
    </row>
    <row r="207" spans="1:10" x14ac:dyDescent="0.45">
      <c r="A207" s="15" t="s">
        <v>818</v>
      </c>
      <c r="B207" s="18">
        <v>0</v>
      </c>
      <c r="C207" s="18">
        <v>0</v>
      </c>
      <c r="D207" s="18">
        <v>0</v>
      </c>
      <c r="E207" s="18">
        <v>0</v>
      </c>
      <c r="F207" s="18">
        <v>1.9272495034128247E-3</v>
      </c>
      <c r="G207" s="18">
        <v>0</v>
      </c>
      <c r="H207" s="18">
        <v>0</v>
      </c>
      <c r="I207" s="18">
        <v>0</v>
      </c>
      <c r="J207" s="18">
        <v>1.9272495034128247E-3</v>
      </c>
    </row>
    <row r="208" spans="1:10" x14ac:dyDescent="0.45">
      <c r="A208" s="15" t="s">
        <v>1189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G208" s="18">
        <v>1.903035374412864E-3</v>
      </c>
      <c r="H208" s="18">
        <v>0</v>
      </c>
      <c r="I208" s="18">
        <v>0</v>
      </c>
      <c r="J208" s="18">
        <v>1.903035374412864E-3</v>
      </c>
    </row>
    <row r="209" spans="1:10" x14ac:dyDescent="0.45">
      <c r="A209" s="15" t="s">
        <v>1173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1.8915345258090415E-3</v>
      </c>
      <c r="I209" s="18">
        <v>0</v>
      </c>
      <c r="J209" s="18">
        <v>1.8915345258090415E-3</v>
      </c>
    </row>
    <row r="210" spans="1:10" x14ac:dyDescent="0.45">
      <c r="A210" s="15" t="s">
        <v>1029</v>
      </c>
      <c r="B210" s="18">
        <v>0</v>
      </c>
      <c r="C210" s="18">
        <v>0</v>
      </c>
      <c r="D210" s="18">
        <v>1.8717425115734091E-3</v>
      </c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1.8717425115734091E-3</v>
      </c>
    </row>
    <row r="211" spans="1:10" x14ac:dyDescent="0.45">
      <c r="A211" s="15" t="s">
        <v>1270</v>
      </c>
      <c r="B211" s="18">
        <v>1.8694354490844641E-3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1.8694354490844641E-3</v>
      </c>
    </row>
    <row r="212" spans="1:10" x14ac:dyDescent="0.45">
      <c r="A212" s="15" t="s">
        <v>1233</v>
      </c>
      <c r="B212" s="18">
        <v>0</v>
      </c>
      <c r="C212" s="18">
        <v>0</v>
      </c>
      <c r="D212" s="18">
        <v>0</v>
      </c>
      <c r="E212" s="18">
        <v>1.8604687143951777E-3</v>
      </c>
      <c r="F212" s="18">
        <v>0</v>
      </c>
      <c r="G212" s="18">
        <v>0</v>
      </c>
      <c r="H212" s="18">
        <v>0</v>
      </c>
      <c r="I212" s="18">
        <v>0</v>
      </c>
      <c r="J212" s="18">
        <v>1.8604687143951777E-3</v>
      </c>
    </row>
    <row r="213" spans="1:10" x14ac:dyDescent="0.45">
      <c r="A213" s="15" t="s">
        <v>757</v>
      </c>
      <c r="B213" s="18">
        <v>0</v>
      </c>
      <c r="C213" s="18">
        <v>0</v>
      </c>
      <c r="D213" s="18">
        <v>1.8506277172038988E-3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1.8506277172038988E-3</v>
      </c>
    </row>
    <row r="214" spans="1:10" x14ac:dyDescent="0.45">
      <c r="A214" s="15" t="s">
        <v>806</v>
      </c>
      <c r="B214" s="18">
        <v>0</v>
      </c>
      <c r="C214" s="18">
        <v>0</v>
      </c>
      <c r="D214" s="18">
        <v>1.8457240200166387E-3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1.8457240200166387E-3</v>
      </c>
    </row>
    <row r="215" spans="1:10" x14ac:dyDescent="0.45">
      <c r="A215" s="15" t="s">
        <v>1285</v>
      </c>
      <c r="B215" s="18">
        <v>1.8449715297524946E-3</v>
      </c>
      <c r="C215" s="18">
        <v>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1.8449715297524946E-3</v>
      </c>
    </row>
    <row r="216" spans="1:10" x14ac:dyDescent="0.45">
      <c r="A216" s="15" t="s">
        <v>763</v>
      </c>
      <c r="B216" s="18">
        <v>0</v>
      </c>
      <c r="C216" s="18">
        <v>0</v>
      </c>
      <c r="D216" s="18">
        <v>0</v>
      </c>
      <c r="E216" s="18">
        <v>0</v>
      </c>
      <c r="F216" s="18">
        <v>1.8377177463195092E-3</v>
      </c>
      <c r="G216" s="18">
        <v>0</v>
      </c>
      <c r="H216" s="18">
        <v>0</v>
      </c>
      <c r="I216" s="18">
        <v>0</v>
      </c>
      <c r="J216" s="18">
        <v>1.8377177463195092E-3</v>
      </c>
    </row>
    <row r="217" spans="1:10" x14ac:dyDescent="0.45">
      <c r="A217" s="15" t="s">
        <v>827</v>
      </c>
      <c r="B217" s="18">
        <v>1.8372794475161173E-3</v>
      </c>
      <c r="C217" s="18">
        <v>0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1.8372794475161173E-3</v>
      </c>
    </row>
    <row r="218" spans="1:10" x14ac:dyDescent="0.45">
      <c r="A218" s="15" t="s">
        <v>1076</v>
      </c>
      <c r="B218" s="18">
        <v>0</v>
      </c>
      <c r="C218" s="18">
        <v>0</v>
      </c>
      <c r="D218" s="18">
        <v>0</v>
      </c>
      <c r="E218" s="18">
        <v>0</v>
      </c>
      <c r="F218" s="18">
        <v>0</v>
      </c>
      <c r="G218" s="18">
        <v>0</v>
      </c>
      <c r="H218" s="18">
        <v>1.8349092411217771E-3</v>
      </c>
      <c r="I218" s="18">
        <v>0</v>
      </c>
      <c r="J218" s="18">
        <v>1.8349092411217771E-3</v>
      </c>
    </row>
    <row r="219" spans="1:10" x14ac:dyDescent="0.45">
      <c r="A219" s="15" t="s">
        <v>1021</v>
      </c>
      <c r="B219" s="18">
        <v>0</v>
      </c>
      <c r="C219" s="18">
        <v>0</v>
      </c>
      <c r="D219" s="18">
        <v>0</v>
      </c>
      <c r="E219" s="18">
        <v>0</v>
      </c>
      <c r="F219" s="18">
        <v>1.8326535024427346E-3</v>
      </c>
      <c r="G219" s="18">
        <v>0</v>
      </c>
      <c r="H219" s="18">
        <v>0</v>
      </c>
      <c r="I219" s="18">
        <v>0</v>
      </c>
      <c r="J219" s="18">
        <v>1.8326535024427346E-3</v>
      </c>
    </row>
    <row r="220" spans="1:10" x14ac:dyDescent="0.45">
      <c r="A220" s="15" t="s">
        <v>755</v>
      </c>
      <c r="B220" s="18">
        <v>0</v>
      </c>
      <c r="C220" s="18">
        <v>0</v>
      </c>
      <c r="D220" s="18">
        <v>0</v>
      </c>
      <c r="E220" s="18">
        <v>0</v>
      </c>
      <c r="F220" s="18">
        <v>1.8211973667036261E-3</v>
      </c>
      <c r="G220" s="18">
        <v>0</v>
      </c>
      <c r="H220" s="18">
        <v>0</v>
      </c>
      <c r="I220" s="18">
        <v>0</v>
      </c>
      <c r="J220" s="18">
        <v>1.8211973667036261E-3</v>
      </c>
    </row>
    <row r="221" spans="1:10" x14ac:dyDescent="0.45">
      <c r="A221" s="15" t="s">
        <v>1127</v>
      </c>
      <c r="B221" s="18">
        <v>0</v>
      </c>
      <c r="C221" s="18">
        <v>1.8118005756184565E-3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1.8118005756184565E-3</v>
      </c>
    </row>
    <row r="222" spans="1:10" x14ac:dyDescent="0.45">
      <c r="A222" s="15" t="s">
        <v>1120</v>
      </c>
      <c r="B222" s="18">
        <v>0</v>
      </c>
      <c r="C222" s="18">
        <v>0</v>
      </c>
      <c r="D222" s="18">
        <v>1.809281896087786E-3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1.809281896087786E-3</v>
      </c>
    </row>
    <row r="223" spans="1:10" x14ac:dyDescent="0.45">
      <c r="A223" s="15" t="s">
        <v>1160</v>
      </c>
      <c r="B223" s="18">
        <v>0</v>
      </c>
      <c r="C223" s="18">
        <v>0</v>
      </c>
      <c r="D223" s="18">
        <v>0</v>
      </c>
      <c r="E223" s="18">
        <v>0</v>
      </c>
      <c r="F223" s="18">
        <v>0</v>
      </c>
      <c r="G223" s="18">
        <v>1.7968746004302697E-3</v>
      </c>
      <c r="H223" s="18">
        <v>0</v>
      </c>
      <c r="I223" s="18">
        <v>0</v>
      </c>
      <c r="J223" s="18">
        <v>1.7968746004302697E-3</v>
      </c>
    </row>
    <row r="224" spans="1:10" x14ac:dyDescent="0.45">
      <c r="A224" s="15" t="s">
        <v>1184</v>
      </c>
      <c r="B224" s="18">
        <v>1.7960247137870739E-3</v>
      </c>
      <c r="C224" s="18">
        <v>0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1.7960247137870739E-3</v>
      </c>
    </row>
    <row r="225" spans="1:10" x14ac:dyDescent="0.45">
      <c r="A225" s="15" t="s">
        <v>1273</v>
      </c>
      <c r="B225" s="18">
        <v>0</v>
      </c>
      <c r="C225" s="18">
        <v>0</v>
      </c>
      <c r="D225" s="18">
        <v>1.7917601280102214E-3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1.7917601280102214E-3</v>
      </c>
    </row>
    <row r="226" spans="1:10" x14ac:dyDescent="0.45">
      <c r="A226" s="15" t="s">
        <v>1100</v>
      </c>
      <c r="B226" s="18">
        <v>0</v>
      </c>
      <c r="C226" s="18">
        <v>0</v>
      </c>
      <c r="D226" s="18">
        <v>0</v>
      </c>
      <c r="E226" s="18">
        <v>0</v>
      </c>
      <c r="F226" s="18">
        <v>0</v>
      </c>
      <c r="G226" s="18">
        <v>1.7885996771359039E-3</v>
      </c>
      <c r="H226" s="18">
        <v>0</v>
      </c>
      <c r="I226" s="18">
        <v>0</v>
      </c>
      <c r="J226" s="18">
        <v>1.7885996771359039E-3</v>
      </c>
    </row>
    <row r="227" spans="1:10" x14ac:dyDescent="0.45">
      <c r="A227" s="15" t="s">
        <v>924</v>
      </c>
      <c r="B227" s="18">
        <v>0</v>
      </c>
      <c r="C227" s="18">
        <v>0</v>
      </c>
      <c r="D227" s="18">
        <v>1.7882012297506114E-3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1.7882012297506114E-3</v>
      </c>
    </row>
    <row r="228" spans="1:10" x14ac:dyDescent="0.45">
      <c r="A228" s="15" t="s">
        <v>825</v>
      </c>
      <c r="B228" s="18">
        <v>0</v>
      </c>
      <c r="C228" s="18">
        <v>0</v>
      </c>
      <c r="D228" s="18">
        <v>0</v>
      </c>
      <c r="E228" s="18">
        <v>0</v>
      </c>
      <c r="F228" s="18">
        <v>0</v>
      </c>
      <c r="G228" s="18">
        <v>1.7852578859763064E-3</v>
      </c>
      <c r="H228" s="18">
        <v>0</v>
      </c>
      <c r="I228" s="18">
        <v>0</v>
      </c>
      <c r="J228" s="18">
        <v>1.7852578859763064E-3</v>
      </c>
    </row>
    <row r="229" spans="1:10" x14ac:dyDescent="0.45">
      <c r="A229" s="15" t="s">
        <v>1207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G229" s="18">
        <v>1.7598707126922043E-3</v>
      </c>
      <c r="H229" s="18">
        <v>0</v>
      </c>
      <c r="I229" s="18">
        <v>0</v>
      </c>
      <c r="J229" s="18">
        <v>1.7598707126922043E-3</v>
      </c>
    </row>
    <row r="230" spans="1:10" x14ac:dyDescent="0.45">
      <c r="A230" s="15" t="s">
        <v>1305</v>
      </c>
      <c r="B230" s="18">
        <v>0</v>
      </c>
      <c r="C230" s="18">
        <v>0</v>
      </c>
      <c r="D230" s="18">
        <v>1.7512914663168585E-3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1.7512914663168585E-3</v>
      </c>
    </row>
    <row r="231" spans="1:10" x14ac:dyDescent="0.45">
      <c r="A231" s="15" t="s">
        <v>990</v>
      </c>
      <c r="B231" s="18">
        <v>0</v>
      </c>
      <c r="C231" s="18">
        <v>1.7452034866961424E-3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1.7452034866961424E-3</v>
      </c>
    </row>
    <row r="232" spans="1:10" x14ac:dyDescent="0.45">
      <c r="A232" s="15" t="s">
        <v>1024</v>
      </c>
      <c r="B232" s="18">
        <v>1.7445616686869987E-3</v>
      </c>
      <c r="C232" s="18">
        <v>0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1.7445616686869987E-3</v>
      </c>
    </row>
    <row r="233" spans="1:10" x14ac:dyDescent="0.45">
      <c r="A233" s="15" t="s">
        <v>770</v>
      </c>
      <c r="B233" s="18">
        <v>0</v>
      </c>
      <c r="C233" s="18">
        <v>1.7346184017749283E-3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1.7346184017749283E-3</v>
      </c>
    </row>
    <row r="234" spans="1:10" x14ac:dyDescent="0.45">
      <c r="A234" s="15" t="s">
        <v>1284</v>
      </c>
      <c r="B234" s="18">
        <v>0</v>
      </c>
      <c r="C234" s="18">
        <v>0</v>
      </c>
      <c r="D234" s="18">
        <v>0</v>
      </c>
      <c r="E234" s="18">
        <v>0</v>
      </c>
      <c r="F234" s="18">
        <v>1.7229747045994911E-3</v>
      </c>
      <c r="G234" s="18">
        <v>0</v>
      </c>
      <c r="H234" s="18">
        <v>0</v>
      </c>
      <c r="I234" s="18">
        <v>0</v>
      </c>
      <c r="J234" s="18">
        <v>1.7229747045994911E-3</v>
      </c>
    </row>
    <row r="235" spans="1:10" x14ac:dyDescent="0.45">
      <c r="A235" s="15" t="s">
        <v>1130</v>
      </c>
      <c r="B235" s="18">
        <v>0</v>
      </c>
      <c r="C235" s="18">
        <v>0</v>
      </c>
      <c r="D235" s="18">
        <v>1.7056899368481449E-3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1.7056899368481449E-3</v>
      </c>
    </row>
    <row r="236" spans="1:10" x14ac:dyDescent="0.45">
      <c r="A236" s="15" t="s">
        <v>1101</v>
      </c>
      <c r="B236" s="18">
        <v>0</v>
      </c>
      <c r="C236" s="18">
        <v>1.6977429072850066E-3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1.6977429072850066E-3</v>
      </c>
    </row>
    <row r="237" spans="1:10" x14ac:dyDescent="0.45">
      <c r="A237" s="15" t="s">
        <v>1346</v>
      </c>
      <c r="B237" s="18">
        <v>0</v>
      </c>
      <c r="C237" s="18">
        <v>0</v>
      </c>
      <c r="D237" s="18">
        <v>0</v>
      </c>
      <c r="E237" s="18">
        <v>0</v>
      </c>
      <c r="F237" s="18">
        <v>1.6928314297701434E-3</v>
      </c>
      <c r="G237" s="18">
        <v>0</v>
      </c>
      <c r="H237" s="18">
        <v>0</v>
      </c>
      <c r="I237" s="18">
        <v>0</v>
      </c>
      <c r="J237" s="18">
        <v>1.6928314297701434E-3</v>
      </c>
    </row>
    <row r="238" spans="1:10" x14ac:dyDescent="0.45">
      <c r="A238" s="15" t="s">
        <v>1148</v>
      </c>
      <c r="B238" s="18">
        <v>0</v>
      </c>
      <c r="C238" s="18">
        <v>0</v>
      </c>
      <c r="D238" s="18">
        <v>0</v>
      </c>
      <c r="E238" s="18">
        <v>0</v>
      </c>
      <c r="F238" s="18">
        <v>0</v>
      </c>
      <c r="G238" s="18">
        <v>0</v>
      </c>
      <c r="H238" s="18">
        <v>1.6846617545531897E-3</v>
      </c>
      <c r="I238" s="18">
        <v>0</v>
      </c>
      <c r="J238" s="18">
        <v>1.6846617545531897E-3</v>
      </c>
    </row>
    <row r="239" spans="1:10" x14ac:dyDescent="0.45">
      <c r="A239" s="15" t="s">
        <v>815</v>
      </c>
      <c r="B239" s="18">
        <v>0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1.6707041890465508E-3</v>
      </c>
      <c r="I239" s="18">
        <v>0</v>
      </c>
      <c r="J239" s="18">
        <v>1.6707041890465508E-3</v>
      </c>
    </row>
    <row r="240" spans="1:10" x14ac:dyDescent="0.45">
      <c r="A240" s="15" t="s">
        <v>944</v>
      </c>
      <c r="B240" s="18">
        <v>0</v>
      </c>
      <c r="C240" s="18">
        <v>1.6526177410238132E-3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1.6526177410238132E-3</v>
      </c>
    </row>
    <row r="241" spans="1:10" x14ac:dyDescent="0.45">
      <c r="A241" s="15" t="s">
        <v>1343</v>
      </c>
      <c r="B241" s="18">
        <v>0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1.6473695527441112E-3</v>
      </c>
      <c r="I241" s="18">
        <v>0</v>
      </c>
      <c r="J241" s="18">
        <v>1.6473695527441112E-3</v>
      </c>
    </row>
    <row r="242" spans="1:10" x14ac:dyDescent="0.45">
      <c r="A242" s="15" t="s">
        <v>995</v>
      </c>
      <c r="B242" s="18">
        <v>1.643760399405946E-3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1.643760399405946E-3</v>
      </c>
    </row>
    <row r="243" spans="1:10" x14ac:dyDescent="0.45">
      <c r="A243" s="15" t="s">
        <v>735</v>
      </c>
      <c r="B243" s="18">
        <v>0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1.6433970206829757E-3</v>
      </c>
      <c r="I243" s="18">
        <v>0</v>
      </c>
      <c r="J243" s="18">
        <v>1.6433970206829757E-3</v>
      </c>
    </row>
    <row r="244" spans="1:10" x14ac:dyDescent="0.45">
      <c r="A244" s="15" t="s">
        <v>778</v>
      </c>
      <c r="B244" s="18">
        <v>0</v>
      </c>
      <c r="C244" s="18">
        <v>1.6406576710044642E-3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1.6406576710044642E-3</v>
      </c>
    </row>
    <row r="245" spans="1:10" x14ac:dyDescent="0.45">
      <c r="A245" s="15" t="s">
        <v>943</v>
      </c>
      <c r="B245" s="18">
        <v>1.6331008473341182E-3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1.6331008473341182E-3</v>
      </c>
    </row>
    <row r="246" spans="1:10" x14ac:dyDescent="0.45">
      <c r="A246" s="15" t="s">
        <v>1133</v>
      </c>
      <c r="B246" s="18">
        <v>0</v>
      </c>
      <c r="C246" s="18">
        <v>0</v>
      </c>
      <c r="D246" s="18">
        <v>0</v>
      </c>
      <c r="E246" s="18">
        <v>0</v>
      </c>
      <c r="F246" s="18">
        <v>1.6224607300686293E-3</v>
      </c>
      <c r="G246" s="18">
        <v>0</v>
      </c>
      <c r="H246" s="18">
        <v>0</v>
      </c>
      <c r="I246" s="18">
        <v>0</v>
      </c>
      <c r="J246" s="18">
        <v>1.6224607300686293E-3</v>
      </c>
    </row>
    <row r="247" spans="1:10" x14ac:dyDescent="0.45">
      <c r="A247" s="15" t="s">
        <v>986</v>
      </c>
      <c r="B247" s="18">
        <v>0</v>
      </c>
      <c r="C247" s="18">
        <v>0</v>
      </c>
      <c r="D247" s="18">
        <v>0</v>
      </c>
      <c r="E247" s="18">
        <v>1.6186176892672946E-3</v>
      </c>
      <c r="F247" s="18">
        <v>0</v>
      </c>
      <c r="G247" s="18">
        <v>0</v>
      </c>
      <c r="H247" s="18">
        <v>0</v>
      </c>
      <c r="I247" s="18">
        <v>0</v>
      </c>
      <c r="J247" s="18">
        <v>1.6186176892672946E-3</v>
      </c>
    </row>
    <row r="248" spans="1:10" x14ac:dyDescent="0.45">
      <c r="A248" s="15" t="s">
        <v>1001</v>
      </c>
      <c r="B248" s="18">
        <v>0</v>
      </c>
      <c r="C248" s="18">
        <v>1.6098707344213978E-3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1.6098707344213978E-3</v>
      </c>
    </row>
    <row r="249" spans="1:10" x14ac:dyDescent="0.45">
      <c r="A249" s="15" t="s">
        <v>1298</v>
      </c>
      <c r="B249" s="18">
        <v>0</v>
      </c>
      <c r="C249" s="18">
        <v>1.6049454420898634E-3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1.6049454420898634E-3</v>
      </c>
    </row>
    <row r="250" spans="1:10" x14ac:dyDescent="0.45">
      <c r="A250" s="15" t="s">
        <v>985</v>
      </c>
      <c r="B250" s="18">
        <v>0</v>
      </c>
      <c r="C250" s="18">
        <v>0</v>
      </c>
      <c r="D250" s="18">
        <v>1.5969978946312269E-3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1.5969978946312269E-3</v>
      </c>
    </row>
    <row r="251" spans="1:10" x14ac:dyDescent="0.45">
      <c r="A251" s="15" t="s">
        <v>1014</v>
      </c>
      <c r="B251" s="18">
        <v>0</v>
      </c>
      <c r="C251" s="18">
        <v>0</v>
      </c>
      <c r="D251" s="18">
        <v>0</v>
      </c>
      <c r="E251" s="18">
        <v>1.5958704123408148E-3</v>
      </c>
      <c r="F251" s="18">
        <v>0</v>
      </c>
      <c r="G251" s="18">
        <v>0</v>
      </c>
      <c r="H251" s="18">
        <v>0</v>
      </c>
      <c r="I251" s="18">
        <v>0</v>
      </c>
      <c r="J251" s="18">
        <v>1.5958704123408148E-3</v>
      </c>
    </row>
    <row r="252" spans="1:10" x14ac:dyDescent="0.45">
      <c r="A252" s="15" t="s">
        <v>1134</v>
      </c>
      <c r="B252" s="18">
        <v>0</v>
      </c>
      <c r="C252" s="18">
        <v>0</v>
      </c>
      <c r="D252" s="18">
        <v>0</v>
      </c>
      <c r="E252" s="18">
        <v>0</v>
      </c>
      <c r="F252" s="18">
        <v>0</v>
      </c>
      <c r="G252" s="18">
        <v>0</v>
      </c>
      <c r="H252" s="18">
        <v>1.5946025089995609E-3</v>
      </c>
      <c r="I252" s="18">
        <v>0</v>
      </c>
      <c r="J252" s="18">
        <v>1.5946025089995609E-3</v>
      </c>
    </row>
    <row r="253" spans="1:10" x14ac:dyDescent="0.45">
      <c r="A253" s="15" t="s">
        <v>969</v>
      </c>
      <c r="B253" s="18">
        <v>0</v>
      </c>
      <c r="C253" s="18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1.5884390035619915E-3</v>
      </c>
      <c r="I253" s="18">
        <v>0</v>
      </c>
      <c r="J253" s="18">
        <v>1.5884390035619915E-3</v>
      </c>
    </row>
    <row r="254" spans="1:10" x14ac:dyDescent="0.45">
      <c r="A254" s="15" t="s">
        <v>1074</v>
      </c>
      <c r="B254" s="18">
        <v>1.5617329444253577E-3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1.5617329444253577E-3</v>
      </c>
    </row>
    <row r="255" spans="1:10" x14ac:dyDescent="0.45">
      <c r="A255" s="15" t="s">
        <v>1135</v>
      </c>
      <c r="B255" s="18">
        <v>0</v>
      </c>
      <c r="C255" s="18">
        <v>1.5505838658162563E-3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1.5505838658162563E-3</v>
      </c>
    </row>
    <row r="256" spans="1:10" x14ac:dyDescent="0.45">
      <c r="A256" s="15" t="s">
        <v>1105</v>
      </c>
      <c r="B256" s="18">
        <v>0</v>
      </c>
      <c r="C256" s="18">
        <v>0</v>
      </c>
      <c r="D256" s="18">
        <v>0</v>
      </c>
      <c r="E256" s="18">
        <v>0</v>
      </c>
      <c r="F256" s="18">
        <v>0</v>
      </c>
      <c r="G256" s="18">
        <v>1.543937066887589E-3</v>
      </c>
      <c r="H256" s="18">
        <v>0</v>
      </c>
      <c r="I256" s="18">
        <v>0</v>
      </c>
      <c r="J256" s="18">
        <v>1.543937066887589E-3</v>
      </c>
    </row>
    <row r="257" spans="1:10" x14ac:dyDescent="0.45">
      <c r="A257" s="15" t="s">
        <v>962</v>
      </c>
      <c r="B257" s="18">
        <v>0</v>
      </c>
      <c r="C257" s="18">
        <v>0</v>
      </c>
      <c r="D257" s="18">
        <v>0</v>
      </c>
      <c r="E257" s="18">
        <v>0</v>
      </c>
      <c r="F257" s="18">
        <v>0</v>
      </c>
      <c r="G257" s="18">
        <v>0</v>
      </c>
      <c r="H257" s="18">
        <v>1.5197479441881184E-3</v>
      </c>
      <c r="I257" s="18">
        <v>0</v>
      </c>
      <c r="J257" s="18">
        <v>1.5197479441881184E-3</v>
      </c>
    </row>
    <row r="258" spans="1:10" x14ac:dyDescent="0.45">
      <c r="A258" s="15" t="s">
        <v>1232</v>
      </c>
      <c r="B258" s="18">
        <v>0</v>
      </c>
      <c r="C258" s="18">
        <v>0</v>
      </c>
      <c r="D258" s="18">
        <v>0</v>
      </c>
      <c r="E258" s="18">
        <v>1.5165869452229816E-3</v>
      </c>
      <c r="F258" s="18">
        <v>0</v>
      </c>
      <c r="G258" s="18">
        <v>0</v>
      </c>
      <c r="H258" s="18">
        <v>0</v>
      </c>
      <c r="I258" s="18">
        <v>0</v>
      </c>
      <c r="J258" s="18">
        <v>1.5165869452229816E-3</v>
      </c>
    </row>
    <row r="259" spans="1:10" x14ac:dyDescent="0.45">
      <c r="A259" s="15" t="s">
        <v>1085</v>
      </c>
      <c r="B259" s="18">
        <v>0</v>
      </c>
      <c r="C259" s="18">
        <v>0</v>
      </c>
      <c r="D259" s="18">
        <v>0</v>
      </c>
      <c r="E259" s="18">
        <v>1.5085973613030465E-3</v>
      </c>
      <c r="F259" s="18">
        <v>0</v>
      </c>
      <c r="G259" s="18">
        <v>0</v>
      </c>
      <c r="H259" s="18">
        <v>0</v>
      </c>
      <c r="I259" s="18">
        <v>0</v>
      </c>
      <c r="J259" s="18">
        <v>1.5085973613030465E-3</v>
      </c>
    </row>
    <row r="260" spans="1:10" x14ac:dyDescent="0.45">
      <c r="A260" s="15" t="s">
        <v>1051</v>
      </c>
      <c r="B260" s="18">
        <v>0</v>
      </c>
      <c r="C260" s="18">
        <v>0</v>
      </c>
      <c r="D260" s="18">
        <v>0</v>
      </c>
      <c r="E260" s="18">
        <v>0</v>
      </c>
      <c r="F260" s="18">
        <v>1.4920691693342198E-3</v>
      </c>
      <c r="G260" s="18">
        <v>0</v>
      </c>
      <c r="H260" s="18">
        <v>0</v>
      </c>
      <c r="I260" s="18">
        <v>0</v>
      </c>
      <c r="J260" s="18">
        <v>1.4920691693342198E-3</v>
      </c>
    </row>
    <row r="261" spans="1:10" x14ac:dyDescent="0.45">
      <c r="A261" s="15" t="s">
        <v>1202</v>
      </c>
      <c r="B261" s="18">
        <v>0</v>
      </c>
      <c r="C261" s="18">
        <v>0</v>
      </c>
      <c r="D261" s="18">
        <v>0</v>
      </c>
      <c r="E261" s="18">
        <v>0</v>
      </c>
      <c r="F261" s="18">
        <v>0</v>
      </c>
      <c r="G261" s="18">
        <v>0</v>
      </c>
      <c r="H261" s="18">
        <v>1.4870939165572581E-3</v>
      </c>
      <c r="I261" s="18">
        <v>0</v>
      </c>
      <c r="J261" s="18">
        <v>1.4870939165572581E-3</v>
      </c>
    </row>
    <row r="262" spans="1:10" x14ac:dyDescent="0.45">
      <c r="A262" s="15" t="s">
        <v>1069</v>
      </c>
      <c r="B262" s="18">
        <v>0</v>
      </c>
      <c r="C262" s="18">
        <v>0</v>
      </c>
      <c r="D262" s="18">
        <v>0</v>
      </c>
      <c r="E262" s="18">
        <v>0</v>
      </c>
      <c r="F262" s="18">
        <v>0</v>
      </c>
      <c r="G262" s="18">
        <v>0</v>
      </c>
      <c r="H262" s="18">
        <v>1.4840858202904801E-3</v>
      </c>
      <c r="I262" s="18">
        <v>0</v>
      </c>
      <c r="J262" s="18">
        <v>1.4840858202904801E-3</v>
      </c>
    </row>
    <row r="263" spans="1:10" x14ac:dyDescent="0.45">
      <c r="A263" s="15" t="s">
        <v>1123</v>
      </c>
      <c r="B263" s="18">
        <v>0</v>
      </c>
      <c r="C263" s="18">
        <v>0</v>
      </c>
      <c r="D263" s="18">
        <v>0</v>
      </c>
      <c r="E263" s="18">
        <v>1.4770569782706841E-3</v>
      </c>
      <c r="F263" s="18">
        <v>0</v>
      </c>
      <c r="G263" s="18">
        <v>0</v>
      </c>
      <c r="H263" s="18">
        <v>0</v>
      </c>
      <c r="I263" s="18">
        <v>0</v>
      </c>
      <c r="J263" s="18">
        <v>1.4770569782706841E-3</v>
      </c>
    </row>
    <row r="264" spans="1:10" x14ac:dyDescent="0.45">
      <c r="A264" s="15" t="s">
        <v>1146</v>
      </c>
      <c r="B264" s="18">
        <v>0</v>
      </c>
      <c r="C264" s="18">
        <v>0</v>
      </c>
      <c r="D264" s="18">
        <v>0</v>
      </c>
      <c r="E264" s="18">
        <v>0</v>
      </c>
      <c r="F264" s="18">
        <v>0</v>
      </c>
      <c r="G264" s="18">
        <v>1.4762968668906272E-3</v>
      </c>
      <c r="H264" s="18">
        <v>0</v>
      </c>
      <c r="I264" s="18">
        <v>0</v>
      </c>
      <c r="J264" s="18">
        <v>1.4762968668906272E-3</v>
      </c>
    </row>
    <row r="265" spans="1:10" x14ac:dyDescent="0.45">
      <c r="A265" s="15" t="s">
        <v>1256</v>
      </c>
      <c r="B265" s="18">
        <v>0</v>
      </c>
      <c r="C265" s="18">
        <v>0</v>
      </c>
      <c r="D265" s="18">
        <v>0</v>
      </c>
      <c r="E265" s="18">
        <v>1.4751121772778484E-3</v>
      </c>
      <c r="F265" s="18">
        <v>0</v>
      </c>
      <c r="G265" s="18">
        <v>0</v>
      </c>
      <c r="H265" s="18">
        <v>0</v>
      </c>
      <c r="I265" s="18">
        <v>0</v>
      </c>
      <c r="J265" s="18">
        <v>1.4751121772778484E-3</v>
      </c>
    </row>
    <row r="266" spans="1:10" x14ac:dyDescent="0.45">
      <c r="A266" s="15" t="s">
        <v>863</v>
      </c>
      <c r="B266" s="18">
        <v>0</v>
      </c>
      <c r="C266" s="18">
        <v>0</v>
      </c>
      <c r="D266" s="18">
        <v>0</v>
      </c>
      <c r="E266" s="18">
        <v>0</v>
      </c>
      <c r="F266" s="18">
        <v>1.4705531669951086E-3</v>
      </c>
      <c r="G266" s="18">
        <v>0</v>
      </c>
      <c r="H266" s="18">
        <v>0</v>
      </c>
      <c r="I266" s="18">
        <v>0</v>
      </c>
      <c r="J266" s="18">
        <v>1.4705531669951086E-3</v>
      </c>
    </row>
    <row r="267" spans="1:10" x14ac:dyDescent="0.45">
      <c r="A267" s="15" t="s">
        <v>856</v>
      </c>
      <c r="B267" s="18">
        <v>0</v>
      </c>
      <c r="C267" s="18">
        <v>0</v>
      </c>
      <c r="D267" s="18">
        <v>0</v>
      </c>
      <c r="E267" s="18">
        <v>0</v>
      </c>
      <c r="F267" s="18">
        <v>0</v>
      </c>
      <c r="G267" s="18">
        <v>1.4696861220897446E-3</v>
      </c>
      <c r="H267" s="18">
        <v>0</v>
      </c>
      <c r="I267" s="18">
        <v>0</v>
      </c>
      <c r="J267" s="18">
        <v>1.4696861220897446E-3</v>
      </c>
    </row>
    <row r="268" spans="1:10" x14ac:dyDescent="0.45">
      <c r="A268" s="15" t="s">
        <v>800</v>
      </c>
      <c r="B268" s="18">
        <v>1.4652674230566807E-3</v>
      </c>
      <c r="C268" s="18">
        <v>0</v>
      </c>
      <c r="D268" s="18">
        <v>0</v>
      </c>
      <c r="E268" s="18">
        <v>0</v>
      </c>
      <c r="F268" s="18">
        <v>0</v>
      </c>
      <c r="G268" s="18">
        <v>0</v>
      </c>
      <c r="H268" s="18">
        <v>0</v>
      </c>
      <c r="I268" s="18">
        <v>0</v>
      </c>
      <c r="J268" s="18">
        <v>1.4652674230566807E-3</v>
      </c>
    </row>
    <row r="269" spans="1:10" x14ac:dyDescent="0.45">
      <c r="A269" s="15" t="s">
        <v>744</v>
      </c>
      <c r="B269" s="18">
        <v>1.4645776740936575E-3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1.4645776740936575E-3</v>
      </c>
    </row>
    <row r="270" spans="1:10" x14ac:dyDescent="0.45">
      <c r="A270" s="15" t="s">
        <v>1286</v>
      </c>
      <c r="B270" s="18">
        <v>1.4512769684408603E-3</v>
      </c>
      <c r="C270" s="18">
        <v>0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1.4512769684408603E-3</v>
      </c>
    </row>
    <row r="271" spans="1:10" x14ac:dyDescent="0.45">
      <c r="A271" s="15" t="s">
        <v>942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1.4480394161029602E-3</v>
      </c>
      <c r="I271" s="18">
        <v>0</v>
      </c>
      <c r="J271" s="18">
        <v>1.4480394161029602E-3</v>
      </c>
    </row>
    <row r="272" spans="1:10" x14ac:dyDescent="0.45">
      <c r="A272" s="15" t="s">
        <v>910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G272" s="18">
        <v>0</v>
      </c>
      <c r="H272" s="18">
        <v>1.4325822658803201E-3</v>
      </c>
      <c r="I272" s="18">
        <v>0</v>
      </c>
      <c r="J272" s="18">
        <v>1.4325822658803201E-3</v>
      </c>
    </row>
    <row r="273" spans="1:10" x14ac:dyDescent="0.45">
      <c r="A273" s="15" t="s">
        <v>1279</v>
      </c>
      <c r="B273" s="18">
        <v>1.4210951753625663E-3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1.4210951753625663E-3</v>
      </c>
    </row>
    <row r="274" spans="1:10" x14ac:dyDescent="0.45">
      <c r="A274" s="15" t="s">
        <v>1018</v>
      </c>
      <c r="B274" s="18">
        <v>0</v>
      </c>
      <c r="C274" s="18">
        <v>0</v>
      </c>
      <c r="D274" s="18">
        <v>1.4187664463585898E-3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1.4187664463585898E-3</v>
      </c>
    </row>
    <row r="275" spans="1:10" x14ac:dyDescent="0.45">
      <c r="A275" s="15" t="s">
        <v>958</v>
      </c>
      <c r="B275" s="18">
        <v>0</v>
      </c>
      <c r="C275" s="18">
        <v>0</v>
      </c>
      <c r="D275" s="18">
        <v>1.4173982689327318E-3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1.4173982689327318E-3</v>
      </c>
    </row>
    <row r="276" spans="1:10" x14ac:dyDescent="0.45">
      <c r="A276" s="15" t="s">
        <v>1205</v>
      </c>
      <c r="B276" s="18">
        <v>0</v>
      </c>
      <c r="C276" s="18">
        <v>1.4067874685784983E-3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8">
        <v>1.4067874685784983E-3</v>
      </c>
    </row>
    <row r="277" spans="1:10" x14ac:dyDescent="0.45">
      <c r="A277" s="15" t="s">
        <v>1158</v>
      </c>
      <c r="B277" s="18">
        <v>0</v>
      </c>
      <c r="C277" s="18">
        <v>0</v>
      </c>
      <c r="D277" s="18">
        <v>1.4060938912148289E-3</v>
      </c>
      <c r="E277" s="18">
        <v>0</v>
      </c>
      <c r="F277" s="18">
        <v>0</v>
      </c>
      <c r="G277" s="18">
        <v>0</v>
      </c>
      <c r="H277" s="18">
        <v>0</v>
      </c>
      <c r="I277" s="18">
        <v>0</v>
      </c>
      <c r="J277" s="18">
        <v>1.4060938912148289E-3</v>
      </c>
    </row>
    <row r="278" spans="1:10" x14ac:dyDescent="0.45">
      <c r="A278" s="15" t="s">
        <v>1111</v>
      </c>
      <c r="B278" s="18">
        <v>0</v>
      </c>
      <c r="C278" s="18">
        <v>1.4044211985559509E-3</v>
      </c>
      <c r="D278" s="18">
        <v>0</v>
      </c>
      <c r="E278" s="18">
        <v>0</v>
      </c>
      <c r="F278" s="18">
        <v>0</v>
      </c>
      <c r="G278" s="18">
        <v>0</v>
      </c>
      <c r="H278" s="18">
        <v>0</v>
      </c>
      <c r="I278" s="18">
        <v>0</v>
      </c>
      <c r="J278" s="18">
        <v>1.4044211985559509E-3</v>
      </c>
    </row>
    <row r="279" spans="1:10" x14ac:dyDescent="0.45">
      <c r="A279" s="15" t="s">
        <v>1240</v>
      </c>
      <c r="B279" s="18">
        <v>0</v>
      </c>
      <c r="C279" s="18">
        <v>0</v>
      </c>
      <c r="D279" s="18">
        <v>0</v>
      </c>
      <c r="E279" s="18">
        <v>0</v>
      </c>
      <c r="F279" s="18">
        <v>1.4021541887872437E-3</v>
      </c>
      <c r="G279" s="18">
        <v>0</v>
      </c>
      <c r="H279" s="18">
        <v>0</v>
      </c>
      <c r="I279" s="18">
        <v>0</v>
      </c>
      <c r="J279" s="18">
        <v>1.4021541887872437E-3</v>
      </c>
    </row>
    <row r="280" spans="1:10" x14ac:dyDescent="0.45">
      <c r="A280" s="15" t="s">
        <v>1117</v>
      </c>
      <c r="B280" s="18">
        <v>0</v>
      </c>
      <c r="C280" s="18">
        <v>0</v>
      </c>
      <c r="D280" s="18">
        <v>0</v>
      </c>
      <c r="E280" s="18">
        <v>1.3960776714932227E-3</v>
      </c>
      <c r="F280" s="18">
        <v>0</v>
      </c>
      <c r="G280" s="18">
        <v>0</v>
      </c>
      <c r="H280" s="18">
        <v>0</v>
      </c>
      <c r="I280" s="18">
        <v>0</v>
      </c>
      <c r="J280" s="18">
        <v>1.3960776714932227E-3</v>
      </c>
    </row>
    <row r="281" spans="1:10" x14ac:dyDescent="0.45">
      <c r="A281" s="15" t="s">
        <v>949</v>
      </c>
      <c r="B281" s="18">
        <v>0</v>
      </c>
      <c r="C281" s="18">
        <v>0</v>
      </c>
      <c r="D281" s="18">
        <v>0</v>
      </c>
      <c r="E281" s="18">
        <v>0</v>
      </c>
      <c r="F281" s="18">
        <v>1.3956707044524778E-3</v>
      </c>
      <c r="G281" s="18">
        <v>0</v>
      </c>
      <c r="H281" s="18">
        <v>0</v>
      </c>
      <c r="I281" s="18">
        <v>0</v>
      </c>
      <c r="J281" s="18">
        <v>1.3956707044524778E-3</v>
      </c>
    </row>
    <row r="282" spans="1:10" x14ac:dyDescent="0.45">
      <c r="A282" s="15" t="s">
        <v>1268</v>
      </c>
      <c r="B282" s="18">
        <v>0</v>
      </c>
      <c r="C282" s="18">
        <v>0</v>
      </c>
      <c r="D282" s="18">
        <v>1.3867271249990293E-3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1.3867271249990293E-3</v>
      </c>
    </row>
    <row r="283" spans="1:10" x14ac:dyDescent="0.45">
      <c r="A283" s="15" t="s">
        <v>772</v>
      </c>
      <c r="B283" s="18">
        <v>0</v>
      </c>
      <c r="C283" s="18">
        <v>0</v>
      </c>
      <c r="D283" s="18">
        <v>0</v>
      </c>
      <c r="E283" s="18">
        <v>0</v>
      </c>
      <c r="F283" s="18">
        <v>0</v>
      </c>
      <c r="G283" s="18">
        <v>0</v>
      </c>
      <c r="H283" s="18">
        <v>1.3696084095506501E-3</v>
      </c>
      <c r="I283" s="18">
        <v>0</v>
      </c>
      <c r="J283" s="18">
        <v>1.3696084095506501E-3</v>
      </c>
    </row>
    <row r="284" spans="1:10" x14ac:dyDescent="0.45">
      <c r="A284" s="15" t="s">
        <v>934</v>
      </c>
      <c r="B284" s="18">
        <v>0</v>
      </c>
      <c r="C284" s="18">
        <v>0</v>
      </c>
      <c r="D284" s="18">
        <v>0</v>
      </c>
      <c r="E284" s="18">
        <v>0</v>
      </c>
      <c r="F284" s="18">
        <v>0</v>
      </c>
      <c r="G284" s="18">
        <v>1.3691994166783973E-3</v>
      </c>
      <c r="H284" s="18">
        <v>0</v>
      </c>
      <c r="I284" s="18">
        <v>0</v>
      </c>
      <c r="J284" s="18">
        <v>1.3691994166783973E-3</v>
      </c>
    </row>
    <row r="285" spans="1:10" x14ac:dyDescent="0.45">
      <c r="A285" s="15" t="s">
        <v>1327</v>
      </c>
      <c r="B285" s="18">
        <v>0</v>
      </c>
      <c r="C285" s="18">
        <v>0</v>
      </c>
      <c r="D285" s="18">
        <v>1.3643352634659734E-3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1.3643352634659734E-3</v>
      </c>
    </row>
    <row r="286" spans="1:10" x14ac:dyDescent="0.45">
      <c r="A286" s="15" t="s">
        <v>784</v>
      </c>
      <c r="B286" s="18">
        <v>1.3628981858086055E-3</v>
      </c>
      <c r="C286" s="18">
        <v>0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1.3628981858086055E-3</v>
      </c>
    </row>
    <row r="287" spans="1:10" x14ac:dyDescent="0.45">
      <c r="A287" s="15" t="s">
        <v>882</v>
      </c>
      <c r="B287" s="18">
        <v>0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1.3613024088663375E-3</v>
      </c>
      <c r="I287" s="18">
        <v>0</v>
      </c>
      <c r="J287" s="18">
        <v>1.3613024088663375E-3</v>
      </c>
    </row>
    <row r="288" spans="1:10" x14ac:dyDescent="0.45">
      <c r="A288" s="15" t="s">
        <v>1093</v>
      </c>
      <c r="B288" s="18">
        <v>0</v>
      </c>
      <c r="C288" s="18">
        <v>0</v>
      </c>
      <c r="D288" s="18">
        <v>0</v>
      </c>
      <c r="E288" s="18">
        <v>0</v>
      </c>
      <c r="F288" s="18">
        <v>0</v>
      </c>
      <c r="G288" s="18">
        <v>0</v>
      </c>
      <c r="H288" s="18">
        <v>1.3554708616331488E-3</v>
      </c>
      <c r="I288" s="18">
        <v>0</v>
      </c>
      <c r="J288" s="18">
        <v>1.3554708616331488E-3</v>
      </c>
    </row>
    <row r="289" spans="1:10" x14ac:dyDescent="0.45">
      <c r="A289" s="15" t="s">
        <v>1188</v>
      </c>
      <c r="B289" s="18">
        <v>1.3498869379889652E-3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1.3498869379889652E-3</v>
      </c>
    </row>
    <row r="290" spans="1:10" x14ac:dyDescent="0.45">
      <c r="A290" s="15" t="s">
        <v>742</v>
      </c>
      <c r="B290" s="18">
        <v>0</v>
      </c>
      <c r="C290" s="18">
        <v>0</v>
      </c>
      <c r="D290" s="18">
        <v>0</v>
      </c>
      <c r="E290" s="18">
        <v>1.3463571288031917E-3</v>
      </c>
      <c r="F290" s="18">
        <v>0</v>
      </c>
      <c r="G290" s="18">
        <v>0</v>
      </c>
      <c r="H290" s="18">
        <v>0</v>
      </c>
      <c r="I290" s="18">
        <v>0</v>
      </c>
      <c r="J290" s="18">
        <v>1.3463571288031917E-3</v>
      </c>
    </row>
    <row r="291" spans="1:10" x14ac:dyDescent="0.45">
      <c r="A291" s="15" t="s">
        <v>904</v>
      </c>
      <c r="B291" s="18">
        <v>1.3312502982848748E-3</v>
      </c>
      <c r="C291" s="18">
        <v>0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1.3312502982848748E-3</v>
      </c>
    </row>
    <row r="292" spans="1:10" x14ac:dyDescent="0.45">
      <c r="A292" s="15" t="s">
        <v>1153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G292" s="18">
        <v>1.3293030917314993E-3</v>
      </c>
      <c r="H292" s="18">
        <v>0</v>
      </c>
      <c r="I292" s="18">
        <v>0</v>
      </c>
      <c r="J292" s="18">
        <v>1.3293030917314993E-3</v>
      </c>
    </row>
    <row r="293" spans="1:10" x14ac:dyDescent="0.45">
      <c r="A293" s="15" t="s">
        <v>1306</v>
      </c>
      <c r="B293" s="18">
        <v>0</v>
      </c>
      <c r="C293" s="18">
        <v>0</v>
      </c>
      <c r="D293" s="18">
        <v>0</v>
      </c>
      <c r="E293" s="18">
        <v>1.3237400742292748E-3</v>
      </c>
      <c r="F293" s="18">
        <v>0</v>
      </c>
      <c r="G293" s="18">
        <v>0</v>
      </c>
      <c r="H293" s="18">
        <v>0</v>
      </c>
      <c r="I293" s="18">
        <v>0</v>
      </c>
      <c r="J293" s="18">
        <v>1.3237400742292748E-3</v>
      </c>
    </row>
    <row r="294" spans="1:10" x14ac:dyDescent="0.45">
      <c r="A294" s="15" t="s">
        <v>900</v>
      </c>
      <c r="B294" s="18">
        <v>0</v>
      </c>
      <c r="C294" s="18">
        <v>0</v>
      </c>
      <c r="D294" s="18">
        <v>1.3220333669992658E-3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1.3220333669992658E-3</v>
      </c>
    </row>
    <row r="295" spans="1:10" x14ac:dyDescent="0.45">
      <c r="A295" s="15" t="s">
        <v>1128</v>
      </c>
      <c r="B295" s="18">
        <v>1.3205180852916109E-3</v>
      </c>
      <c r="C295" s="18">
        <v>0</v>
      </c>
      <c r="D295" s="18">
        <v>0</v>
      </c>
      <c r="E295" s="18">
        <v>0</v>
      </c>
      <c r="F295" s="18">
        <v>0</v>
      </c>
      <c r="G295" s="18">
        <v>0</v>
      </c>
      <c r="H295" s="18">
        <v>0</v>
      </c>
      <c r="I295" s="18">
        <v>0</v>
      </c>
      <c r="J295" s="18">
        <v>1.3205180852916109E-3</v>
      </c>
    </row>
    <row r="296" spans="1:10" x14ac:dyDescent="0.45">
      <c r="A296" s="15" t="s">
        <v>801</v>
      </c>
      <c r="B296" s="18">
        <v>0</v>
      </c>
      <c r="C296" s="18">
        <v>0</v>
      </c>
      <c r="D296" s="18">
        <v>0</v>
      </c>
      <c r="E296" s="18">
        <v>1.3073563961497434E-3</v>
      </c>
      <c r="F296" s="18">
        <v>0</v>
      </c>
      <c r="G296" s="18">
        <v>0</v>
      </c>
      <c r="H296" s="18">
        <v>0</v>
      </c>
      <c r="I296" s="18">
        <v>0</v>
      </c>
      <c r="J296" s="18">
        <v>1.3073563961497434E-3</v>
      </c>
    </row>
    <row r="297" spans="1:10" x14ac:dyDescent="0.45">
      <c r="A297" s="15" t="s">
        <v>968</v>
      </c>
      <c r="B297" s="18">
        <v>0</v>
      </c>
      <c r="C297" s="18">
        <v>1.30570500949207E-3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1.30570500949207E-3</v>
      </c>
    </row>
    <row r="298" spans="1:10" x14ac:dyDescent="0.45">
      <c r="A298" s="15" t="s">
        <v>1200</v>
      </c>
      <c r="B298" s="18">
        <v>0</v>
      </c>
      <c r="C298" s="18">
        <v>0</v>
      </c>
      <c r="D298" s="18">
        <v>0</v>
      </c>
      <c r="E298" s="18">
        <v>0</v>
      </c>
      <c r="F298" s="18">
        <v>1.3049799365790142E-3</v>
      </c>
      <c r="G298" s="18">
        <v>0</v>
      </c>
      <c r="H298" s="18">
        <v>0</v>
      </c>
      <c r="I298" s="18">
        <v>0</v>
      </c>
      <c r="J298" s="18">
        <v>1.3049799365790142E-3</v>
      </c>
    </row>
    <row r="299" spans="1:10" x14ac:dyDescent="0.45">
      <c r="A299" s="15" t="s">
        <v>820</v>
      </c>
      <c r="B299" s="18">
        <v>0</v>
      </c>
      <c r="C299" s="18">
        <v>1.299045184485106E-3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1.299045184485106E-3</v>
      </c>
    </row>
    <row r="300" spans="1:10" x14ac:dyDescent="0.45">
      <c r="A300" s="15" t="s">
        <v>1276</v>
      </c>
      <c r="B300" s="18">
        <v>0</v>
      </c>
      <c r="C300" s="18">
        <v>0</v>
      </c>
      <c r="D300" s="18">
        <v>1.2914509790078802E-3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1.2914509790078802E-3</v>
      </c>
    </row>
    <row r="301" spans="1:10" x14ac:dyDescent="0.45">
      <c r="A301" s="15" t="s">
        <v>1358</v>
      </c>
      <c r="B301" s="18">
        <v>0</v>
      </c>
      <c r="C301" s="18">
        <v>1.2795269594562768E-3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1.2795269594562768E-3</v>
      </c>
    </row>
    <row r="302" spans="1:10" x14ac:dyDescent="0.45">
      <c r="A302" s="15" t="s">
        <v>1309</v>
      </c>
      <c r="B302" s="18">
        <v>0</v>
      </c>
      <c r="C302" s="18">
        <v>0</v>
      </c>
      <c r="D302" s="18">
        <v>0</v>
      </c>
      <c r="E302" s="18">
        <v>0</v>
      </c>
      <c r="F302" s="18">
        <v>1.2702715327969651E-3</v>
      </c>
      <c r="G302" s="18">
        <v>0</v>
      </c>
      <c r="H302" s="18">
        <v>0</v>
      </c>
      <c r="I302" s="18">
        <v>0</v>
      </c>
      <c r="J302" s="18">
        <v>1.2702715327969651E-3</v>
      </c>
    </row>
    <row r="303" spans="1:10" x14ac:dyDescent="0.45">
      <c r="A303" s="15" t="s">
        <v>1338</v>
      </c>
      <c r="B303" s="18">
        <v>1.2678854171287177E-3</v>
      </c>
      <c r="C303" s="18">
        <v>0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1.2678854171287177E-3</v>
      </c>
    </row>
    <row r="304" spans="1:10" x14ac:dyDescent="0.45">
      <c r="A304" s="15" t="s">
        <v>1102</v>
      </c>
      <c r="B304" s="18">
        <v>0</v>
      </c>
      <c r="C304" s="18">
        <v>0</v>
      </c>
      <c r="D304" s="18">
        <v>1.2613030101786965E-3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1.2613030101786965E-3</v>
      </c>
    </row>
    <row r="305" spans="1:10" x14ac:dyDescent="0.45">
      <c r="A305" s="15" t="s">
        <v>836</v>
      </c>
      <c r="B305" s="18">
        <v>0</v>
      </c>
      <c r="C305" s="18">
        <v>0</v>
      </c>
      <c r="D305" s="18">
        <v>1.2508008946783636E-3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1.2508008946783636E-3</v>
      </c>
    </row>
    <row r="306" spans="1:10" x14ac:dyDescent="0.45">
      <c r="A306" s="15" t="s">
        <v>1079</v>
      </c>
      <c r="B306" s="18">
        <v>0</v>
      </c>
      <c r="C306" s="18">
        <v>0</v>
      </c>
      <c r="D306" s="18">
        <v>1.24782510008453E-3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1.24782510008453E-3</v>
      </c>
    </row>
    <row r="307" spans="1:10" x14ac:dyDescent="0.45">
      <c r="A307" s="15" t="s">
        <v>954</v>
      </c>
      <c r="B307" s="18">
        <v>0</v>
      </c>
      <c r="C307" s="18">
        <v>1.2370500463364281E-3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1.2370500463364281E-3</v>
      </c>
    </row>
    <row r="308" spans="1:10" x14ac:dyDescent="0.45">
      <c r="A308" s="15" t="s">
        <v>1161</v>
      </c>
      <c r="B308" s="18">
        <v>0</v>
      </c>
      <c r="C308" s="18">
        <v>0</v>
      </c>
      <c r="D308" s="18">
        <v>0</v>
      </c>
      <c r="E308" s="18">
        <v>1.2307557768605453E-3</v>
      </c>
      <c r="F308" s="18">
        <v>0</v>
      </c>
      <c r="G308" s="18">
        <v>0</v>
      </c>
      <c r="H308" s="18">
        <v>0</v>
      </c>
      <c r="I308" s="18">
        <v>0</v>
      </c>
      <c r="J308" s="18">
        <v>1.2307557768605453E-3</v>
      </c>
    </row>
    <row r="309" spans="1:10" x14ac:dyDescent="0.45">
      <c r="A309" s="15" t="s">
        <v>1138</v>
      </c>
      <c r="B309" s="18">
        <v>0</v>
      </c>
      <c r="C309" s="18">
        <v>0</v>
      </c>
      <c r="D309" s="18">
        <v>0</v>
      </c>
      <c r="E309" s="18">
        <v>1.2295260257643513E-3</v>
      </c>
      <c r="F309" s="18">
        <v>0</v>
      </c>
      <c r="G309" s="18">
        <v>0</v>
      </c>
      <c r="H309" s="18">
        <v>0</v>
      </c>
      <c r="I309" s="18">
        <v>0</v>
      </c>
      <c r="J309" s="18">
        <v>1.2295260257643513E-3</v>
      </c>
    </row>
    <row r="310" spans="1:10" x14ac:dyDescent="0.45">
      <c r="A310" s="15" t="s">
        <v>881</v>
      </c>
      <c r="B310" s="18">
        <v>1.2188972509592844E-3</v>
      </c>
      <c r="C310" s="18">
        <v>0</v>
      </c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1.2188972509592844E-3</v>
      </c>
    </row>
    <row r="311" spans="1:10" x14ac:dyDescent="0.45">
      <c r="A311" s="15" t="s">
        <v>1292</v>
      </c>
      <c r="B311" s="18">
        <v>0</v>
      </c>
      <c r="C311" s="18">
        <v>0</v>
      </c>
      <c r="D311" s="18">
        <v>0</v>
      </c>
      <c r="E311" s="18">
        <v>0</v>
      </c>
      <c r="F311" s="18">
        <v>0</v>
      </c>
      <c r="G311" s="18">
        <v>0</v>
      </c>
      <c r="H311" s="18">
        <v>1.2125232932873567E-3</v>
      </c>
      <c r="I311" s="18">
        <v>0</v>
      </c>
      <c r="J311" s="18">
        <v>1.2125232932873567E-3</v>
      </c>
    </row>
    <row r="312" spans="1:10" x14ac:dyDescent="0.45">
      <c r="A312" s="15" t="s">
        <v>767</v>
      </c>
      <c r="B312" s="18">
        <v>0</v>
      </c>
      <c r="C312" s="18">
        <v>0</v>
      </c>
      <c r="D312" s="18">
        <v>1.2095055912485944E-3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1.2095055912485944E-3</v>
      </c>
    </row>
    <row r="313" spans="1:10" x14ac:dyDescent="0.45">
      <c r="A313" s="15" t="s">
        <v>1131</v>
      </c>
      <c r="B313" s="18">
        <v>0</v>
      </c>
      <c r="C313" s="18">
        <v>1.2064899937321758E-3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1.2064899937321758E-3</v>
      </c>
    </row>
    <row r="314" spans="1:10" x14ac:dyDescent="0.45">
      <c r="A314" s="15" t="s">
        <v>819</v>
      </c>
      <c r="B314" s="18">
        <v>0</v>
      </c>
      <c r="C314" s="18">
        <v>1.2029148403249854E-3</v>
      </c>
      <c r="D314" s="18">
        <v>0</v>
      </c>
      <c r="E314" s="18">
        <v>0</v>
      </c>
      <c r="F314" s="18">
        <v>0</v>
      </c>
      <c r="G314" s="18">
        <v>0</v>
      </c>
      <c r="H314" s="18">
        <v>0</v>
      </c>
      <c r="I314" s="18">
        <v>0</v>
      </c>
      <c r="J314" s="18">
        <v>1.2029148403249854E-3</v>
      </c>
    </row>
    <row r="315" spans="1:10" x14ac:dyDescent="0.45">
      <c r="A315" s="15" t="s">
        <v>1291</v>
      </c>
      <c r="B315" s="18">
        <v>1.1994666390256386E-3</v>
      </c>
      <c r="C315" s="18">
        <v>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1.1994666390256386E-3</v>
      </c>
    </row>
    <row r="316" spans="1:10" x14ac:dyDescent="0.45">
      <c r="A316" s="15" t="s">
        <v>1015</v>
      </c>
      <c r="B316" s="18">
        <v>0</v>
      </c>
      <c r="C316" s="18">
        <v>0</v>
      </c>
      <c r="D316" s="18">
        <v>0</v>
      </c>
      <c r="E316" s="18">
        <v>0</v>
      </c>
      <c r="F316" s="18">
        <v>1.1928039390581512E-3</v>
      </c>
      <c r="G316" s="18">
        <v>0</v>
      </c>
      <c r="H316" s="18">
        <v>0</v>
      </c>
      <c r="I316" s="18">
        <v>0</v>
      </c>
      <c r="J316" s="18">
        <v>1.1928039390581512E-3</v>
      </c>
    </row>
    <row r="317" spans="1:10" x14ac:dyDescent="0.45">
      <c r="A317" s="15" t="s">
        <v>1132</v>
      </c>
      <c r="B317" s="18">
        <v>0</v>
      </c>
      <c r="C317" s="18">
        <v>0</v>
      </c>
      <c r="D317" s="18">
        <v>0</v>
      </c>
      <c r="E317" s="18">
        <v>1.1869508049157755E-3</v>
      </c>
      <c r="F317" s="18">
        <v>0</v>
      </c>
      <c r="G317" s="18">
        <v>0</v>
      </c>
      <c r="H317" s="18">
        <v>0</v>
      </c>
      <c r="I317" s="18">
        <v>0</v>
      </c>
      <c r="J317" s="18">
        <v>1.1869508049157755E-3</v>
      </c>
    </row>
    <row r="318" spans="1:10" x14ac:dyDescent="0.45">
      <c r="A318" s="15" t="s">
        <v>1166</v>
      </c>
      <c r="B318" s="18">
        <v>0</v>
      </c>
      <c r="C318" s="18">
        <v>0</v>
      </c>
      <c r="D318" s="18">
        <v>0</v>
      </c>
      <c r="E318" s="18">
        <v>1.186580813417598E-3</v>
      </c>
      <c r="F318" s="18">
        <v>0</v>
      </c>
      <c r="G318" s="18">
        <v>0</v>
      </c>
      <c r="H318" s="18">
        <v>0</v>
      </c>
      <c r="I318" s="18">
        <v>0</v>
      </c>
      <c r="J318" s="18">
        <v>1.186580813417598E-3</v>
      </c>
    </row>
    <row r="319" spans="1:10" x14ac:dyDescent="0.45">
      <c r="A319" s="15" t="s">
        <v>1163</v>
      </c>
      <c r="B319" s="18">
        <v>0</v>
      </c>
      <c r="C319" s="18">
        <v>0</v>
      </c>
      <c r="D319" s="18">
        <v>0</v>
      </c>
      <c r="E319" s="18">
        <v>0</v>
      </c>
      <c r="F319" s="18">
        <v>0</v>
      </c>
      <c r="G319" s="18">
        <v>0</v>
      </c>
      <c r="H319" s="18">
        <v>1.1854705506950047E-3</v>
      </c>
      <c r="I319" s="18">
        <v>0</v>
      </c>
      <c r="J319" s="18">
        <v>1.1854705506950047E-3</v>
      </c>
    </row>
    <row r="320" spans="1:10" x14ac:dyDescent="0.45">
      <c r="A320" s="15" t="s">
        <v>879</v>
      </c>
      <c r="B320" s="18">
        <v>0</v>
      </c>
      <c r="C320" s="18">
        <v>0</v>
      </c>
      <c r="D320" s="18">
        <v>1.1853363489651933E-3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1.1853363489651933E-3</v>
      </c>
    </row>
    <row r="321" spans="1:10" x14ac:dyDescent="0.45">
      <c r="A321" s="15" t="s">
        <v>1114</v>
      </c>
      <c r="B321" s="18">
        <v>0</v>
      </c>
      <c r="C321" s="18">
        <v>0</v>
      </c>
      <c r="D321" s="18">
        <v>0</v>
      </c>
      <c r="E321" s="18">
        <v>0</v>
      </c>
      <c r="F321" s="18">
        <v>1.1786329438755417E-3</v>
      </c>
      <c r="G321" s="18">
        <v>0</v>
      </c>
      <c r="H321" s="18">
        <v>0</v>
      </c>
      <c r="I321" s="18">
        <v>0</v>
      </c>
      <c r="J321" s="18">
        <v>1.1786329438755417E-3</v>
      </c>
    </row>
    <row r="322" spans="1:10" x14ac:dyDescent="0.45">
      <c r="A322" s="15" t="s">
        <v>1362</v>
      </c>
      <c r="B322" s="18">
        <v>0</v>
      </c>
      <c r="C322" s="18">
        <v>0</v>
      </c>
      <c r="D322" s="18">
        <v>0</v>
      </c>
      <c r="E322" s="18">
        <v>0</v>
      </c>
      <c r="F322" s="18">
        <v>0</v>
      </c>
      <c r="G322" s="18">
        <v>1.1684113776737842E-3</v>
      </c>
      <c r="H322" s="18">
        <v>0</v>
      </c>
      <c r="I322" s="18">
        <v>0</v>
      </c>
      <c r="J322" s="18">
        <v>1.1684113776737842E-3</v>
      </c>
    </row>
    <row r="323" spans="1:10" x14ac:dyDescent="0.45">
      <c r="A323" s="15" t="s">
        <v>1098</v>
      </c>
      <c r="B323" s="18">
        <v>0</v>
      </c>
      <c r="C323" s="18">
        <v>0</v>
      </c>
      <c r="D323" s="18">
        <v>0</v>
      </c>
      <c r="E323" s="18">
        <v>0</v>
      </c>
      <c r="F323" s="18">
        <v>0</v>
      </c>
      <c r="G323" s="18">
        <v>0</v>
      </c>
      <c r="H323" s="18">
        <v>1.1636463145233936E-3</v>
      </c>
      <c r="I323" s="18">
        <v>0</v>
      </c>
      <c r="J323" s="18">
        <v>1.1636463145233936E-3</v>
      </c>
    </row>
    <row r="324" spans="1:10" x14ac:dyDescent="0.45">
      <c r="A324" s="15" t="s">
        <v>1033</v>
      </c>
      <c r="B324" s="18">
        <v>1.1619964568469533E-3</v>
      </c>
      <c r="C324" s="18">
        <v>0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1.1619964568469533E-3</v>
      </c>
    </row>
    <row r="325" spans="1:10" x14ac:dyDescent="0.45">
      <c r="A325" s="15" t="s">
        <v>1174</v>
      </c>
      <c r="B325" s="18">
        <v>0</v>
      </c>
      <c r="C325" s="18">
        <v>0</v>
      </c>
      <c r="D325" s="18">
        <v>0</v>
      </c>
      <c r="E325" s="18">
        <v>0</v>
      </c>
      <c r="F325" s="18">
        <v>0</v>
      </c>
      <c r="G325" s="18">
        <v>1.1591807230724759E-3</v>
      </c>
      <c r="H325" s="18">
        <v>0</v>
      </c>
      <c r="I325" s="18">
        <v>0</v>
      </c>
      <c r="J325" s="18">
        <v>1.1591807230724759E-3</v>
      </c>
    </row>
    <row r="326" spans="1:10" x14ac:dyDescent="0.45">
      <c r="A326" s="15" t="s">
        <v>999</v>
      </c>
      <c r="B326" s="18">
        <v>0</v>
      </c>
      <c r="C326" s="18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1.1526855229533244E-3</v>
      </c>
      <c r="I326" s="18">
        <v>0</v>
      </c>
      <c r="J326" s="18">
        <v>1.1526855229533244E-3</v>
      </c>
    </row>
    <row r="327" spans="1:10" x14ac:dyDescent="0.45">
      <c r="A327" s="15" t="s">
        <v>1183</v>
      </c>
      <c r="B327" s="18">
        <v>0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1.1403446322958257E-3</v>
      </c>
      <c r="I327" s="18">
        <v>0</v>
      </c>
      <c r="J327" s="18">
        <v>1.1403446322958257E-3</v>
      </c>
    </row>
    <row r="328" spans="1:10" x14ac:dyDescent="0.45">
      <c r="A328" s="15" t="s">
        <v>901</v>
      </c>
      <c r="B328" s="18">
        <v>0</v>
      </c>
      <c r="C328" s="18">
        <v>0</v>
      </c>
      <c r="D328" s="18">
        <v>0</v>
      </c>
      <c r="E328" s="18">
        <v>1.1358916487637656E-3</v>
      </c>
      <c r="F328" s="18">
        <v>0</v>
      </c>
      <c r="G328" s="18">
        <v>0</v>
      </c>
      <c r="H328" s="18">
        <v>0</v>
      </c>
      <c r="I328" s="18">
        <v>0</v>
      </c>
      <c r="J328" s="18">
        <v>1.1358916487637656E-3</v>
      </c>
    </row>
    <row r="329" spans="1:10" x14ac:dyDescent="0.45">
      <c r="A329" s="15" t="s">
        <v>838</v>
      </c>
      <c r="B329" s="18">
        <v>0</v>
      </c>
      <c r="C329" s="18">
        <v>0</v>
      </c>
      <c r="D329" s="18">
        <v>1.1287244023745386E-3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1.1287244023745386E-3</v>
      </c>
    </row>
    <row r="330" spans="1:10" x14ac:dyDescent="0.45">
      <c r="A330" s="15" t="s">
        <v>1182</v>
      </c>
      <c r="B330" s="18">
        <v>0</v>
      </c>
      <c r="C330" s="18">
        <v>0</v>
      </c>
      <c r="D330" s="18">
        <v>0</v>
      </c>
      <c r="E330" s="18">
        <v>0</v>
      </c>
      <c r="F330" s="18">
        <v>0</v>
      </c>
      <c r="G330" s="18">
        <v>1.1244737384704941E-3</v>
      </c>
      <c r="H330" s="18">
        <v>0</v>
      </c>
      <c r="I330" s="18">
        <v>0</v>
      </c>
      <c r="J330" s="18">
        <v>1.1244737384704941E-3</v>
      </c>
    </row>
    <row r="331" spans="1:10" x14ac:dyDescent="0.45">
      <c r="A331" s="15" t="s">
        <v>978</v>
      </c>
      <c r="B331" s="18">
        <v>0</v>
      </c>
      <c r="C331" s="18">
        <v>0</v>
      </c>
      <c r="D331" s="18">
        <v>0</v>
      </c>
      <c r="E331" s="18">
        <v>0</v>
      </c>
      <c r="F331" s="18">
        <v>0</v>
      </c>
      <c r="G331" s="18">
        <v>1.1207657531030349E-3</v>
      </c>
      <c r="H331" s="18">
        <v>0</v>
      </c>
      <c r="I331" s="18">
        <v>0</v>
      </c>
      <c r="J331" s="18">
        <v>1.1207657531030349E-3</v>
      </c>
    </row>
    <row r="332" spans="1:10" x14ac:dyDescent="0.45">
      <c r="A332" s="15" t="s">
        <v>1083</v>
      </c>
      <c r="B332" s="18">
        <v>0</v>
      </c>
      <c r="C332" s="18">
        <v>0</v>
      </c>
      <c r="D332" s="18">
        <v>1.1196859135384431E-3</v>
      </c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1.1196859135384431E-3</v>
      </c>
    </row>
    <row r="333" spans="1:10" x14ac:dyDescent="0.45">
      <c r="A333" s="15" t="s">
        <v>897</v>
      </c>
      <c r="B333" s="18">
        <v>0</v>
      </c>
      <c r="C333" s="18">
        <v>0</v>
      </c>
      <c r="D333" s="18">
        <v>0</v>
      </c>
      <c r="E333" s="18">
        <v>1.1158281776810918E-3</v>
      </c>
      <c r="F333" s="18">
        <v>0</v>
      </c>
      <c r="G333" s="18">
        <v>0</v>
      </c>
      <c r="H333" s="18">
        <v>0</v>
      </c>
      <c r="I333" s="18">
        <v>0</v>
      </c>
      <c r="J333" s="18">
        <v>1.1158281776810918E-3</v>
      </c>
    </row>
    <row r="334" spans="1:10" x14ac:dyDescent="0.45">
      <c r="A334" s="15" t="s">
        <v>984</v>
      </c>
      <c r="B334" s="18">
        <v>0</v>
      </c>
      <c r="C334" s="18">
        <v>1.1150645654738668E-3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1.1150645654738668E-3</v>
      </c>
    </row>
    <row r="335" spans="1:10" x14ac:dyDescent="0.45">
      <c r="A335" s="15" t="s">
        <v>799</v>
      </c>
      <c r="B335" s="18">
        <v>0</v>
      </c>
      <c r="C335" s="18">
        <v>0</v>
      </c>
      <c r="D335" s="18">
        <v>0</v>
      </c>
      <c r="E335" s="18">
        <v>0</v>
      </c>
      <c r="F335" s="18">
        <v>0</v>
      </c>
      <c r="G335" s="18">
        <v>1.1120357698573247E-3</v>
      </c>
      <c r="H335" s="18">
        <v>0</v>
      </c>
      <c r="I335" s="18">
        <v>0</v>
      </c>
      <c r="J335" s="18">
        <v>1.1120357698573247E-3</v>
      </c>
    </row>
    <row r="336" spans="1:10" x14ac:dyDescent="0.45">
      <c r="A336" s="15" t="s">
        <v>1308</v>
      </c>
      <c r="B336" s="18">
        <v>0</v>
      </c>
      <c r="C336" s="18">
        <v>0</v>
      </c>
      <c r="D336" s="18">
        <v>0</v>
      </c>
      <c r="E336" s="18">
        <v>0</v>
      </c>
      <c r="F336" s="18">
        <v>1.1063556677120194E-3</v>
      </c>
      <c r="G336" s="18">
        <v>0</v>
      </c>
      <c r="H336" s="18">
        <v>0</v>
      </c>
      <c r="I336" s="18">
        <v>0</v>
      </c>
      <c r="J336" s="18">
        <v>1.1063556677120194E-3</v>
      </c>
    </row>
    <row r="337" spans="1:10" x14ac:dyDescent="0.45">
      <c r="A337" s="15" t="s">
        <v>839</v>
      </c>
      <c r="B337" s="18">
        <v>0</v>
      </c>
      <c r="C337" s="18">
        <v>1.1053514262500477E-3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1.1053514262500477E-3</v>
      </c>
    </row>
    <row r="338" spans="1:10" x14ac:dyDescent="0.45">
      <c r="A338" s="15" t="s">
        <v>1321</v>
      </c>
      <c r="B338" s="18">
        <v>1.1017305790877298E-3</v>
      </c>
      <c r="C338" s="18">
        <v>0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1.1017305790877298E-3</v>
      </c>
    </row>
    <row r="339" spans="1:10" x14ac:dyDescent="0.45">
      <c r="A339" s="15" t="s">
        <v>868</v>
      </c>
      <c r="B339" s="18">
        <v>0</v>
      </c>
      <c r="C339" s="18">
        <v>0</v>
      </c>
      <c r="D339" s="18">
        <v>0</v>
      </c>
      <c r="E339" s="18">
        <v>0</v>
      </c>
      <c r="F339" s="18">
        <v>0</v>
      </c>
      <c r="G339" s="18">
        <v>0</v>
      </c>
      <c r="H339" s="18">
        <v>1.1008931768370803E-3</v>
      </c>
      <c r="I339" s="18">
        <v>0</v>
      </c>
      <c r="J339" s="18">
        <v>1.1008931768370803E-3</v>
      </c>
    </row>
    <row r="340" spans="1:10" x14ac:dyDescent="0.45">
      <c r="A340" s="15" t="s">
        <v>771</v>
      </c>
      <c r="B340" s="18">
        <v>0</v>
      </c>
      <c r="C340" s="18">
        <v>1.0975682364963873E-3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1.0975682364963873E-3</v>
      </c>
    </row>
    <row r="341" spans="1:10" x14ac:dyDescent="0.45">
      <c r="A341" s="15" t="s">
        <v>1186</v>
      </c>
      <c r="B341" s="18">
        <v>0</v>
      </c>
      <c r="C341" s="18">
        <v>0</v>
      </c>
      <c r="D341" s="18">
        <v>0</v>
      </c>
      <c r="E341" s="18">
        <v>0</v>
      </c>
      <c r="F341" s="18">
        <v>0</v>
      </c>
      <c r="G341" s="18">
        <v>1.0966291922216104E-3</v>
      </c>
      <c r="H341" s="18">
        <v>0</v>
      </c>
      <c r="I341" s="18">
        <v>0</v>
      </c>
      <c r="J341" s="18">
        <v>1.0966291922216104E-3</v>
      </c>
    </row>
    <row r="342" spans="1:10" x14ac:dyDescent="0.45">
      <c r="A342" s="15" t="s">
        <v>1266</v>
      </c>
      <c r="B342" s="18">
        <v>0</v>
      </c>
      <c r="C342" s="18">
        <v>0</v>
      </c>
      <c r="D342" s="18">
        <v>0</v>
      </c>
      <c r="E342" s="18">
        <v>0</v>
      </c>
      <c r="F342" s="18">
        <v>0</v>
      </c>
      <c r="G342" s="18">
        <v>1.0910665324881843E-3</v>
      </c>
      <c r="H342" s="18">
        <v>0</v>
      </c>
      <c r="I342" s="18">
        <v>0</v>
      </c>
      <c r="J342" s="18">
        <v>1.0910665324881843E-3</v>
      </c>
    </row>
    <row r="343" spans="1:10" x14ac:dyDescent="0.45">
      <c r="A343" s="15" t="s">
        <v>1227</v>
      </c>
      <c r="B343" s="18">
        <v>1.0851736247035344E-3</v>
      </c>
      <c r="C343" s="18">
        <v>0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1.0851736247035344E-3</v>
      </c>
    </row>
    <row r="344" spans="1:10" x14ac:dyDescent="0.45">
      <c r="A344" s="15" t="s">
        <v>898</v>
      </c>
      <c r="B344" s="18">
        <v>0</v>
      </c>
      <c r="C344" s="18">
        <v>0</v>
      </c>
      <c r="D344" s="18">
        <v>0</v>
      </c>
      <c r="E344" s="18">
        <v>0</v>
      </c>
      <c r="F344" s="18">
        <v>0</v>
      </c>
      <c r="G344" s="18">
        <v>0</v>
      </c>
      <c r="H344" s="18">
        <v>1.0844517991599558E-3</v>
      </c>
      <c r="I344" s="18">
        <v>0</v>
      </c>
      <c r="J344" s="18">
        <v>1.0844517991599558E-3</v>
      </c>
    </row>
    <row r="345" spans="1:10" x14ac:dyDescent="0.45">
      <c r="A345" s="15" t="s">
        <v>822</v>
      </c>
      <c r="B345" s="18">
        <v>0</v>
      </c>
      <c r="C345" s="18">
        <v>0</v>
      </c>
      <c r="D345" s="18">
        <v>0</v>
      </c>
      <c r="E345" s="18">
        <v>1.083631950455671E-3</v>
      </c>
      <c r="F345" s="18">
        <v>0</v>
      </c>
      <c r="G345" s="18">
        <v>0</v>
      </c>
      <c r="H345" s="18">
        <v>0</v>
      </c>
      <c r="I345" s="18">
        <v>0</v>
      </c>
      <c r="J345" s="18">
        <v>1.083631950455671E-3</v>
      </c>
    </row>
    <row r="346" spans="1:10" x14ac:dyDescent="0.45">
      <c r="A346" s="15" t="s">
        <v>983</v>
      </c>
      <c r="B346" s="18">
        <v>0</v>
      </c>
      <c r="C346" s="18">
        <v>0</v>
      </c>
      <c r="D346" s="18">
        <v>0</v>
      </c>
      <c r="E346" s="18">
        <v>1.0809562570879944E-3</v>
      </c>
      <c r="F346" s="18">
        <v>0</v>
      </c>
      <c r="G346" s="18">
        <v>0</v>
      </c>
      <c r="H346" s="18">
        <v>0</v>
      </c>
      <c r="I346" s="18">
        <v>0</v>
      </c>
      <c r="J346" s="18">
        <v>1.0809562570879944E-3</v>
      </c>
    </row>
    <row r="347" spans="1:10" x14ac:dyDescent="0.45">
      <c r="A347" s="15" t="s">
        <v>1323</v>
      </c>
      <c r="B347" s="18">
        <v>0</v>
      </c>
      <c r="C347" s="18">
        <v>1.0744840401828543E-3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1.0744840401828543E-3</v>
      </c>
    </row>
    <row r="348" spans="1:10" x14ac:dyDescent="0.45">
      <c r="A348" s="15" t="s">
        <v>1017</v>
      </c>
      <c r="B348" s="18">
        <v>0</v>
      </c>
      <c r="C348" s="18">
        <v>0</v>
      </c>
      <c r="D348" s="18">
        <v>1.0702097168726189E-3</v>
      </c>
      <c r="E348" s="18">
        <v>0</v>
      </c>
      <c r="F348" s="18">
        <v>0</v>
      </c>
      <c r="G348" s="18">
        <v>0</v>
      </c>
      <c r="H348" s="18">
        <v>0</v>
      </c>
      <c r="I348" s="18">
        <v>0</v>
      </c>
      <c r="J348" s="18">
        <v>1.0702097168726189E-3</v>
      </c>
    </row>
    <row r="349" spans="1:10" x14ac:dyDescent="0.45">
      <c r="A349" s="15" t="s">
        <v>1008</v>
      </c>
      <c r="B349" s="18">
        <v>0</v>
      </c>
      <c r="C349" s="18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1.0447058542296331E-3</v>
      </c>
      <c r="I349" s="18">
        <v>0</v>
      </c>
      <c r="J349" s="18">
        <v>1.0447058542296331E-3</v>
      </c>
    </row>
    <row r="350" spans="1:10" x14ac:dyDescent="0.45">
      <c r="A350" s="15" t="s">
        <v>1260</v>
      </c>
      <c r="B350" s="18">
        <v>0</v>
      </c>
      <c r="C350" s="18">
        <v>0</v>
      </c>
      <c r="D350" s="18">
        <v>0</v>
      </c>
      <c r="E350" s="18">
        <v>0</v>
      </c>
      <c r="F350" s="18">
        <v>0</v>
      </c>
      <c r="G350" s="18">
        <v>0</v>
      </c>
      <c r="H350" s="18">
        <v>1.0437479214093176E-3</v>
      </c>
      <c r="I350" s="18">
        <v>0</v>
      </c>
      <c r="J350" s="18">
        <v>1.0437479214093176E-3</v>
      </c>
    </row>
    <row r="351" spans="1:10" x14ac:dyDescent="0.45">
      <c r="A351" s="15" t="s">
        <v>931</v>
      </c>
      <c r="B351" s="18">
        <v>0</v>
      </c>
      <c r="C351" s="18">
        <v>0</v>
      </c>
      <c r="D351" s="18">
        <v>0</v>
      </c>
      <c r="E351" s="18">
        <v>0</v>
      </c>
      <c r="F351" s="18">
        <v>0</v>
      </c>
      <c r="G351" s="18">
        <v>1.0364174528421709E-3</v>
      </c>
      <c r="H351" s="18">
        <v>0</v>
      </c>
      <c r="I351" s="18">
        <v>0</v>
      </c>
      <c r="J351" s="18">
        <v>1.0364174528421709E-3</v>
      </c>
    </row>
    <row r="352" spans="1:10" x14ac:dyDescent="0.45">
      <c r="A352" s="15" t="s">
        <v>1126</v>
      </c>
      <c r="B352" s="18">
        <v>0</v>
      </c>
      <c r="C352" s="18">
        <v>0</v>
      </c>
      <c r="D352" s="18">
        <v>0</v>
      </c>
      <c r="E352" s="18">
        <v>0</v>
      </c>
      <c r="F352" s="18">
        <v>0</v>
      </c>
      <c r="G352" s="18">
        <v>1.032658371502229E-3</v>
      </c>
      <c r="H352" s="18">
        <v>0</v>
      </c>
      <c r="I352" s="18">
        <v>0</v>
      </c>
      <c r="J352" s="18">
        <v>1.032658371502229E-3</v>
      </c>
    </row>
    <row r="353" spans="1:10" x14ac:dyDescent="0.45">
      <c r="A353" s="15" t="s">
        <v>1046</v>
      </c>
      <c r="B353" s="18">
        <v>1.0324421345764543E-3</v>
      </c>
      <c r="C353" s="18">
        <v>0</v>
      </c>
      <c r="D353" s="18">
        <v>0</v>
      </c>
      <c r="E353" s="18">
        <v>0</v>
      </c>
      <c r="F353" s="18">
        <v>0</v>
      </c>
      <c r="G353" s="18">
        <v>0</v>
      </c>
      <c r="H353" s="18">
        <v>0</v>
      </c>
      <c r="I353" s="18">
        <v>0</v>
      </c>
      <c r="J353" s="18">
        <v>1.0324421345764543E-3</v>
      </c>
    </row>
    <row r="354" spans="1:10" x14ac:dyDescent="0.45">
      <c r="A354" s="15" t="s">
        <v>888</v>
      </c>
      <c r="B354" s="18">
        <v>1.0079299027315539E-3</v>
      </c>
      <c r="C354" s="18">
        <v>0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1.0079299027315539E-3</v>
      </c>
    </row>
    <row r="355" spans="1:10" x14ac:dyDescent="0.45">
      <c r="A355" s="15" t="s">
        <v>738</v>
      </c>
      <c r="B355" s="18">
        <v>0</v>
      </c>
      <c r="C355" s="18">
        <v>0</v>
      </c>
      <c r="D355" s="18">
        <v>0</v>
      </c>
      <c r="E355" s="18">
        <v>0</v>
      </c>
      <c r="F355" s="18">
        <v>0</v>
      </c>
      <c r="G355" s="18">
        <v>0</v>
      </c>
      <c r="H355" s="18">
        <v>1.0026657877927599E-3</v>
      </c>
      <c r="I355" s="18">
        <v>0</v>
      </c>
      <c r="J355" s="18">
        <v>1.0026657877927599E-3</v>
      </c>
    </row>
    <row r="356" spans="1:10" x14ac:dyDescent="0.45">
      <c r="A356" s="15" t="s">
        <v>796</v>
      </c>
      <c r="B356" s="18">
        <v>0</v>
      </c>
      <c r="C356" s="18">
        <v>0</v>
      </c>
      <c r="D356" s="18">
        <v>0</v>
      </c>
      <c r="E356" s="18">
        <v>0</v>
      </c>
      <c r="F356" s="18">
        <v>0</v>
      </c>
      <c r="G356" s="18">
        <v>1.0017438514546169E-3</v>
      </c>
      <c r="H356" s="18">
        <v>0</v>
      </c>
      <c r="I356" s="18">
        <v>0</v>
      </c>
      <c r="J356" s="18">
        <v>1.0017438514546169E-3</v>
      </c>
    </row>
    <row r="357" spans="1:10" x14ac:dyDescent="0.45">
      <c r="A357" s="15" t="s">
        <v>1281</v>
      </c>
      <c r="B357" s="18">
        <v>0</v>
      </c>
      <c r="C357" s="18">
        <v>0</v>
      </c>
      <c r="D357" s="18">
        <v>0</v>
      </c>
      <c r="E357" s="18">
        <v>1.0007937053669723E-3</v>
      </c>
      <c r="F357" s="18">
        <v>0</v>
      </c>
      <c r="G357" s="18">
        <v>0</v>
      </c>
      <c r="H357" s="18">
        <v>0</v>
      </c>
      <c r="I357" s="18">
        <v>0</v>
      </c>
      <c r="J357" s="18">
        <v>1.0007937053669723E-3</v>
      </c>
    </row>
    <row r="358" spans="1:10" x14ac:dyDescent="0.45">
      <c r="A358" s="15" t="s">
        <v>756</v>
      </c>
      <c r="B358" s="18">
        <v>1.0007453928540415E-3</v>
      </c>
      <c r="C358" s="18">
        <v>0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1.0007453928540415E-3</v>
      </c>
    </row>
    <row r="359" spans="1:10" x14ac:dyDescent="0.45">
      <c r="A359" s="15" t="s">
        <v>1149</v>
      </c>
      <c r="B359" s="18">
        <v>9.9677710552297199E-4</v>
      </c>
      <c r="C359" s="18">
        <v>0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9.9677710552297199E-4</v>
      </c>
    </row>
    <row r="360" spans="1:10" x14ac:dyDescent="0.45">
      <c r="A360" s="15" t="s">
        <v>1235</v>
      </c>
      <c r="B360" s="18">
        <v>0</v>
      </c>
      <c r="C360" s="18">
        <v>0</v>
      </c>
      <c r="D360" s="18">
        <v>0</v>
      </c>
      <c r="E360" s="18">
        <v>0</v>
      </c>
      <c r="F360" s="18">
        <v>0</v>
      </c>
      <c r="G360" s="18">
        <v>0</v>
      </c>
      <c r="H360" s="18">
        <v>9.945407979902285E-4</v>
      </c>
      <c r="I360" s="18">
        <v>0</v>
      </c>
      <c r="J360" s="18">
        <v>9.945407979902285E-4</v>
      </c>
    </row>
    <row r="361" spans="1:10" x14ac:dyDescent="0.45">
      <c r="A361" s="15" t="s">
        <v>1248</v>
      </c>
      <c r="B361" s="18">
        <v>0</v>
      </c>
      <c r="C361" s="18">
        <v>0</v>
      </c>
      <c r="D361" s="18">
        <v>9.9366760970964058E-4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9.9366760970964058E-4</v>
      </c>
    </row>
    <row r="362" spans="1:10" x14ac:dyDescent="0.45">
      <c r="A362" s="15" t="s">
        <v>857</v>
      </c>
      <c r="B362" s="18">
        <v>0</v>
      </c>
      <c r="C362" s="18">
        <v>0</v>
      </c>
      <c r="D362" s="18">
        <v>0</v>
      </c>
      <c r="E362" s="18">
        <v>0</v>
      </c>
      <c r="F362" s="18">
        <v>9.897972650184223E-4</v>
      </c>
      <c r="G362" s="18">
        <v>0</v>
      </c>
      <c r="H362" s="18">
        <v>0</v>
      </c>
      <c r="I362" s="18">
        <v>0</v>
      </c>
      <c r="J362" s="18">
        <v>9.897972650184223E-4</v>
      </c>
    </row>
    <row r="363" spans="1:10" x14ac:dyDescent="0.45">
      <c r="A363" s="15" t="s">
        <v>1277</v>
      </c>
      <c r="B363" s="18">
        <v>0</v>
      </c>
      <c r="C363" s="18">
        <v>0</v>
      </c>
      <c r="D363" s="18">
        <v>0</v>
      </c>
      <c r="E363" s="18">
        <v>0</v>
      </c>
      <c r="F363" s="18">
        <v>9.8753678109899973E-4</v>
      </c>
      <c r="G363" s="18">
        <v>0</v>
      </c>
      <c r="H363" s="18">
        <v>0</v>
      </c>
      <c r="I363" s="18">
        <v>0</v>
      </c>
      <c r="J363" s="18">
        <v>9.8753678109899973E-4</v>
      </c>
    </row>
    <row r="364" spans="1:10" x14ac:dyDescent="0.45">
      <c r="A364" s="15" t="s">
        <v>1348</v>
      </c>
      <c r="B364" s="18">
        <v>0</v>
      </c>
      <c r="C364" s="18">
        <v>0</v>
      </c>
      <c r="D364" s="18">
        <v>0</v>
      </c>
      <c r="E364" s="18">
        <v>0</v>
      </c>
      <c r="F364" s="18">
        <v>9.8695889024356703E-4</v>
      </c>
      <c r="G364" s="18">
        <v>0</v>
      </c>
      <c r="H364" s="18">
        <v>0</v>
      </c>
      <c r="I364" s="18">
        <v>0</v>
      </c>
      <c r="J364" s="18">
        <v>9.8695889024356703E-4</v>
      </c>
    </row>
    <row r="365" spans="1:10" x14ac:dyDescent="0.45">
      <c r="A365" s="15" t="s">
        <v>1355</v>
      </c>
      <c r="B365" s="18">
        <v>9.7850085520511439E-4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9.7850085520511439E-4</v>
      </c>
    </row>
    <row r="366" spans="1:10" x14ac:dyDescent="0.45">
      <c r="A366" s="15" t="s">
        <v>777</v>
      </c>
      <c r="B366" s="18">
        <v>0</v>
      </c>
      <c r="C366" s="18">
        <v>0</v>
      </c>
      <c r="D366" s="18">
        <v>0</v>
      </c>
      <c r="E366" s="18">
        <v>0</v>
      </c>
      <c r="F366" s="18">
        <v>0</v>
      </c>
      <c r="G366" s="18">
        <v>0</v>
      </c>
      <c r="H366" s="18">
        <v>9.7597035374893178E-4</v>
      </c>
      <c r="I366" s="18">
        <v>0</v>
      </c>
      <c r="J366" s="18">
        <v>9.7597035374893178E-4</v>
      </c>
    </row>
    <row r="367" spans="1:10" x14ac:dyDescent="0.45">
      <c r="A367" s="15" t="s">
        <v>804</v>
      </c>
      <c r="B367" s="18">
        <v>9.742773826447585E-4</v>
      </c>
      <c r="C367" s="18">
        <v>0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9.742773826447585E-4</v>
      </c>
    </row>
    <row r="368" spans="1:10" x14ac:dyDescent="0.45">
      <c r="A368" s="15" t="s">
        <v>775</v>
      </c>
      <c r="B368" s="18">
        <v>0</v>
      </c>
      <c r="C368" s="18">
        <v>0</v>
      </c>
      <c r="D368" s="18">
        <v>0</v>
      </c>
      <c r="E368" s="18">
        <v>0</v>
      </c>
      <c r="F368" s="18">
        <v>9.6613496739722234E-4</v>
      </c>
      <c r="G368" s="18">
        <v>0</v>
      </c>
      <c r="H368" s="18">
        <v>0</v>
      </c>
      <c r="I368" s="18">
        <v>0</v>
      </c>
      <c r="J368" s="18">
        <v>9.6613496739722234E-4</v>
      </c>
    </row>
    <row r="369" spans="1:10" x14ac:dyDescent="0.45">
      <c r="A369" s="15" t="s">
        <v>1290</v>
      </c>
      <c r="B369" s="18">
        <v>0</v>
      </c>
      <c r="C369" s="18">
        <v>0</v>
      </c>
      <c r="D369" s="18">
        <v>0</v>
      </c>
      <c r="E369" s="18">
        <v>9.6256976472067863E-4</v>
      </c>
      <c r="F369" s="18">
        <v>0</v>
      </c>
      <c r="G369" s="18">
        <v>0</v>
      </c>
      <c r="H369" s="18">
        <v>0</v>
      </c>
      <c r="I369" s="18">
        <v>0</v>
      </c>
      <c r="J369" s="18">
        <v>9.6256976472067863E-4</v>
      </c>
    </row>
    <row r="370" spans="1:10" x14ac:dyDescent="0.45">
      <c r="A370" s="15" t="s">
        <v>1347</v>
      </c>
      <c r="B370" s="18">
        <v>0</v>
      </c>
      <c r="C370" s="18">
        <v>0</v>
      </c>
      <c r="D370" s="18">
        <v>0</v>
      </c>
      <c r="E370" s="18">
        <v>0</v>
      </c>
      <c r="F370" s="18">
        <v>0</v>
      </c>
      <c r="G370" s="18">
        <v>0</v>
      </c>
      <c r="H370" s="18">
        <v>9.5747882543548049E-4</v>
      </c>
      <c r="I370" s="18">
        <v>0</v>
      </c>
      <c r="J370" s="18">
        <v>9.5747882543548049E-4</v>
      </c>
    </row>
    <row r="371" spans="1:10" x14ac:dyDescent="0.45">
      <c r="A371" s="15" t="s">
        <v>1023</v>
      </c>
      <c r="B371" s="18">
        <v>0</v>
      </c>
      <c r="C371" s="18">
        <v>9.5677230251436875E-4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9.5677230251436875E-4</v>
      </c>
    </row>
    <row r="372" spans="1:10" x14ac:dyDescent="0.45">
      <c r="A372" s="15" t="s">
        <v>1203</v>
      </c>
      <c r="B372" s="18">
        <v>0</v>
      </c>
      <c r="C372" s="18">
        <v>0</v>
      </c>
      <c r="D372" s="18">
        <v>0</v>
      </c>
      <c r="E372" s="18">
        <v>0</v>
      </c>
      <c r="F372" s="18">
        <v>0</v>
      </c>
      <c r="G372" s="18">
        <v>0</v>
      </c>
      <c r="H372" s="18">
        <v>9.5417737888421963E-4</v>
      </c>
      <c r="I372" s="18">
        <v>0</v>
      </c>
      <c r="J372" s="18">
        <v>9.5417737888421963E-4</v>
      </c>
    </row>
    <row r="373" spans="1:10" x14ac:dyDescent="0.45">
      <c r="A373" s="15" t="s">
        <v>919</v>
      </c>
      <c r="B373" s="18">
        <v>9.5055143694781051E-4</v>
      </c>
      <c r="C373" s="18">
        <v>0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9.5055143694781051E-4</v>
      </c>
    </row>
    <row r="374" spans="1:10" x14ac:dyDescent="0.45">
      <c r="A374" s="15" t="s">
        <v>892</v>
      </c>
      <c r="B374" s="18">
        <v>9.5002337020135756E-4</v>
      </c>
      <c r="C374" s="18">
        <v>0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9.5002337020135756E-4</v>
      </c>
    </row>
    <row r="375" spans="1:10" x14ac:dyDescent="0.45">
      <c r="A375" s="15" t="s">
        <v>745</v>
      </c>
      <c r="B375" s="18">
        <v>0</v>
      </c>
      <c r="C375" s="18">
        <v>0</v>
      </c>
      <c r="D375" s="18">
        <v>0</v>
      </c>
      <c r="E375" s="18">
        <v>0</v>
      </c>
      <c r="F375" s="18">
        <v>0</v>
      </c>
      <c r="G375" s="18">
        <v>9.489153995780996E-4</v>
      </c>
      <c r="H375" s="18">
        <v>0</v>
      </c>
      <c r="I375" s="18">
        <v>0</v>
      </c>
      <c r="J375" s="18">
        <v>9.489153995780996E-4</v>
      </c>
    </row>
    <row r="376" spans="1:10" x14ac:dyDescent="0.45">
      <c r="A376" s="15" t="s">
        <v>1342</v>
      </c>
      <c r="B376" s="18">
        <v>0</v>
      </c>
      <c r="C376" s="18">
        <v>0</v>
      </c>
      <c r="D376" s="18">
        <v>0</v>
      </c>
      <c r="E376" s="18">
        <v>0</v>
      </c>
      <c r="F376" s="18">
        <v>0</v>
      </c>
      <c r="G376" s="18">
        <v>0</v>
      </c>
      <c r="H376" s="18">
        <v>9.3880547188160131E-4</v>
      </c>
      <c r="I376" s="18">
        <v>0</v>
      </c>
      <c r="J376" s="18">
        <v>9.3880547188160131E-4</v>
      </c>
    </row>
    <row r="377" spans="1:10" x14ac:dyDescent="0.45">
      <c r="A377" s="15" t="s">
        <v>1237</v>
      </c>
      <c r="B377" s="18">
        <v>0</v>
      </c>
      <c r="C377" s="18">
        <v>0</v>
      </c>
      <c r="D377" s="18">
        <v>0</v>
      </c>
      <c r="E377" s="18">
        <v>0</v>
      </c>
      <c r="F377" s="18">
        <v>9.3238475172319917E-4</v>
      </c>
      <c r="G377" s="18">
        <v>0</v>
      </c>
      <c r="H377" s="18">
        <v>0</v>
      </c>
      <c r="I377" s="18">
        <v>0</v>
      </c>
      <c r="J377" s="18">
        <v>9.3238475172319917E-4</v>
      </c>
    </row>
    <row r="378" spans="1:10" x14ac:dyDescent="0.45">
      <c r="A378" s="15" t="s">
        <v>1296</v>
      </c>
      <c r="B378" s="18">
        <v>0</v>
      </c>
      <c r="C378" s="18">
        <v>0</v>
      </c>
      <c r="D378" s="18">
        <v>0</v>
      </c>
      <c r="E378" s="18">
        <v>0</v>
      </c>
      <c r="F378" s="18">
        <v>9.3024788378619997E-4</v>
      </c>
      <c r="G378" s="18">
        <v>0</v>
      </c>
      <c r="H378" s="18">
        <v>0</v>
      </c>
      <c r="I378" s="18">
        <v>0</v>
      </c>
      <c r="J378" s="18">
        <v>9.3024788378619997E-4</v>
      </c>
    </row>
    <row r="379" spans="1:10" x14ac:dyDescent="0.45">
      <c r="A379" s="15" t="s">
        <v>826</v>
      </c>
      <c r="B379" s="18">
        <v>0</v>
      </c>
      <c r="C379" s="18">
        <v>0</v>
      </c>
      <c r="D379" s="18">
        <v>0</v>
      </c>
      <c r="E379" s="18">
        <v>0</v>
      </c>
      <c r="F379" s="18">
        <v>0</v>
      </c>
      <c r="G379" s="18">
        <v>0</v>
      </c>
      <c r="H379" s="18">
        <v>9.2978403242151763E-4</v>
      </c>
      <c r="I379" s="18">
        <v>0</v>
      </c>
      <c r="J379" s="18">
        <v>9.2978403242151763E-4</v>
      </c>
    </row>
    <row r="380" spans="1:10" x14ac:dyDescent="0.45">
      <c r="A380" s="15" t="s">
        <v>1154</v>
      </c>
      <c r="B380" s="18">
        <v>0</v>
      </c>
      <c r="C380" s="18">
        <v>0</v>
      </c>
      <c r="D380" s="18">
        <v>0</v>
      </c>
      <c r="E380" s="18">
        <v>0</v>
      </c>
      <c r="F380" s="18">
        <v>0</v>
      </c>
      <c r="G380" s="18">
        <v>9.1361122290576518E-4</v>
      </c>
      <c r="H380" s="18">
        <v>0</v>
      </c>
      <c r="I380" s="18">
        <v>0</v>
      </c>
      <c r="J380" s="18">
        <v>9.1361122290576518E-4</v>
      </c>
    </row>
    <row r="381" spans="1:10" x14ac:dyDescent="0.45">
      <c r="A381" s="15" t="s">
        <v>877</v>
      </c>
      <c r="B381" s="18">
        <v>0</v>
      </c>
      <c r="C381" s="18">
        <v>0</v>
      </c>
      <c r="D381" s="18">
        <v>0</v>
      </c>
      <c r="E381" s="18">
        <v>0</v>
      </c>
      <c r="F381" s="18">
        <v>0</v>
      </c>
      <c r="G381" s="18">
        <v>0</v>
      </c>
      <c r="H381" s="18">
        <v>9.1221162862135648E-4</v>
      </c>
      <c r="I381" s="18">
        <v>0</v>
      </c>
      <c r="J381" s="18">
        <v>9.1221162862135648E-4</v>
      </c>
    </row>
    <row r="382" spans="1:10" x14ac:dyDescent="0.45">
      <c r="A382" s="15" t="s">
        <v>1035</v>
      </c>
      <c r="B382" s="18">
        <v>0</v>
      </c>
      <c r="C382" s="18">
        <v>0</v>
      </c>
      <c r="D382" s="18">
        <v>0</v>
      </c>
      <c r="E382" s="18">
        <v>0</v>
      </c>
      <c r="F382" s="18">
        <v>0</v>
      </c>
      <c r="G382" s="18">
        <v>0</v>
      </c>
      <c r="H382" s="18">
        <v>9.027769936494006E-4</v>
      </c>
      <c r="I382" s="18">
        <v>0</v>
      </c>
      <c r="J382" s="18">
        <v>9.027769936494006E-4</v>
      </c>
    </row>
    <row r="383" spans="1:10" x14ac:dyDescent="0.45">
      <c r="A383" s="15" t="s">
        <v>1043</v>
      </c>
      <c r="B383" s="18">
        <v>0</v>
      </c>
      <c r="C383" s="18">
        <v>0</v>
      </c>
      <c r="D383" s="18">
        <v>9.0103164738916382E-4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9.0103164738916382E-4</v>
      </c>
    </row>
    <row r="384" spans="1:10" x14ac:dyDescent="0.45">
      <c r="A384" s="15" t="s">
        <v>1059</v>
      </c>
      <c r="B384" s="18">
        <v>8.9936746981068979E-4</v>
      </c>
      <c r="C384" s="18">
        <v>0</v>
      </c>
      <c r="D384" s="18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8.9936746981068979E-4</v>
      </c>
    </row>
    <row r="385" spans="1:10" x14ac:dyDescent="0.45">
      <c r="A385" s="15" t="s">
        <v>1251</v>
      </c>
      <c r="B385" s="18">
        <v>0</v>
      </c>
      <c r="C385" s="18">
        <v>0</v>
      </c>
      <c r="D385" s="18">
        <v>0</v>
      </c>
      <c r="E385" s="18">
        <v>0</v>
      </c>
      <c r="F385" s="18">
        <v>8.9742178949351811E-4</v>
      </c>
      <c r="G385" s="18">
        <v>0</v>
      </c>
      <c r="H385" s="18">
        <v>0</v>
      </c>
      <c r="I385" s="18">
        <v>0</v>
      </c>
      <c r="J385" s="18">
        <v>8.9742178949351811E-4</v>
      </c>
    </row>
    <row r="386" spans="1:10" x14ac:dyDescent="0.45">
      <c r="A386" s="15" t="s">
        <v>764</v>
      </c>
      <c r="B386" s="18">
        <v>0</v>
      </c>
      <c r="C386" s="18">
        <v>8.9724547627161131E-4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8.9724547627161131E-4</v>
      </c>
    </row>
    <row r="387" spans="1:10" x14ac:dyDescent="0.45">
      <c r="A387" s="15" t="s">
        <v>980</v>
      </c>
      <c r="B387" s="18">
        <v>0</v>
      </c>
      <c r="C387" s="18">
        <v>0</v>
      </c>
      <c r="D387" s="18">
        <v>8.943660706311336E-4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8.943660706311336E-4</v>
      </c>
    </row>
    <row r="388" spans="1:10" x14ac:dyDescent="0.45">
      <c r="A388" s="15" t="s">
        <v>1179</v>
      </c>
      <c r="B388" s="18">
        <v>0</v>
      </c>
      <c r="C388" s="18">
        <v>0</v>
      </c>
      <c r="D388" s="18">
        <v>8.9409701385457379E-4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8.9409701385457379E-4</v>
      </c>
    </row>
    <row r="389" spans="1:10" x14ac:dyDescent="0.45">
      <c r="A389" s="15" t="s">
        <v>870</v>
      </c>
      <c r="B389" s="18">
        <v>0</v>
      </c>
      <c r="C389" s="18">
        <v>8.8739141274160745E-4</v>
      </c>
      <c r="D389" s="18">
        <v>0</v>
      </c>
      <c r="E389" s="18">
        <v>0</v>
      </c>
      <c r="F389" s="18">
        <v>0</v>
      </c>
      <c r="G389" s="18">
        <v>0</v>
      </c>
      <c r="H389" s="18">
        <v>0</v>
      </c>
      <c r="I389" s="18">
        <v>0</v>
      </c>
      <c r="J389" s="18">
        <v>8.8739141274160745E-4</v>
      </c>
    </row>
    <row r="390" spans="1:10" x14ac:dyDescent="0.45">
      <c r="A390" s="15" t="s">
        <v>975</v>
      </c>
      <c r="B390" s="18">
        <v>0</v>
      </c>
      <c r="C390" s="18">
        <v>0</v>
      </c>
      <c r="D390" s="18">
        <v>0</v>
      </c>
      <c r="E390" s="18">
        <v>0</v>
      </c>
      <c r="F390" s="18">
        <v>0</v>
      </c>
      <c r="G390" s="18">
        <v>8.8617552587260935E-4</v>
      </c>
      <c r="H390" s="18">
        <v>0</v>
      </c>
      <c r="I390" s="18">
        <v>0</v>
      </c>
      <c r="J390" s="18">
        <v>8.8617552587260935E-4</v>
      </c>
    </row>
    <row r="391" spans="1:10" x14ac:dyDescent="0.45">
      <c r="A391" s="15" t="s">
        <v>766</v>
      </c>
      <c r="B391" s="18">
        <v>0</v>
      </c>
      <c r="C391" s="18">
        <v>0</v>
      </c>
      <c r="D391" s="18">
        <v>0</v>
      </c>
      <c r="E391" s="18">
        <v>0</v>
      </c>
      <c r="F391" s="18">
        <v>8.8274512517225005E-4</v>
      </c>
      <c r="G391" s="18">
        <v>0</v>
      </c>
      <c r="H391" s="18">
        <v>0</v>
      </c>
      <c r="I391" s="18">
        <v>0</v>
      </c>
      <c r="J391" s="18">
        <v>8.8274512517225005E-4</v>
      </c>
    </row>
    <row r="392" spans="1:10" x14ac:dyDescent="0.45">
      <c r="A392" s="15" t="s">
        <v>1222</v>
      </c>
      <c r="B392" s="18">
        <v>0</v>
      </c>
      <c r="C392" s="18">
        <v>0</v>
      </c>
      <c r="D392" s="18">
        <v>0</v>
      </c>
      <c r="E392" s="18">
        <v>0</v>
      </c>
      <c r="F392" s="18">
        <v>0</v>
      </c>
      <c r="G392" s="18">
        <v>8.7973063664760541E-4</v>
      </c>
      <c r="H392" s="18">
        <v>0</v>
      </c>
      <c r="I392" s="18">
        <v>0</v>
      </c>
      <c r="J392" s="18">
        <v>8.7973063664760541E-4</v>
      </c>
    </row>
    <row r="393" spans="1:10" x14ac:dyDescent="0.45">
      <c r="A393" s="15" t="s">
        <v>1119</v>
      </c>
      <c r="B393" s="18">
        <v>0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8.7720204024164844E-4</v>
      </c>
      <c r="I393" s="18">
        <v>0</v>
      </c>
      <c r="J393" s="18">
        <v>8.7720204024164844E-4</v>
      </c>
    </row>
    <row r="394" spans="1:10" x14ac:dyDescent="0.45">
      <c r="A394" s="15" t="s">
        <v>1152</v>
      </c>
      <c r="B394" s="18">
        <v>0</v>
      </c>
      <c r="C394" s="18">
        <v>0</v>
      </c>
      <c r="D394" s="18">
        <v>0</v>
      </c>
      <c r="E394" s="18">
        <v>8.7010896179485835E-4</v>
      </c>
      <c r="F394" s="18">
        <v>0</v>
      </c>
      <c r="G394" s="18">
        <v>0</v>
      </c>
      <c r="H394" s="18">
        <v>0</v>
      </c>
      <c r="I394" s="18">
        <v>0</v>
      </c>
      <c r="J394" s="18">
        <v>8.7010896179485835E-4</v>
      </c>
    </row>
    <row r="395" spans="1:10" x14ac:dyDescent="0.45">
      <c r="A395" s="15" t="s">
        <v>807</v>
      </c>
      <c r="B395" s="18">
        <v>0</v>
      </c>
      <c r="C395" s="18">
        <v>0</v>
      </c>
      <c r="D395" s="18">
        <v>0</v>
      </c>
      <c r="E395" s="18">
        <v>0</v>
      </c>
      <c r="F395" s="18">
        <v>8.5768071607491615E-4</v>
      </c>
      <c r="G395" s="18">
        <v>0</v>
      </c>
      <c r="H395" s="18">
        <v>0</v>
      </c>
      <c r="I395" s="18">
        <v>0</v>
      </c>
      <c r="J395" s="18">
        <v>8.5768071607491615E-4</v>
      </c>
    </row>
    <row r="396" spans="1:10" x14ac:dyDescent="0.45">
      <c r="A396" s="15" t="s">
        <v>1263</v>
      </c>
      <c r="B396" s="18">
        <v>0</v>
      </c>
      <c r="C396" s="18">
        <v>0</v>
      </c>
      <c r="D396" s="18">
        <v>0</v>
      </c>
      <c r="E396" s="18">
        <v>0</v>
      </c>
      <c r="F396" s="18">
        <v>8.4748828012243282E-4</v>
      </c>
      <c r="G396" s="18">
        <v>0</v>
      </c>
      <c r="H396" s="18">
        <v>0</v>
      </c>
      <c r="I396" s="18">
        <v>0</v>
      </c>
      <c r="J396" s="18">
        <v>8.4748828012243282E-4</v>
      </c>
    </row>
    <row r="397" spans="1:10" x14ac:dyDescent="0.45">
      <c r="A397" s="15" t="s">
        <v>1344</v>
      </c>
      <c r="B397" s="18">
        <v>0</v>
      </c>
      <c r="C397" s="18">
        <v>0</v>
      </c>
      <c r="D397" s="18">
        <v>0</v>
      </c>
      <c r="E397" s="18">
        <v>8.4694580197297456E-4</v>
      </c>
      <c r="F397" s="18">
        <v>0</v>
      </c>
      <c r="G397" s="18">
        <v>0</v>
      </c>
      <c r="H397" s="18">
        <v>0</v>
      </c>
      <c r="I397" s="18">
        <v>0</v>
      </c>
      <c r="J397" s="18">
        <v>8.4694580197297456E-4</v>
      </c>
    </row>
    <row r="398" spans="1:10" x14ac:dyDescent="0.45">
      <c r="A398" s="15" t="s">
        <v>1243</v>
      </c>
      <c r="B398" s="18">
        <v>0</v>
      </c>
      <c r="C398" s="18">
        <v>0</v>
      </c>
      <c r="D398" s="18">
        <v>0</v>
      </c>
      <c r="E398" s="18">
        <v>8.4476286878690341E-4</v>
      </c>
      <c r="F398" s="18">
        <v>0</v>
      </c>
      <c r="G398" s="18">
        <v>0</v>
      </c>
      <c r="H398" s="18">
        <v>0</v>
      </c>
      <c r="I398" s="18">
        <v>0</v>
      </c>
      <c r="J398" s="18">
        <v>8.4476286878690341E-4</v>
      </c>
    </row>
    <row r="399" spans="1:10" x14ac:dyDescent="0.45">
      <c r="A399" s="15" t="s">
        <v>1050</v>
      </c>
      <c r="B399" s="18">
        <v>0</v>
      </c>
      <c r="C399" s="18">
        <v>0</v>
      </c>
      <c r="D399" s="18">
        <v>0</v>
      </c>
      <c r="E399" s="18">
        <v>0</v>
      </c>
      <c r="F399" s="18">
        <v>0</v>
      </c>
      <c r="G399" s="18">
        <v>8.2921354689068191E-4</v>
      </c>
      <c r="H399" s="18">
        <v>0</v>
      </c>
      <c r="I399" s="18">
        <v>0</v>
      </c>
      <c r="J399" s="18">
        <v>8.2921354689068191E-4</v>
      </c>
    </row>
    <row r="400" spans="1:10" x14ac:dyDescent="0.45">
      <c r="A400" s="15" t="s">
        <v>1322</v>
      </c>
      <c r="B400" s="18">
        <v>8.2555378985526011E-4</v>
      </c>
      <c r="C400" s="18">
        <v>0</v>
      </c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8.2555378985526011E-4</v>
      </c>
    </row>
    <row r="401" spans="1:10" x14ac:dyDescent="0.45">
      <c r="A401" s="15" t="s">
        <v>1077</v>
      </c>
      <c r="B401" s="18">
        <v>0</v>
      </c>
      <c r="C401" s="18">
        <v>0</v>
      </c>
      <c r="D401" s="18">
        <v>0</v>
      </c>
      <c r="E401" s="18">
        <v>0</v>
      </c>
      <c r="F401" s="18">
        <v>0</v>
      </c>
      <c r="G401" s="18">
        <v>8.1791800267656399E-4</v>
      </c>
      <c r="H401" s="18">
        <v>0</v>
      </c>
      <c r="I401" s="18">
        <v>0</v>
      </c>
      <c r="J401" s="18">
        <v>8.1791800267656399E-4</v>
      </c>
    </row>
    <row r="402" spans="1:10" x14ac:dyDescent="0.45">
      <c r="A402" s="15" t="s">
        <v>803</v>
      </c>
      <c r="B402" s="18">
        <v>0</v>
      </c>
      <c r="C402" s="18">
        <v>8.1716886958306252E-4</v>
      </c>
      <c r="D402" s="18">
        <v>0</v>
      </c>
      <c r="E402" s="18">
        <v>0</v>
      </c>
      <c r="F402" s="18">
        <v>0</v>
      </c>
      <c r="G402" s="18">
        <v>0</v>
      </c>
      <c r="H402" s="18">
        <v>0</v>
      </c>
      <c r="I402" s="18">
        <v>0</v>
      </c>
      <c r="J402" s="18">
        <v>8.1716886958306252E-4</v>
      </c>
    </row>
    <row r="403" spans="1:10" x14ac:dyDescent="0.45">
      <c r="A403" s="15" t="s">
        <v>905</v>
      </c>
      <c r="B403" s="18">
        <v>0</v>
      </c>
      <c r="C403" s="18">
        <v>8.1701030754961887E-4</v>
      </c>
      <c r="D403" s="18">
        <v>0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8.1701030754961887E-4</v>
      </c>
    </row>
    <row r="404" spans="1:10" x14ac:dyDescent="0.45">
      <c r="A404" s="15" t="s">
        <v>859</v>
      </c>
      <c r="B404" s="18">
        <v>0</v>
      </c>
      <c r="C404" s="18">
        <v>8.1526072845444222E-4</v>
      </c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8.1526072845444222E-4</v>
      </c>
    </row>
    <row r="405" spans="1:10" x14ac:dyDescent="0.45">
      <c r="A405" s="15" t="s">
        <v>889</v>
      </c>
      <c r="B405" s="18">
        <v>0</v>
      </c>
      <c r="C405" s="18">
        <v>0</v>
      </c>
      <c r="D405" s="18">
        <v>0</v>
      </c>
      <c r="E405" s="18">
        <v>0</v>
      </c>
      <c r="F405" s="18">
        <v>8.1524297360594021E-4</v>
      </c>
      <c r="G405" s="18">
        <v>0</v>
      </c>
      <c r="H405" s="18">
        <v>0</v>
      </c>
      <c r="I405" s="18">
        <v>0</v>
      </c>
      <c r="J405" s="18">
        <v>8.1524297360594021E-4</v>
      </c>
    </row>
    <row r="406" spans="1:10" x14ac:dyDescent="0.45">
      <c r="A406" s="15" t="s">
        <v>1013</v>
      </c>
      <c r="B406" s="18">
        <v>0</v>
      </c>
      <c r="C406" s="18">
        <v>0</v>
      </c>
      <c r="D406" s="18">
        <v>8.150625172200453E-4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8.150625172200453E-4</v>
      </c>
    </row>
    <row r="407" spans="1:10" x14ac:dyDescent="0.45">
      <c r="A407" s="15" t="s">
        <v>1028</v>
      </c>
      <c r="B407" s="18">
        <v>0</v>
      </c>
      <c r="C407" s="18">
        <v>8.1467743538165443E-4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8.1467743538165443E-4</v>
      </c>
    </row>
    <row r="408" spans="1:10" x14ac:dyDescent="0.45">
      <c r="A408" s="15" t="s">
        <v>1049</v>
      </c>
      <c r="B408" s="18">
        <v>0</v>
      </c>
      <c r="C408" s="18">
        <v>8.0343168233616648E-4</v>
      </c>
      <c r="D408" s="18">
        <v>0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8.0343168233616648E-4</v>
      </c>
    </row>
    <row r="409" spans="1:10" x14ac:dyDescent="0.45">
      <c r="A409" s="15" t="s">
        <v>1065</v>
      </c>
      <c r="B409" s="18">
        <v>0</v>
      </c>
      <c r="C409" s="18">
        <v>0</v>
      </c>
      <c r="D409" s="18">
        <v>0</v>
      </c>
      <c r="E409" s="18">
        <v>0</v>
      </c>
      <c r="F409" s="18">
        <v>8.0195171451343634E-4</v>
      </c>
      <c r="G409" s="18">
        <v>0</v>
      </c>
      <c r="H409" s="18">
        <v>0</v>
      </c>
      <c r="I409" s="18">
        <v>0</v>
      </c>
      <c r="J409" s="18">
        <v>8.0195171451343634E-4</v>
      </c>
    </row>
    <row r="410" spans="1:10" x14ac:dyDescent="0.45">
      <c r="A410" s="15" t="s">
        <v>925</v>
      </c>
      <c r="B410" s="18">
        <v>0</v>
      </c>
      <c r="C410" s="18">
        <v>0</v>
      </c>
      <c r="D410" s="18">
        <v>0</v>
      </c>
      <c r="E410" s="18">
        <v>8.0184909068388541E-4</v>
      </c>
      <c r="F410" s="18">
        <v>0</v>
      </c>
      <c r="G410" s="18">
        <v>0</v>
      </c>
      <c r="H410" s="18">
        <v>0</v>
      </c>
      <c r="I410" s="18">
        <v>0</v>
      </c>
      <c r="J410" s="18">
        <v>8.0184909068388541E-4</v>
      </c>
    </row>
    <row r="411" spans="1:10" x14ac:dyDescent="0.45">
      <c r="A411" s="15" t="s">
        <v>917</v>
      </c>
      <c r="B411" s="18">
        <v>0</v>
      </c>
      <c r="C411" s="18">
        <v>0</v>
      </c>
      <c r="D411" s="18">
        <v>0</v>
      </c>
      <c r="E411" s="18">
        <v>7.959556805589023E-4</v>
      </c>
      <c r="F411" s="18">
        <v>0</v>
      </c>
      <c r="G411" s="18">
        <v>0</v>
      </c>
      <c r="H411" s="18">
        <v>0</v>
      </c>
      <c r="I411" s="18">
        <v>0</v>
      </c>
      <c r="J411" s="18">
        <v>7.959556805589023E-4</v>
      </c>
    </row>
    <row r="412" spans="1:10" x14ac:dyDescent="0.45">
      <c r="A412" s="15" t="s">
        <v>802</v>
      </c>
      <c r="B412" s="18">
        <v>0</v>
      </c>
      <c r="C412" s="18">
        <v>0</v>
      </c>
      <c r="D412" s="18">
        <v>0</v>
      </c>
      <c r="E412" s="18">
        <v>7.9347221700711815E-4</v>
      </c>
      <c r="F412" s="18">
        <v>0</v>
      </c>
      <c r="G412" s="18">
        <v>0</v>
      </c>
      <c r="H412" s="18">
        <v>0</v>
      </c>
      <c r="I412" s="18">
        <v>0</v>
      </c>
      <c r="J412" s="18">
        <v>7.9347221700711815E-4</v>
      </c>
    </row>
    <row r="413" spans="1:10" x14ac:dyDescent="0.45">
      <c r="A413" s="15" t="s">
        <v>1231</v>
      </c>
      <c r="B413" s="18">
        <v>7.909956663537278E-4</v>
      </c>
      <c r="C413" s="18">
        <v>0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7.909956663537278E-4</v>
      </c>
    </row>
    <row r="414" spans="1:10" x14ac:dyDescent="0.45">
      <c r="A414" s="15" t="s">
        <v>1236</v>
      </c>
      <c r="B414" s="18">
        <v>0</v>
      </c>
      <c r="C414" s="18">
        <v>0</v>
      </c>
      <c r="D414" s="18">
        <v>0</v>
      </c>
      <c r="E414" s="18">
        <v>0</v>
      </c>
      <c r="F414" s="18">
        <v>7.9031104236011566E-4</v>
      </c>
      <c r="G414" s="18">
        <v>0</v>
      </c>
      <c r="H414" s="18">
        <v>0</v>
      </c>
      <c r="I414" s="18">
        <v>0</v>
      </c>
      <c r="J414" s="18">
        <v>7.9031104236011566E-4</v>
      </c>
    </row>
    <row r="415" spans="1:10" x14ac:dyDescent="0.45">
      <c r="A415" s="15" t="s">
        <v>759</v>
      </c>
      <c r="B415" s="18">
        <v>7.865689371954087E-4</v>
      </c>
      <c r="C415" s="18">
        <v>0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7.865689371954087E-4</v>
      </c>
    </row>
    <row r="416" spans="1:10" x14ac:dyDescent="0.45">
      <c r="A416" s="15" t="s">
        <v>923</v>
      </c>
      <c r="B416" s="18">
        <v>0</v>
      </c>
      <c r="C416" s="18">
        <v>0</v>
      </c>
      <c r="D416" s="18">
        <v>0</v>
      </c>
      <c r="E416" s="18">
        <v>7.8605825563353329E-4</v>
      </c>
      <c r="F416" s="18">
        <v>0</v>
      </c>
      <c r="G416" s="18">
        <v>0</v>
      </c>
      <c r="H416" s="18">
        <v>0</v>
      </c>
      <c r="I416" s="18">
        <v>0</v>
      </c>
      <c r="J416" s="18">
        <v>7.8605825563353329E-4</v>
      </c>
    </row>
    <row r="417" spans="1:10" x14ac:dyDescent="0.45">
      <c r="A417" s="15" t="s">
        <v>1009</v>
      </c>
      <c r="B417" s="18">
        <v>0</v>
      </c>
      <c r="C417" s="18">
        <v>0</v>
      </c>
      <c r="D417" s="18">
        <v>7.8392473663208939E-4</v>
      </c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7.8392473663208939E-4</v>
      </c>
    </row>
    <row r="418" spans="1:10" x14ac:dyDescent="0.45">
      <c r="A418" s="15" t="s">
        <v>1295</v>
      </c>
      <c r="B418" s="18">
        <v>0</v>
      </c>
      <c r="C418" s="18">
        <v>0</v>
      </c>
      <c r="D418" s="18">
        <v>0</v>
      </c>
      <c r="E418" s="18">
        <v>7.7961530988916315E-4</v>
      </c>
      <c r="F418" s="18">
        <v>0</v>
      </c>
      <c r="G418" s="18">
        <v>0</v>
      </c>
      <c r="H418" s="18">
        <v>0</v>
      </c>
      <c r="I418" s="18">
        <v>0</v>
      </c>
      <c r="J418" s="18">
        <v>7.7961530988916315E-4</v>
      </c>
    </row>
    <row r="419" spans="1:10" x14ac:dyDescent="0.45">
      <c r="A419" s="15" t="s">
        <v>1326</v>
      </c>
      <c r="B419" s="18">
        <v>7.6549895725669078E-4</v>
      </c>
      <c r="C419" s="18">
        <v>0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7.6549895725669078E-4</v>
      </c>
    </row>
    <row r="420" spans="1:10" x14ac:dyDescent="0.45">
      <c r="A420" s="15" t="s">
        <v>932</v>
      </c>
      <c r="B420" s="18">
        <v>0</v>
      </c>
      <c r="C420" s="18">
        <v>0</v>
      </c>
      <c r="D420" s="18">
        <v>0</v>
      </c>
      <c r="E420" s="18">
        <v>0</v>
      </c>
      <c r="F420" s="18">
        <v>7.6396196236850776E-4</v>
      </c>
      <c r="G420" s="18">
        <v>0</v>
      </c>
      <c r="H420" s="18">
        <v>0</v>
      </c>
      <c r="I420" s="18">
        <v>0</v>
      </c>
      <c r="J420" s="18">
        <v>7.6396196236850776E-4</v>
      </c>
    </row>
    <row r="421" spans="1:10" x14ac:dyDescent="0.45">
      <c r="A421" s="15" t="s">
        <v>866</v>
      </c>
      <c r="B421" s="18">
        <v>0</v>
      </c>
      <c r="C421" s="18">
        <v>0</v>
      </c>
      <c r="D421" s="18">
        <v>7.628334973576622E-4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7.628334973576622E-4</v>
      </c>
    </row>
    <row r="422" spans="1:10" x14ac:dyDescent="0.45">
      <c r="A422" s="15" t="s">
        <v>1206</v>
      </c>
      <c r="B422" s="18">
        <v>0</v>
      </c>
      <c r="C422" s="18">
        <v>0</v>
      </c>
      <c r="D422" s="18">
        <v>0</v>
      </c>
      <c r="E422" s="18">
        <v>7.6222608828883638E-4</v>
      </c>
      <c r="F422" s="18">
        <v>0</v>
      </c>
      <c r="G422" s="18">
        <v>0</v>
      </c>
      <c r="H422" s="18">
        <v>0</v>
      </c>
      <c r="I422" s="18">
        <v>0</v>
      </c>
      <c r="J422" s="18">
        <v>7.6222608828883638E-4</v>
      </c>
    </row>
    <row r="423" spans="1:10" x14ac:dyDescent="0.45">
      <c r="A423" s="15" t="s">
        <v>1258</v>
      </c>
      <c r="B423" s="18">
        <v>0</v>
      </c>
      <c r="C423" s="18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7.6189978941954082E-4</v>
      </c>
      <c r="I423" s="18">
        <v>0</v>
      </c>
      <c r="J423" s="18">
        <v>7.6189978941954082E-4</v>
      </c>
    </row>
    <row r="424" spans="1:10" x14ac:dyDescent="0.45">
      <c r="A424" s="15" t="s">
        <v>824</v>
      </c>
      <c r="B424" s="18">
        <v>0</v>
      </c>
      <c r="C424" s="18">
        <v>0</v>
      </c>
      <c r="D424" s="18">
        <v>0</v>
      </c>
      <c r="E424" s="18">
        <v>0</v>
      </c>
      <c r="F424" s="18">
        <v>7.6173027014476492E-4</v>
      </c>
      <c r="G424" s="18">
        <v>0</v>
      </c>
      <c r="H424" s="18">
        <v>0</v>
      </c>
      <c r="I424" s="18">
        <v>0</v>
      </c>
      <c r="J424" s="18">
        <v>7.6173027014476492E-4</v>
      </c>
    </row>
    <row r="425" spans="1:10" x14ac:dyDescent="0.45">
      <c r="A425" s="15" t="s">
        <v>1242</v>
      </c>
      <c r="B425" s="18">
        <v>0</v>
      </c>
      <c r="C425" s="18">
        <v>0</v>
      </c>
      <c r="D425" s="18">
        <v>7.5922277752286558E-4</v>
      </c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7.5922277752286558E-4</v>
      </c>
    </row>
    <row r="426" spans="1:10" x14ac:dyDescent="0.45">
      <c r="A426" s="15" t="s">
        <v>875</v>
      </c>
      <c r="B426" s="18">
        <v>0</v>
      </c>
      <c r="C426" s="18">
        <v>0</v>
      </c>
      <c r="D426" s="18">
        <v>0</v>
      </c>
      <c r="E426" s="18">
        <v>0</v>
      </c>
      <c r="F426" s="18">
        <v>0</v>
      </c>
      <c r="G426" s="18">
        <v>7.5137250657700792E-4</v>
      </c>
      <c r="H426" s="18">
        <v>0</v>
      </c>
      <c r="I426" s="18">
        <v>0</v>
      </c>
      <c r="J426" s="18">
        <v>7.5137250657700792E-4</v>
      </c>
    </row>
    <row r="427" spans="1:10" x14ac:dyDescent="0.45">
      <c r="A427" s="15" t="s">
        <v>996</v>
      </c>
      <c r="B427" s="18">
        <v>0</v>
      </c>
      <c r="C427" s="18">
        <v>0</v>
      </c>
      <c r="D427" s="18">
        <v>0</v>
      </c>
      <c r="E427" s="18">
        <v>0</v>
      </c>
      <c r="F427" s="18">
        <v>7.4903222283035525E-4</v>
      </c>
      <c r="G427" s="18">
        <v>0</v>
      </c>
      <c r="H427" s="18">
        <v>0</v>
      </c>
      <c r="I427" s="18">
        <v>0</v>
      </c>
      <c r="J427" s="18">
        <v>7.4903222283035525E-4</v>
      </c>
    </row>
    <row r="428" spans="1:10" x14ac:dyDescent="0.45">
      <c r="A428" s="15" t="s">
        <v>896</v>
      </c>
      <c r="B428" s="18">
        <v>0</v>
      </c>
      <c r="C428" s="18">
        <v>0</v>
      </c>
      <c r="D428" s="18">
        <v>0</v>
      </c>
      <c r="E428" s="18">
        <v>0</v>
      </c>
      <c r="F428" s="18">
        <v>0</v>
      </c>
      <c r="G428" s="18">
        <v>7.4614935296309808E-4</v>
      </c>
      <c r="H428" s="18">
        <v>0</v>
      </c>
      <c r="I428" s="18">
        <v>0</v>
      </c>
      <c r="J428" s="18">
        <v>7.4614935296309808E-4</v>
      </c>
    </row>
    <row r="429" spans="1:10" x14ac:dyDescent="0.45">
      <c r="A429" s="15" t="s">
        <v>1328</v>
      </c>
      <c r="B429" s="18">
        <v>0</v>
      </c>
      <c r="C429" s="18">
        <v>7.4376736215864389E-4</v>
      </c>
      <c r="D429" s="18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7.4376736215864389E-4</v>
      </c>
    </row>
    <row r="430" spans="1:10" x14ac:dyDescent="0.45">
      <c r="A430" s="15" t="s">
        <v>1037</v>
      </c>
      <c r="B430" s="18">
        <v>0</v>
      </c>
      <c r="C430" s="18">
        <v>0</v>
      </c>
      <c r="D430" s="18">
        <v>0</v>
      </c>
      <c r="E430" s="18">
        <v>0</v>
      </c>
      <c r="F430" s="18">
        <v>0</v>
      </c>
      <c r="G430" s="18">
        <v>7.4056113609333347E-4</v>
      </c>
      <c r="H430" s="18">
        <v>0</v>
      </c>
      <c r="I430" s="18">
        <v>0</v>
      </c>
      <c r="J430" s="18">
        <v>7.4056113609333347E-4</v>
      </c>
    </row>
    <row r="431" spans="1:10" x14ac:dyDescent="0.45">
      <c r="A431" s="15" t="s">
        <v>1150</v>
      </c>
      <c r="B431" s="18">
        <v>7.2921346926583283E-4</v>
      </c>
      <c r="C431" s="18">
        <v>0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7.2921346926583283E-4</v>
      </c>
    </row>
    <row r="432" spans="1:10" x14ac:dyDescent="0.45">
      <c r="A432" s="15" t="s">
        <v>884</v>
      </c>
      <c r="B432" s="18">
        <v>0</v>
      </c>
      <c r="C432" s="18">
        <v>0</v>
      </c>
      <c r="D432" s="18">
        <v>0</v>
      </c>
      <c r="E432" s="18">
        <v>0</v>
      </c>
      <c r="F432" s="18">
        <v>0</v>
      </c>
      <c r="G432" s="18">
        <v>0</v>
      </c>
      <c r="H432" s="18">
        <v>7.2299530663797156E-4</v>
      </c>
      <c r="I432" s="18">
        <v>0</v>
      </c>
      <c r="J432" s="18">
        <v>7.2299530663797156E-4</v>
      </c>
    </row>
    <row r="433" spans="1:10" x14ac:dyDescent="0.45">
      <c r="A433" s="15" t="s">
        <v>1190</v>
      </c>
      <c r="B433" s="18">
        <v>0</v>
      </c>
      <c r="C433" s="18">
        <v>0</v>
      </c>
      <c r="D433" s="18">
        <v>0</v>
      </c>
      <c r="E433" s="18">
        <v>7.1871205100290246E-4</v>
      </c>
      <c r="F433" s="18">
        <v>0</v>
      </c>
      <c r="G433" s="18">
        <v>0</v>
      </c>
      <c r="H433" s="18">
        <v>0</v>
      </c>
      <c r="I433" s="18">
        <v>0</v>
      </c>
      <c r="J433" s="18">
        <v>7.1871205100290246E-4</v>
      </c>
    </row>
    <row r="434" spans="1:10" x14ac:dyDescent="0.45">
      <c r="A434" s="15" t="s">
        <v>948</v>
      </c>
      <c r="B434" s="18">
        <v>7.1870987693982056E-4</v>
      </c>
      <c r="C434" s="18">
        <v>0</v>
      </c>
      <c r="D434" s="18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7.1870987693982056E-4</v>
      </c>
    </row>
    <row r="435" spans="1:10" x14ac:dyDescent="0.45">
      <c r="A435" s="15" t="s">
        <v>1137</v>
      </c>
      <c r="B435" s="18">
        <v>0</v>
      </c>
      <c r="C435" s="18">
        <v>7.166357091285048E-4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7.166357091285048E-4</v>
      </c>
    </row>
    <row r="436" spans="1:10" x14ac:dyDescent="0.45">
      <c r="A436" s="15" t="s">
        <v>1269</v>
      </c>
      <c r="B436" s="18">
        <v>0</v>
      </c>
      <c r="C436" s="18">
        <v>0</v>
      </c>
      <c r="D436" s="18">
        <v>0</v>
      </c>
      <c r="E436" s="18">
        <v>0</v>
      </c>
      <c r="F436" s="18">
        <v>7.1585302262876899E-4</v>
      </c>
      <c r="G436" s="18">
        <v>0</v>
      </c>
      <c r="H436" s="18">
        <v>0</v>
      </c>
      <c r="I436" s="18">
        <v>0</v>
      </c>
      <c r="J436" s="18">
        <v>7.1585302262876899E-4</v>
      </c>
    </row>
    <row r="437" spans="1:10" x14ac:dyDescent="0.45">
      <c r="A437" s="15" t="s">
        <v>950</v>
      </c>
      <c r="B437" s="18">
        <v>0</v>
      </c>
      <c r="C437" s="18">
        <v>0</v>
      </c>
      <c r="D437" s="18">
        <v>0</v>
      </c>
      <c r="E437" s="18">
        <v>7.0812232972746456E-4</v>
      </c>
      <c r="F437" s="18">
        <v>0</v>
      </c>
      <c r="G437" s="18">
        <v>0</v>
      </c>
      <c r="H437" s="18">
        <v>0</v>
      </c>
      <c r="I437" s="18">
        <v>0</v>
      </c>
      <c r="J437" s="18">
        <v>7.0812232972746456E-4</v>
      </c>
    </row>
    <row r="438" spans="1:10" x14ac:dyDescent="0.45">
      <c r="A438" s="15" t="s">
        <v>864</v>
      </c>
      <c r="B438" s="18">
        <v>0</v>
      </c>
      <c r="C438" s="18">
        <v>0</v>
      </c>
      <c r="D438" s="18">
        <v>0</v>
      </c>
      <c r="E438" s="18">
        <v>7.0491104731847099E-4</v>
      </c>
      <c r="F438" s="18">
        <v>0</v>
      </c>
      <c r="G438" s="18">
        <v>0</v>
      </c>
      <c r="H438" s="18">
        <v>0</v>
      </c>
      <c r="I438" s="18">
        <v>0</v>
      </c>
      <c r="J438" s="18">
        <v>7.0491104731847099E-4</v>
      </c>
    </row>
    <row r="439" spans="1:10" x14ac:dyDescent="0.45">
      <c r="A439" s="15" t="s">
        <v>916</v>
      </c>
      <c r="B439" s="18">
        <v>7.0359269400159258E-4</v>
      </c>
      <c r="C439" s="18">
        <v>0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7.0359269400159258E-4</v>
      </c>
    </row>
    <row r="440" spans="1:10" x14ac:dyDescent="0.45">
      <c r="A440" s="15" t="s">
        <v>1003</v>
      </c>
      <c r="B440" s="18">
        <v>0</v>
      </c>
      <c r="C440" s="18">
        <v>0</v>
      </c>
      <c r="D440" s="18">
        <v>0</v>
      </c>
      <c r="E440" s="18">
        <v>0</v>
      </c>
      <c r="F440" s="18">
        <v>0</v>
      </c>
      <c r="G440" s="18">
        <v>0</v>
      </c>
      <c r="H440" s="18">
        <v>7.0256380217790951E-4</v>
      </c>
      <c r="I440" s="18">
        <v>0</v>
      </c>
      <c r="J440" s="18">
        <v>7.0256380217790951E-4</v>
      </c>
    </row>
    <row r="441" spans="1:10" x14ac:dyDescent="0.45">
      <c r="A441" s="15" t="s">
        <v>1191</v>
      </c>
      <c r="B441" s="18">
        <v>0</v>
      </c>
      <c r="C441" s="18">
        <v>0</v>
      </c>
      <c r="D441" s="18">
        <v>6.9936617262886767E-4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6.9936617262886767E-4</v>
      </c>
    </row>
    <row r="442" spans="1:10" x14ac:dyDescent="0.45">
      <c r="A442" s="15" t="s">
        <v>748</v>
      </c>
      <c r="B442" s="18">
        <v>6.9347122254253494E-4</v>
      </c>
      <c r="C442" s="18">
        <v>0</v>
      </c>
      <c r="D442" s="18">
        <v>0</v>
      </c>
      <c r="E442" s="18">
        <v>0</v>
      </c>
      <c r="F442" s="18">
        <v>0</v>
      </c>
      <c r="G442" s="18">
        <v>0</v>
      </c>
      <c r="H442" s="18">
        <v>0</v>
      </c>
      <c r="I442" s="18">
        <v>0</v>
      </c>
      <c r="J442" s="18">
        <v>6.9347122254253494E-4</v>
      </c>
    </row>
    <row r="443" spans="1:10" x14ac:dyDescent="0.45">
      <c r="A443" s="15" t="s">
        <v>993</v>
      </c>
      <c r="B443" s="18">
        <v>6.9256748574761536E-4</v>
      </c>
      <c r="C443" s="18">
        <v>0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6.9256748574761536E-4</v>
      </c>
    </row>
    <row r="444" spans="1:10" x14ac:dyDescent="0.45">
      <c r="A444" s="15" t="s">
        <v>1225</v>
      </c>
      <c r="B444" s="18">
        <v>6.8693910452642811E-4</v>
      </c>
      <c r="C444" s="18">
        <v>0</v>
      </c>
      <c r="D444" s="18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6.8693910452642811E-4</v>
      </c>
    </row>
    <row r="445" spans="1:10" x14ac:dyDescent="0.45">
      <c r="A445" s="15" t="s">
        <v>1055</v>
      </c>
      <c r="B445" s="18">
        <v>0</v>
      </c>
      <c r="C445" s="18">
        <v>0</v>
      </c>
      <c r="D445" s="18">
        <v>0</v>
      </c>
      <c r="E445" s="18">
        <v>0</v>
      </c>
      <c r="F445" s="18">
        <v>6.8562662465690796E-4</v>
      </c>
      <c r="G445" s="18">
        <v>0</v>
      </c>
      <c r="H445" s="18">
        <v>0</v>
      </c>
      <c r="I445" s="18">
        <v>0</v>
      </c>
      <c r="J445" s="18">
        <v>6.8562662465690796E-4</v>
      </c>
    </row>
    <row r="446" spans="1:10" x14ac:dyDescent="0.45">
      <c r="A446" s="15" t="s">
        <v>1333</v>
      </c>
      <c r="B446" s="18">
        <v>0</v>
      </c>
      <c r="C446" s="18">
        <v>0</v>
      </c>
      <c r="D446" s="18">
        <v>0</v>
      </c>
      <c r="E446" s="18">
        <v>0</v>
      </c>
      <c r="F446" s="18">
        <v>0</v>
      </c>
      <c r="G446" s="18">
        <v>0</v>
      </c>
      <c r="H446" s="18">
        <v>6.8317428882060463E-4</v>
      </c>
      <c r="I446" s="18">
        <v>0</v>
      </c>
      <c r="J446" s="18">
        <v>6.8317428882060463E-4</v>
      </c>
    </row>
    <row r="447" spans="1:10" x14ac:dyDescent="0.45">
      <c r="A447" s="15" t="s">
        <v>963</v>
      </c>
      <c r="B447" s="18">
        <v>0</v>
      </c>
      <c r="C447" s="18">
        <v>0</v>
      </c>
      <c r="D447" s="18">
        <v>0</v>
      </c>
      <c r="E447" s="18">
        <v>0</v>
      </c>
      <c r="F447" s="18">
        <v>0</v>
      </c>
      <c r="G447" s="18">
        <v>0</v>
      </c>
      <c r="H447" s="18">
        <v>6.8136389634977613E-4</v>
      </c>
      <c r="I447" s="18">
        <v>0</v>
      </c>
      <c r="J447" s="18">
        <v>6.8136389634977613E-4</v>
      </c>
    </row>
    <row r="448" spans="1:10" x14ac:dyDescent="0.45">
      <c r="A448" s="15" t="s">
        <v>1234</v>
      </c>
      <c r="B448" s="18">
        <v>0</v>
      </c>
      <c r="C448" s="18">
        <v>0</v>
      </c>
      <c r="D448" s="18">
        <v>0</v>
      </c>
      <c r="E448" s="18">
        <v>0</v>
      </c>
      <c r="F448" s="18">
        <v>0</v>
      </c>
      <c r="G448" s="18">
        <v>6.7967936346519098E-4</v>
      </c>
      <c r="H448" s="18">
        <v>0</v>
      </c>
      <c r="I448" s="18">
        <v>0</v>
      </c>
      <c r="J448" s="18">
        <v>6.7967936346519098E-4</v>
      </c>
    </row>
    <row r="449" spans="1:10" x14ac:dyDescent="0.45">
      <c r="A449" s="15" t="s">
        <v>1253</v>
      </c>
      <c r="B449" s="18">
        <v>0</v>
      </c>
      <c r="C449" s="18">
        <v>6.770599011045158E-4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6.770599011045158E-4</v>
      </c>
    </row>
    <row r="450" spans="1:10" x14ac:dyDescent="0.45">
      <c r="A450" s="15" t="s">
        <v>1027</v>
      </c>
      <c r="B450" s="18">
        <v>6.7547343896114196E-4</v>
      </c>
      <c r="C450" s="18">
        <v>0</v>
      </c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6.7547343896114196E-4</v>
      </c>
    </row>
    <row r="451" spans="1:10" x14ac:dyDescent="0.45">
      <c r="A451" s="15" t="s">
        <v>1170</v>
      </c>
      <c r="B451" s="18">
        <v>0</v>
      </c>
      <c r="C451" s="18">
        <v>6.7165273720697961E-4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6.7165273720697961E-4</v>
      </c>
    </row>
    <row r="452" spans="1:10" x14ac:dyDescent="0.45">
      <c r="A452" s="15" t="s">
        <v>1097</v>
      </c>
      <c r="B452" s="18">
        <v>0</v>
      </c>
      <c r="C452" s="18">
        <v>0</v>
      </c>
      <c r="D452" s="18">
        <v>0</v>
      </c>
      <c r="E452" s="18">
        <v>6.7051485125611257E-4</v>
      </c>
      <c r="F452" s="18">
        <v>0</v>
      </c>
      <c r="G452" s="18">
        <v>0</v>
      </c>
      <c r="H452" s="18">
        <v>0</v>
      </c>
      <c r="I452" s="18">
        <v>0</v>
      </c>
      <c r="J452" s="18">
        <v>6.7051485125611257E-4</v>
      </c>
    </row>
    <row r="453" spans="1:10" x14ac:dyDescent="0.45">
      <c r="A453" s="15" t="s">
        <v>1004</v>
      </c>
      <c r="B453" s="18">
        <v>6.6202906397301597E-4</v>
      </c>
      <c r="C453" s="18">
        <v>0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6.6202906397301597E-4</v>
      </c>
    </row>
    <row r="454" spans="1:10" x14ac:dyDescent="0.45">
      <c r="A454" s="15" t="s">
        <v>890</v>
      </c>
      <c r="B454" s="18">
        <v>0</v>
      </c>
      <c r="C454" s="18">
        <v>0</v>
      </c>
      <c r="D454" s="18">
        <v>0</v>
      </c>
      <c r="E454" s="18">
        <v>0</v>
      </c>
      <c r="F454" s="18">
        <v>6.5915512826061234E-4</v>
      </c>
      <c r="G454" s="18">
        <v>0</v>
      </c>
      <c r="H454" s="18">
        <v>0</v>
      </c>
      <c r="I454" s="18">
        <v>0</v>
      </c>
      <c r="J454" s="18">
        <v>6.5915512826061234E-4</v>
      </c>
    </row>
    <row r="455" spans="1:10" x14ac:dyDescent="0.45">
      <c r="A455" s="15" t="s">
        <v>1312</v>
      </c>
      <c r="B455" s="18">
        <v>0</v>
      </c>
      <c r="C455" s="18">
        <v>0</v>
      </c>
      <c r="D455" s="18">
        <v>0</v>
      </c>
      <c r="E455" s="18">
        <v>0</v>
      </c>
      <c r="F455" s="18">
        <v>0</v>
      </c>
      <c r="G455" s="18">
        <v>6.5636705522980742E-4</v>
      </c>
      <c r="H455" s="18">
        <v>0</v>
      </c>
      <c r="I455" s="18">
        <v>0</v>
      </c>
      <c r="J455" s="18">
        <v>6.5636705522980742E-4</v>
      </c>
    </row>
    <row r="456" spans="1:10" x14ac:dyDescent="0.45">
      <c r="A456" s="15" t="s">
        <v>780</v>
      </c>
      <c r="B456" s="18">
        <v>0</v>
      </c>
      <c r="C456" s="18">
        <v>0</v>
      </c>
      <c r="D456" s="18">
        <v>0</v>
      </c>
      <c r="E456" s="18">
        <v>0</v>
      </c>
      <c r="F456" s="18">
        <v>0</v>
      </c>
      <c r="G456" s="18">
        <v>0</v>
      </c>
      <c r="H456" s="18">
        <v>6.5291158692330688E-4</v>
      </c>
      <c r="I456" s="18">
        <v>0</v>
      </c>
      <c r="J456" s="18">
        <v>6.5291158692330688E-4</v>
      </c>
    </row>
    <row r="457" spans="1:10" x14ac:dyDescent="0.45">
      <c r="A457" s="15" t="s">
        <v>1005</v>
      </c>
      <c r="B457" s="18">
        <v>0</v>
      </c>
      <c r="C457" s="18">
        <v>0</v>
      </c>
      <c r="D457" s="18">
        <v>0</v>
      </c>
      <c r="E457" s="18">
        <v>6.5154626798779745E-4</v>
      </c>
      <c r="F457" s="18">
        <v>0</v>
      </c>
      <c r="G457" s="18">
        <v>0</v>
      </c>
      <c r="H457" s="18">
        <v>0</v>
      </c>
      <c r="I457" s="18">
        <v>0</v>
      </c>
      <c r="J457" s="18">
        <v>6.5154626798779745E-4</v>
      </c>
    </row>
    <row r="458" spans="1:10" x14ac:dyDescent="0.45">
      <c r="A458" s="15" t="s">
        <v>1066</v>
      </c>
      <c r="B458" s="18">
        <v>6.5014668376849538E-4</v>
      </c>
      <c r="C458" s="18">
        <v>0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6.5014668376849538E-4</v>
      </c>
    </row>
    <row r="459" spans="1:10" x14ac:dyDescent="0.45">
      <c r="A459" s="15" t="s">
        <v>912</v>
      </c>
      <c r="B459" s="18">
        <v>0</v>
      </c>
      <c r="C459" s="18">
        <v>0</v>
      </c>
      <c r="D459" s="18">
        <v>0</v>
      </c>
      <c r="E459" s="18">
        <v>6.4952418435945626E-4</v>
      </c>
      <c r="F459" s="18">
        <v>0</v>
      </c>
      <c r="G459" s="18">
        <v>0</v>
      </c>
      <c r="H459" s="18">
        <v>0</v>
      </c>
      <c r="I459" s="18">
        <v>0</v>
      </c>
      <c r="J459" s="18">
        <v>6.4952418435945626E-4</v>
      </c>
    </row>
    <row r="460" spans="1:10" x14ac:dyDescent="0.45">
      <c r="A460" s="15" t="s">
        <v>749</v>
      </c>
      <c r="B460" s="18">
        <v>0</v>
      </c>
      <c r="C460" s="18">
        <v>0</v>
      </c>
      <c r="D460" s="18">
        <v>6.4879378700487126E-4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6.4879378700487126E-4</v>
      </c>
    </row>
    <row r="461" spans="1:10" x14ac:dyDescent="0.45">
      <c r="A461" s="15" t="s">
        <v>1337</v>
      </c>
      <c r="B461" s="18">
        <v>0</v>
      </c>
      <c r="C461" s="18">
        <v>0</v>
      </c>
      <c r="D461" s="18">
        <v>6.4706130212118288E-4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6.4706130212118288E-4</v>
      </c>
    </row>
    <row r="462" spans="1:10" x14ac:dyDescent="0.45">
      <c r="A462" s="15" t="s">
        <v>946</v>
      </c>
      <c r="B462" s="18">
        <v>0</v>
      </c>
      <c r="C462" s="18">
        <v>0</v>
      </c>
      <c r="D462" s="18">
        <v>0</v>
      </c>
      <c r="E462" s="18">
        <v>0</v>
      </c>
      <c r="F462" s="18">
        <v>0</v>
      </c>
      <c r="G462" s="18">
        <v>0</v>
      </c>
      <c r="H462" s="18">
        <v>6.3911824004016726E-4</v>
      </c>
      <c r="I462" s="18">
        <v>0</v>
      </c>
      <c r="J462" s="18">
        <v>6.3911824004016726E-4</v>
      </c>
    </row>
    <row r="463" spans="1:10" x14ac:dyDescent="0.45">
      <c r="A463" s="15" t="s">
        <v>1002</v>
      </c>
      <c r="B463" s="18">
        <v>0</v>
      </c>
      <c r="C463" s="18">
        <v>0</v>
      </c>
      <c r="D463" s="18">
        <v>0</v>
      </c>
      <c r="E463" s="18">
        <v>0</v>
      </c>
      <c r="F463" s="18">
        <v>0</v>
      </c>
      <c r="G463" s="18">
        <v>6.3563894854073728E-4</v>
      </c>
      <c r="H463" s="18">
        <v>0</v>
      </c>
      <c r="I463" s="18">
        <v>0</v>
      </c>
      <c r="J463" s="18">
        <v>6.3563894854073728E-4</v>
      </c>
    </row>
    <row r="464" spans="1:10" x14ac:dyDescent="0.45">
      <c r="A464" s="15" t="s">
        <v>1144</v>
      </c>
      <c r="B464" s="18">
        <v>0</v>
      </c>
      <c r="C464" s="18">
        <v>0</v>
      </c>
      <c r="D464" s="18">
        <v>0</v>
      </c>
      <c r="E464" s="18">
        <v>0</v>
      </c>
      <c r="F464" s="18">
        <v>0</v>
      </c>
      <c r="G464" s="18">
        <v>0</v>
      </c>
      <c r="H464" s="18">
        <v>6.3134576505026474E-4</v>
      </c>
      <c r="I464" s="18">
        <v>0</v>
      </c>
      <c r="J464" s="18">
        <v>6.3134576505026474E-4</v>
      </c>
    </row>
    <row r="465" spans="1:10" x14ac:dyDescent="0.45">
      <c r="A465" s="15" t="s">
        <v>809</v>
      </c>
      <c r="B465" s="18">
        <v>0</v>
      </c>
      <c r="C465" s="18">
        <v>6.2902185997750339E-4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6.2902185997750339E-4</v>
      </c>
    </row>
    <row r="466" spans="1:10" x14ac:dyDescent="0.45">
      <c r="A466" s="15" t="s">
        <v>902</v>
      </c>
      <c r="B466" s="18">
        <v>0</v>
      </c>
      <c r="C466" s="18">
        <v>0</v>
      </c>
      <c r="D466" s="18">
        <v>0</v>
      </c>
      <c r="E466" s="18">
        <v>6.2442901812557593E-4</v>
      </c>
      <c r="F466" s="18">
        <v>0</v>
      </c>
      <c r="G466" s="18">
        <v>0</v>
      </c>
      <c r="H466" s="18">
        <v>0</v>
      </c>
      <c r="I466" s="18">
        <v>0</v>
      </c>
      <c r="J466" s="18">
        <v>6.2442901812557593E-4</v>
      </c>
    </row>
    <row r="467" spans="1:10" x14ac:dyDescent="0.45">
      <c r="A467" s="15" t="s">
        <v>1293</v>
      </c>
      <c r="B467" s="18">
        <v>0</v>
      </c>
      <c r="C467" s="18">
        <v>6.1918551835565198E-4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6.1918551835565198E-4</v>
      </c>
    </row>
    <row r="468" spans="1:10" x14ac:dyDescent="0.45">
      <c r="A468" s="15" t="s">
        <v>1310</v>
      </c>
      <c r="B468" s="18">
        <v>6.1602419639208582E-4</v>
      </c>
      <c r="C468" s="18">
        <v>0</v>
      </c>
      <c r="D468" s="18">
        <v>0</v>
      </c>
      <c r="E468" s="18">
        <v>0</v>
      </c>
      <c r="F468" s="18">
        <v>0</v>
      </c>
      <c r="G468" s="18">
        <v>0</v>
      </c>
      <c r="H468" s="18">
        <v>0</v>
      </c>
      <c r="I468" s="18">
        <v>0</v>
      </c>
      <c r="J468" s="18">
        <v>6.1602419639208582E-4</v>
      </c>
    </row>
    <row r="469" spans="1:10" x14ac:dyDescent="0.45">
      <c r="A469" s="15" t="s">
        <v>940</v>
      </c>
      <c r="B469" s="18">
        <v>0</v>
      </c>
      <c r="C469" s="18">
        <v>6.1327155436744982E-4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6.1327155436744982E-4</v>
      </c>
    </row>
    <row r="470" spans="1:10" x14ac:dyDescent="0.45">
      <c r="A470" s="15" t="s">
        <v>972</v>
      </c>
      <c r="B470" s="18">
        <v>0</v>
      </c>
      <c r="C470" s="18">
        <v>0</v>
      </c>
      <c r="D470" s="18">
        <v>0</v>
      </c>
      <c r="E470" s="18">
        <v>0</v>
      </c>
      <c r="F470" s="18">
        <v>0</v>
      </c>
      <c r="G470" s="18">
        <v>6.1160964967310692E-4</v>
      </c>
      <c r="H470" s="18">
        <v>0</v>
      </c>
      <c r="I470" s="18">
        <v>0</v>
      </c>
      <c r="J470" s="18">
        <v>6.1160964967310692E-4</v>
      </c>
    </row>
    <row r="471" spans="1:10" x14ac:dyDescent="0.45">
      <c r="A471" s="15" t="s">
        <v>1224</v>
      </c>
      <c r="B471" s="18">
        <v>0</v>
      </c>
      <c r="C471" s="18">
        <v>6.0977162390889715E-4</v>
      </c>
      <c r="D471" s="18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6.0977162390889715E-4</v>
      </c>
    </row>
    <row r="472" spans="1:10" x14ac:dyDescent="0.45">
      <c r="A472" s="15" t="s">
        <v>769</v>
      </c>
      <c r="B472" s="18">
        <v>0</v>
      </c>
      <c r="C472" s="18">
        <v>0</v>
      </c>
      <c r="D472" s="18">
        <v>0</v>
      </c>
      <c r="E472" s="18">
        <v>0</v>
      </c>
      <c r="F472" s="18">
        <v>0</v>
      </c>
      <c r="G472" s="18">
        <v>0</v>
      </c>
      <c r="H472" s="18">
        <v>6.0680189674448143E-4</v>
      </c>
      <c r="I472" s="18">
        <v>0</v>
      </c>
      <c r="J472" s="18">
        <v>6.0680189674448143E-4</v>
      </c>
    </row>
    <row r="473" spans="1:10" x14ac:dyDescent="0.45">
      <c r="A473" s="15" t="s">
        <v>1112</v>
      </c>
      <c r="B473" s="18">
        <v>0</v>
      </c>
      <c r="C473" s="18">
        <v>0</v>
      </c>
      <c r="D473" s="18">
        <v>0</v>
      </c>
      <c r="E473" s="18">
        <v>0</v>
      </c>
      <c r="F473" s="18">
        <v>6.017377434536685E-4</v>
      </c>
      <c r="G473" s="18">
        <v>0</v>
      </c>
      <c r="H473" s="18">
        <v>0</v>
      </c>
      <c r="I473" s="18">
        <v>0</v>
      </c>
      <c r="J473" s="18">
        <v>6.017377434536685E-4</v>
      </c>
    </row>
    <row r="474" spans="1:10" x14ac:dyDescent="0.45">
      <c r="A474" s="15" t="s">
        <v>952</v>
      </c>
      <c r="B474" s="18">
        <v>0</v>
      </c>
      <c r="C474" s="18">
        <v>0</v>
      </c>
      <c r="D474" s="18">
        <v>0</v>
      </c>
      <c r="E474" s="18">
        <v>0</v>
      </c>
      <c r="F474" s="18">
        <v>0</v>
      </c>
      <c r="G474" s="18">
        <v>0</v>
      </c>
      <c r="H474" s="18">
        <v>5.9801672102779567E-4</v>
      </c>
      <c r="I474" s="18">
        <v>0</v>
      </c>
      <c r="J474" s="18">
        <v>5.9801672102779567E-4</v>
      </c>
    </row>
    <row r="475" spans="1:10" x14ac:dyDescent="0.45">
      <c r="A475" s="15" t="s">
        <v>988</v>
      </c>
      <c r="B475" s="18">
        <v>0</v>
      </c>
      <c r="C475" s="18">
        <v>0</v>
      </c>
      <c r="D475" s="18">
        <v>0</v>
      </c>
      <c r="E475" s="18">
        <v>5.9185346081283021E-4</v>
      </c>
      <c r="F475" s="18">
        <v>0</v>
      </c>
      <c r="G475" s="18">
        <v>0</v>
      </c>
      <c r="H475" s="18">
        <v>0</v>
      </c>
      <c r="I475" s="18">
        <v>0</v>
      </c>
      <c r="J475" s="18">
        <v>5.9185346081283021E-4</v>
      </c>
    </row>
    <row r="476" spans="1:10" x14ac:dyDescent="0.45">
      <c r="A476" s="15" t="s">
        <v>1257</v>
      </c>
      <c r="B476" s="18">
        <v>0</v>
      </c>
      <c r="C476" s="18">
        <v>5.8883213899563701E-4</v>
      </c>
      <c r="D476" s="18">
        <v>0</v>
      </c>
      <c r="E476" s="18">
        <v>0</v>
      </c>
      <c r="F476" s="18">
        <v>0</v>
      </c>
      <c r="G476" s="18">
        <v>0</v>
      </c>
      <c r="H476" s="18">
        <v>0</v>
      </c>
      <c r="I476" s="18">
        <v>0</v>
      </c>
      <c r="J476" s="18">
        <v>5.8883213899563701E-4</v>
      </c>
    </row>
    <row r="477" spans="1:10" x14ac:dyDescent="0.45">
      <c r="A477" s="15" t="s">
        <v>805</v>
      </c>
      <c r="B477" s="18">
        <v>0</v>
      </c>
      <c r="C477" s="18">
        <v>0</v>
      </c>
      <c r="D477" s="18">
        <v>5.8497442875855789E-4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5.8497442875855789E-4</v>
      </c>
    </row>
    <row r="478" spans="1:10" x14ac:dyDescent="0.45">
      <c r="A478" s="15" t="s">
        <v>835</v>
      </c>
      <c r="B478" s="18">
        <v>0</v>
      </c>
      <c r="C478" s="18">
        <v>5.7870499447634869E-4</v>
      </c>
      <c r="D478" s="18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5.7870499447634869E-4</v>
      </c>
    </row>
    <row r="479" spans="1:10" x14ac:dyDescent="0.45">
      <c r="A479" s="15" t="s">
        <v>1062</v>
      </c>
      <c r="B479" s="18">
        <v>0</v>
      </c>
      <c r="C479" s="18">
        <v>0</v>
      </c>
      <c r="D479" s="18">
        <v>0</v>
      </c>
      <c r="E479" s="18">
        <v>5.7002748154771237E-4</v>
      </c>
      <c r="F479" s="18">
        <v>0</v>
      </c>
      <c r="G479" s="18">
        <v>0</v>
      </c>
      <c r="H479" s="18">
        <v>0</v>
      </c>
      <c r="I479" s="18">
        <v>0</v>
      </c>
      <c r="J479" s="18">
        <v>5.7002748154771237E-4</v>
      </c>
    </row>
    <row r="480" spans="1:10" x14ac:dyDescent="0.45">
      <c r="A480" s="15" t="s">
        <v>1313</v>
      </c>
      <c r="B480" s="18">
        <v>0</v>
      </c>
      <c r="C480" s="18">
        <v>5.6161484563125956E-4</v>
      </c>
      <c r="D480" s="18">
        <v>0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5.6161484563125956E-4</v>
      </c>
    </row>
    <row r="481" spans="1:10" x14ac:dyDescent="0.45">
      <c r="A481" s="15" t="s">
        <v>1011</v>
      </c>
      <c r="B481" s="18">
        <v>5.5509489632934745E-4</v>
      </c>
      <c r="C481" s="18">
        <v>0</v>
      </c>
      <c r="D481" s="18">
        <v>0</v>
      </c>
      <c r="E481" s="18">
        <v>0</v>
      </c>
      <c r="F481" s="18">
        <v>0</v>
      </c>
      <c r="G481" s="18">
        <v>0</v>
      </c>
      <c r="H481" s="18">
        <v>0</v>
      </c>
      <c r="I481" s="18">
        <v>0</v>
      </c>
      <c r="J481" s="18">
        <v>5.5509489632934745E-4</v>
      </c>
    </row>
    <row r="482" spans="1:10" x14ac:dyDescent="0.45">
      <c r="A482" s="15" t="s">
        <v>1218</v>
      </c>
      <c r="B482" s="18">
        <v>0</v>
      </c>
      <c r="C482" s="18">
        <v>5.5479342258861865E-4</v>
      </c>
      <c r="D482" s="18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5.5479342258861865E-4</v>
      </c>
    </row>
    <row r="483" spans="1:10" x14ac:dyDescent="0.45">
      <c r="A483" s="15" t="s">
        <v>1331</v>
      </c>
      <c r="B483" s="18">
        <v>0</v>
      </c>
      <c r="C483" s="18">
        <v>0</v>
      </c>
      <c r="D483" s="18">
        <v>0</v>
      </c>
      <c r="E483" s="18">
        <v>5.4554180785977796E-4</v>
      </c>
      <c r="F483" s="18">
        <v>0</v>
      </c>
      <c r="G483" s="18">
        <v>0</v>
      </c>
      <c r="H483" s="18">
        <v>0</v>
      </c>
      <c r="I483" s="18">
        <v>0</v>
      </c>
      <c r="J483" s="18">
        <v>5.4554180785977796E-4</v>
      </c>
    </row>
    <row r="484" spans="1:10" x14ac:dyDescent="0.45">
      <c r="A484" s="15" t="s">
        <v>837</v>
      </c>
      <c r="B484" s="18">
        <v>5.4537635122813488E-4</v>
      </c>
      <c r="C484" s="18">
        <v>0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5.4537635122813488E-4</v>
      </c>
    </row>
    <row r="485" spans="1:10" x14ac:dyDescent="0.45">
      <c r="A485" s="15" t="s">
        <v>1176</v>
      </c>
      <c r="B485" s="18">
        <v>0</v>
      </c>
      <c r="C485" s="18">
        <v>0</v>
      </c>
      <c r="D485" s="18">
        <v>0</v>
      </c>
      <c r="E485" s="18">
        <v>0</v>
      </c>
      <c r="F485" s="18">
        <v>0</v>
      </c>
      <c r="G485" s="18">
        <v>0</v>
      </c>
      <c r="H485" s="18">
        <v>5.4534971346532326E-4</v>
      </c>
      <c r="I485" s="18">
        <v>0</v>
      </c>
      <c r="J485" s="18">
        <v>5.4534971346532326E-4</v>
      </c>
    </row>
    <row r="486" spans="1:10" x14ac:dyDescent="0.45">
      <c r="A486" s="15" t="s">
        <v>1038</v>
      </c>
      <c r="B486" s="18">
        <v>0</v>
      </c>
      <c r="C486" s="18">
        <v>0</v>
      </c>
      <c r="D486" s="18">
        <v>5.428556458659566E-4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5.428556458659566E-4</v>
      </c>
    </row>
    <row r="487" spans="1:10" x14ac:dyDescent="0.45">
      <c r="A487" s="15" t="s">
        <v>965</v>
      </c>
      <c r="B487" s="18">
        <v>0</v>
      </c>
      <c r="C487" s="18">
        <v>0</v>
      </c>
      <c r="D487" s="18">
        <v>0</v>
      </c>
      <c r="E487" s="18">
        <v>0</v>
      </c>
      <c r="F487" s="18">
        <v>0</v>
      </c>
      <c r="G487" s="18">
        <v>5.3205003353841613E-4</v>
      </c>
      <c r="H487" s="18">
        <v>0</v>
      </c>
      <c r="I487" s="18">
        <v>0</v>
      </c>
      <c r="J487" s="18">
        <v>5.3205003353841613E-4</v>
      </c>
    </row>
    <row r="488" spans="1:10" x14ac:dyDescent="0.45">
      <c r="A488" s="15" t="s">
        <v>786</v>
      </c>
      <c r="B488" s="18">
        <v>0</v>
      </c>
      <c r="C488" s="18">
        <v>0</v>
      </c>
      <c r="D488" s="18">
        <v>5.2940632067527459E-4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5.2940632067527459E-4</v>
      </c>
    </row>
    <row r="489" spans="1:10" x14ac:dyDescent="0.45">
      <c r="A489" s="15" t="s">
        <v>852</v>
      </c>
      <c r="B489" s="18">
        <v>0</v>
      </c>
      <c r="C489" s="18">
        <v>0</v>
      </c>
      <c r="D489" s="18">
        <v>0</v>
      </c>
      <c r="E489" s="18">
        <v>5.2789434032266957E-4</v>
      </c>
      <c r="F489" s="18">
        <v>0</v>
      </c>
      <c r="G489" s="18">
        <v>0</v>
      </c>
      <c r="H489" s="18">
        <v>0</v>
      </c>
      <c r="I489" s="18">
        <v>0</v>
      </c>
      <c r="J489" s="18">
        <v>5.2789434032266957E-4</v>
      </c>
    </row>
    <row r="490" spans="1:10" x14ac:dyDescent="0.45">
      <c r="A490" s="15" t="s">
        <v>1325</v>
      </c>
      <c r="B490" s="18">
        <v>0</v>
      </c>
      <c r="C490" s="18">
        <v>0</v>
      </c>
      <c r="D490" s="18">
        <v>0</v>
      </c>
      <c r="E490" s="18">
        <v>5.2390250064154626E-4</v>
      </c>
      <c r="F490" s="18">
        <v>0</v>
      </c>
      <c r="G490" s="18">
        <v>0</v>
      </c>
      <c r="H490" s="18">
        <v>0</v>
      </c>
      <c r="I490" s="18">
        <v>0</v>
      </c>
      <c r="J490" s="18">
        <v>5.2390250064154626E-4</v>
      </c>
    </row>
    <row r="491" spans="1:10" x14ac:dyDescent="0.45">
      <c r="A491" s="15" t="s">
        <v>895</v>
      </c>
      <c r="B491" s="18">
        <v>0</v>
      </c>
      <c r="C491" s="18">
        <v>5.1699644652038223E-4</v>
      </c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5.1699644652038223E-4</v>
      </c>
    </row>
    <row r="492" spans="1:10" x14ac:dyDescent="0.45">
      <c r="A492" s="15" t="s">
        <v>1067</v>
      </c>
      <c r="B492" s="18">
        <v>5.1332890458230854E-4</v>
      </c>
      <c r="C492" s="18">
        <v>0</v>
      </c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0</v>
      </c>
      <c r="J492" s="18">
        <v>5.1332890458230854E-4</v>
      </c>
    </row>
    <row r="493" spans="1:10" x14ac:dyDescent="0.45">
      <c r="A493" s="15" t="s">
        <v>1180</v>
      </c>
      <c r="B493" s="18">
        <v>0</v>
      </c>
      <c r="C493" s="18">
        <v>0</v>
      </c>
      <c r="D493" s="18">
        <v>0</v>
      </c>
      <c r="E493" s="18">
        <v>5.0923284986974043E-4</v>
      </c>
      <c r="F493" s="18">
        <v>0</v>
      </c>
      <c r="G493" s="18">
        <v>0</v>
      </c>
      <c r="H493" s="18">
        <v>0</v>
      </c>
      <c r="I493" s="18">
        <v>0</v>
      </c>
      <c r="J493" s="18">
        <v>5.0923284986974043E-4</v>
      </c>
    </row>
    <row r="494" spans="1:10" x14ac:dyDescent="0.45">
      <c r="A494" s="15" t="s">
        <v>1169</v>
      </c>
      <c r="B494" s="18">
        <v>0</v>
      </c>
      <c r="C494" s="18">
        <v>0</v>
      </c>
      <c r="D494" s="18">
        <v>0</v>
      </c>
      <c r="E494" s="18">
        <v>0</v>
      </c>
      <c r="F494" s="18">
        <v>5.0750686430005483E-4</v>
      </c>
      <c r="G494" s="18">
        <v>0</v>
      </c>
      <c r="H494" s="18">
        <v>0</v>
      </c>
      <c r="I494" s="18">
        <v>0</v>
      </c>
      <c r="J494" s="18">
        <v>5.0750686430005483E-4</v>
      </c>
    </row>
    <row r="495" spans="1:10" x14ac:dyDescent="0.45">
      <c r="A495" s="15" t="s">
        <v>961</v>
      </c>
      <c r="B495" s="18">
        <v>5.0633188019531881E-4</v>
      </c>
      <c r="C495" s="18">
        <v>0</v>
      </c>
      <c r="D495" s="18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5.0633188019531881E-4</v>
      </c>
    </row>
    <row r="496" spans="1:10" x14ac:dyDescent="0.45">
      <c r="A496" s="15" t="s">
        <v>828</v>
      </c>
      <c r="B496" s="18">
        <v>0</v>
      </c>
      <c r="C496" s="18">
        <v>0</v>
      </c>
      <c r="D496" s="18">
        <v>0</v>
      </c>
      <c r="E496" s="18">
        <v>0</v>
      </c>
      <c r="F496" s="18">
        <v>0</v>
      </c>
      <c r="G496" s="18">
        <v>5.0212095058813067E-4</v>
      </c>
      <c r="H496" s="18">
        <v>0</v>
      </c>
      <c r="I496" s="18">
        <v>0</v>
      </c>
      <c r="J496" s="18">
        <v>5.0212095058813067E-4</v>
      </c>
    </row>
    <row r="497" spans="1:10" x14ac:dyDescent="0.45">
      <c r="A497" s="15" t="s">
        <v>1336</v>
      </c>
      <c r="B497" s="18">
        <v>0</v>
      </c>
      <c r="C497" s="18">
        <v>0</v>
      </c>
      <c r="D497" s="18">
        <v>0</v>
      </c>
      <c r="E497" s="18">
        <v>0</v>
      </c>
      <c r="F497" s="18">
        <v>0</v>
      </c>
      <c r="G497" s="18">
        <v>0</v>
      </c>
      <c r="H497" s="18">
        <v>4.9936030222849203E-4</v>
      </c>
      <c r="I497" s="18">
        <v>0</v>
      </c>
      <c r="J497" s="18">
        <v>4.9936030222849203E-4</v>
      </c>
    </row>
    <row r="498" spans="1:10" x14ac:dyDescent="0.45">
      <c r="A498" s="15" t="s">
        <v>1042</v>
      </c>
      <c r="B498" s="18">
        <v>0</v>
      </c>
      <c r="C498" s="18">
        <v>0</v>
      </c>
      <c r="D498" s="18">
        <v>0</v>
      </c>
      <c r="E498" s="18">
        <v>0</v>
      </c>
      <c r="F498" s="18">
        <v>0</v>
      </c>
      <c r="G498" s="18">
        <v>0</v>
      </c>
      <c r="H498" s="18">
        <v>4.881498319575989E-4</v>
      </c>
      <c r="I498" s="18">
        <v>0</v>
      </c>
      <c r="J498" s="18">
        <v>4.881498319575989E-4</v>
      </c>
    </row>
    <row r="499" spans="1:10" x14ac:dyDescent="0.45">
      <c r="A499" s="15" t="s">
        <v>816</v>
      </c>
      <c r="B499" s="18">
        <v>0</v>
      </c>
      <c r="C499" s="18">
        <v>4.8785294790559873E-4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4.8785294790559873E-4</v>
      </c>
    </row>
    <row r="500" spans="1:10" x14ac:dyDescent="0.45">
      <c r="A500" s="15" t="s">
        <v>832</v>
      </c>
      <c r="B500" s="18">
        <v>0</v>
      </c>
      <c r="C500" s="18">
        <v>0</v>
      </c>
      <c r="D500" s="18">
        <v>0</v>
      </c>
      <c r="E500" s="18">
        <v>0</v>
      </c>
      <c r="F500" s="18">
        <v>4.8756192357581084E-4</v>
      </c>
      <c r="G500" s="18">
        <v>0</v>
      </c>
      <c r="H500" s="18">
        <v>0</v>
      </c>
      <c r="I500" s="18">
        <v>0</v>
      </c>
      <c r="J500" s="18">
        <v>4.8756192357581084E-4</v>
      </c>
    </row>
    <row r="501" spans="1:10" x14ac:dyDescent="0.45">
      <c r="A501" s="15" t="s">
        <v>1143</v>
      </c>
      <c r="B501" s="18">
        <v>0</v>
      </c>
      <c r="C501" s="18">
        <v>0</v>
      </c>
      <c r="D501" s="18">
        <v>4.8715028632548269E-4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4.8715028632548269E-4</v>
      </c>
    </row>
    <row r="502" spans="1:10" x14ac:dyDescent="0.45">
      <c r="A502" s="15" t="s">
        <v>967</v>
      </c>
      <c r="B502" s="18">
        <v>0</v>
      </c>
      <c r="C502" s="18">
        <v>0</v>
      </c>
      <c r="D502" s="18">
        <v>0</v>
      </c>
      <c r="E502" s="18">
        <v>4.83203615183911E-4</v>
      </c>
      <c r="F502" s="18">
        <v>0</v>
      </c>
      <c r="G502" s="18">
        <v>0</v>
      </c>
      <c r="H502" s="18">
        <v>0</v>
      </c>
      <c r="I502" s="18">
        <v>0</v>
      </c>
      <c r="J502" s="18">
        <v>4.83203615183911E-4</v>
      </c>
    </row>
    <row r="503" spans="1:10" x14ac:dyDescent="0.45">
      <c r="A503" s="15" t="s">
        <v>1136</v>
      </c>
      <c r="B503" s="18">
        <v>0</v>
      </c>
      <c r="C503" s="18">
        <v>0</v>
      </c>
      <c r="D503" s="18">
        <v>4.8041888742862292E-4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4.8041888742862292E-4</v>
      </c>
    </row>
    <row r="504" spans="1:10" x14ac:dyDescent="0.45">
      <c r="A504" s="15" t="s">
        <v>737</v>
      </c>
      <c r="B504" s="18">
        <v>0</v>
      </c>
      <c r="C504" s="18">
        <v>0</v>
      </c>
      <c r="D504" s="18">
        <v>0</v>
      </c>
      <c r="E504" s="18">
        <v>0</v>
      </c>
      <c r="F504" s="18">
        <v>0</v>
      </c>
      <c r="G504" s="18">
        <v>4.7811737630361681E-4</v>
      </c>
      <c r="H504" s="18">
        <v>0</v>
      </c>
      <c r="I504" s="18">
        <v>0</v>
      </c>
      <c r="J504" s="18">
        <v>4.7811737630361681E-4</v>
      </c>
    </row>
    <row r="505" spans="1:10" x14ac:dyDescent="0.45">
      <c r="A505" s="15" t="s">
        <v>1246</v>
      </c>
      <c r="B505" s="18">
        <v>0</v>
      </c>
      <c r="C505" s="18">
        <v>0</v>
      </c>
      <c r="D505" s="18">
        <v>0</v>
      </c>
      <c r="E505" s="18">
        <v>0</v>
      </c>
      <c r="F505" s="18">
        <v>0</v>
      </c>
      <c r="G505" s="18">
        <v>4.74879391166122E-4</v>
      </c>
      <c r="H505" s="18">
        <v>0</v>
      </c>
      <c r="I505" s="18">
        <v>0</v>
      </c>
      <c r="J505" s="18">
        <v>4.74879391166122E-4</v>
      </c>
    </row>
    <row r="506" spans="1:10" x14ac:dyDescent="0.45">
      <c r="A506" s="15" t="s">
        <v>1219</v>
      </c>
      <c r="B506" s="18">
        <v>0</v>
      </c>
      <c r="C506" s="18">
        <v>0</v>
      </c>
      <c r="D506" s="18">
        <v>0</v>
      </c>
      <c r="E506" s="18">
        <v>0</v>
      </c>
      <c r="F506" s="18">
        <v>0</v>
      </c>
      <c r="G506" s="18">
        <v>4.7212573897076115E-4</v>
      </c>
      <c r="H506" s="18">
        <v>0</v>
      </c>
      <c r="I506" s="18">
        <v>0</v>
      </c>
      <c r="J506" s="18">
        <v>4.7212573897076115E-4</v>
      </c>
    </row>
    <row r="507" spans="1:10" x14ac:dyDescent="0.45">
      <c r="A507" s="15" t="s">
        <v>1216</v>
      </c>
      <c r="B507" s="18">
        <v>0</v>
      </c>
      <c r="C507" s="18">
        <v>0</v>
      </c>
      <c r="D507" s="18">
        <v>0</v>
      </c>
      <c r="E507" s="18">
        <v>0</v>
      </c>
      <c r="F507" s="18">
        <v>0</v>
      </c>
      <c r="G507" s="18">
        <v>4.691290547051434E-4</v>
      </c>
      <c r="H507" s="18">
        <v>0</v>
      </c>
      <c r="I507" s="18">
        <v>0</v>
      </c>
      <c r="J507" s="18">
        <v>4.691290547051434E-4</v>
      </c>
    </row>
    <row r="508" spans="1:10" x14ac:dyDescent="0.45">
      <c r="A508" s="15" t="s">
        <v>1359</v>
      </c>
      <c r="B508" s="18">
        <v>0</v>
      </c>
      <c r="C508" s="18">
        <v>0</v>
      </c>
      <c r="D508" s="18">
        <v>0</v>
      </c>
      <c r="E508" s="18">
        <v>4.663327868473346E-4</v>
      </c>
      <c r="F508" s="18">
        <v>0</v>
      </c>
      <c r="G508" s="18">
        <v>0</v>
      </c>
      <c r="H508" s="18">
        <v>0</v>
      </c>
      <c r="I508" s="18">
        <v>0</v>
      </c>
      <c r="J508" s="18">
        <v>4.663327868473346E-4</v>
      </c>
    </row>
    <row r="509" spans="1:10" x14ac:dyDescent="0.45">
      <c r="A509" s="15" t="s">
        <v>1048</v>
      </c>
      <c r="B509" s="18">
        <v>0</v>
      </c>
      <c r="C509" s="18">
        <v>0</v>
      </c>
      <c r="D509" s="18">
        <v>0</v>
      </c>
      <c r="E509" s="18">
        <v>4.6047345625917181E-4</v>
      </c>
      <c r="F509" s="18">
        <v>0</v>
      </c>
      <c r="G509" s="18">
        <v>0</v>
      </c>
      <c r="H509" s="18">
        <v>0</v>
      </c>
      <c r="I509" s="18">
        <v>0</v>
      </c>
      <c r="J509" s="18">
        <v>4.6047345625917181E-4</v>
      </c>
    </row>
    <row r="510" spans="1:10" x14ac:dyDescent="0.45">
      <c r="A510" s="15" t="s">
        <v>746</v>
      </c>
      <c r="B510" s="18">
        <v>0</v>
      </c>
      <c r="C510" s="18">
        <v>4.5462294270461902E-4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4.5462294270461902E-4</v>
      </c>
    </row>
    <row r="511" spans="1:10" x14ac:dyDescent="0.45">
      <c r="A511" s="15" t="s">
        <v>813</v>
      </c>
      <c r="B511" s="18">
        <v>0</v>
      </c>
      <c r="C511" s="18">
        <v>0</v>
      </c>
      <c r="D511" s="18">
        <v>0</v>
      </c>
      <c r="E511" s="18">
        <v>4.4626286311615359E-4</v>
      </c>
      <c r="F511" s="18">
        <v>0</v>
      </c>
      <c r="G511" s="18">
        <v>0</v>
      </c>
      <c r="H511" s="18">
        <v>0</v>
      </c>
      <c r="I511" s="18">
        <v>0</v>
      </c>
      <c r="J511" s="18">
        <v>4.4626286311615359E-4</v>
      </c>
    </row>
    <row r="512" spans="1:10" x14ac:dyDescent="0.45">
      <c r="A512" s="15" t="s">
        <v>734</v>
      </c>
      <c r="B512" s="18">
        <v>0</v>
      </c>
      <c r="C512" s="18">
        <v>4.4527381264546372E-4</v>
      </c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4.4527381264546372E-4</v>
      </c>
    </row>
    <row r="513" spans="1:10" x14ac:dyDescent="0.45">
      <c r="A513" s="15" t="s">
        <v>1068</v>
      </c>
      <c r="B513" s="18">
        <v>0</v>
      </c>
      <c r="C513" s="18">
        <v>0</v>
      </c>
      <c r="D513" s="18">
        <v>0</v>
      </c>
      <c r="E513" s="18">
        <v>0</v>
      </c>
      <c r="F513" s="18">
        <v>0</v>
      </c>
      <c r="G513" s="18">
        <v>4.4436140613349836E-4</v>
      </c>
      <c r="H513" s="18">
        <v>0</v>
      </c>
      <c r="I513" s="18">
        <v>0</v>
      </c>
      <c r="J513" s="18">
        <v>4.4436140613349836E-4</v>
      </c>
    </row>
    <row r="514" spans="1:10" x14ac:dyDescent="0.45">
      <c r="A514" s="15" t="s">
        <v>920</v>
      </c>
      <c r="B514" s="18">
        <v>0</v>
      </c>
      <c r="C514" s="18">
        <v>0</v>
      </c>
      <c r="D514" s="18">
        <v>0</v>
      </c>
      <c r="E514" s="18">
        <v>4.4212779513438385E-4</v>
      </c>
      <c r="F514" s="18">
        <v>0</v>
      </c>
      <c r="G514" s="18">
        <v>0</v>
      </c>
      <c r="H514" s="18">
        <v>0</v>
      </c>
      <c r="I514" s="18">
        <v>0</v>
      </c>
      <c r="J514" s="18">
        <v>4.4212779513438385E-4</v>
      </c>
    </row>
    <row r="515" spans="1:10" x14ac:dyDescent="0.45">
      <c r="A515" s="15" t="s">
        <v>1278</v>
      </c>
      <c r="B515" s="18">
        <v>0</v>
      </c>
      <c r="C515" s="18">
        <v>0</v>
      </c>
      <c r="D515" s="18">
        <v>0</v>
      </c>
      <c r="E515" s="18">
        <v>4.4163306402185312E-4</v>
      </c>
      <c r="F515" s="18">
        <v>0</v>
      </c>
      <c r="G515" s="18">
        <v>0</v>
      </c>
      <c r="H515" s="18">
        <v>0</v>
      </c>
      <c r="I515" s="18">
        <v>0</v>
      </c>
      <c r="J515" s="18">
        <v>4.4163306402185312E-4</v>
      </c>
    </row>
    <row r="516" spans="1:10" x14ac:dyDescent="0.45">
      <c r="A516" s="15" t="s">
        <v>1095</v>
      </c>
      <c r="B516" s="18">
        <v>0</v>
      </c>
      <c r="C516" s="18">
        <v>0</v>
      </c>
      <c r="D516" s="18">
        <v>0</v>
      </c>
      <c r="E516" s="18">
        <v>0</v>
      </c>
      <c r="F516" s="18">
        <v>0</v>
      </c>
      <c r="G516" s="18">
        <v>4.396135113103827E-4</v>
      </c>
      <c r="H516" s="18">
        <v>0</v>
      </c>
      <c r="I516" s="18">
        <v>0</v>
      </c>
      <c r="J516" s="18">
        <v>4.396135113103827E-4</v>
      </c>
    </row>
    <row r="517" spans="1:10" x14ac:dyDescent="0.45">
      <c r="A517" s="15" t="s">
        <v>791</v>
      </c>
      <c r="B517" s="18">
        <v>4.3829942559881326E-4</v>
      </c>
      <c r="C517" s="18">
        <v>0</v>
      </c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4.3829942559881326E-4</v>
      </c>
    </row>
    <row r="518" spans="1:10" x14ac:dyDescent="0.45">
      <c r="A518" s="15" t="s">
        <v>1214</v>
      </c>
      <c r="B518" s="18">
        <v>0</v>
      </c>
      <c r="C518" s="18">
        <v>0</v>
      </c>
      <c r="D518" s="18">
        <v>0</v>
      </c>
      <c r="E518" s="18">
        <v>0</v>
      </c>
      <c r="F518" s="18">
        <v>0</v>
      </c>
      <c r="G518" s="18">
        <v>0</v>
      </c>
      <c r="H518" s="18">
        <v>4.3357974144020851E-4</v>
      </c>
      <c r="I518" s="18">
        <v>0</v>
      </c>
      <c r="J518" s="18">
        <v>4.3357974144020851E-4</v>
      </c>
    </row>
    <row r="519" spans="1:10" x14ac:dyDescent="0.45">
      <c r="A519" s="15" t="s">
        <v>1275</v>
      </c>
      <c r="B519" s="18">
        <v>4.3346021738122867E-4</v>
      </c>
      <c r="C519" s="18">
        <v>0</v>
      </c>
      <c r="D519" s="18">
        <v>0</v>
      </c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4.3346021738122867E-4</v>
      </c>
    </row>
    <row r="520" spans="1:10" x14ac:dyDescent="0.45">
      <c r="A520" s="15" t="s">
        <v>1228</v>
      </c>
      <c r="B520" s="18">
        <v>0</v>
      </c>
      <c r="C520" s="18">
        <v>0</v>
      </c>
      <c r="D520" s="18">
        <v>0</v>
      </c>
      <c r="E520" s="18">
        <v>4.284946554721546E-4</v>
      </c>
      <c r="F520" s="18">
        <v>0</v>
      </c>
      <c r="G520" s="18">
        <v>0</v>
      </c>
      <c r="H520" s="18">
        <v>0</v>
      </c>
      <c r="I520" s="18">
        <v>0</v>
      </c>
      <c r="J520" s="18">
        <v>4.284946554721546E-4</v>
      </c>
    </row>
    <row r="521" spans="1:10" x14ac:dyDescent="0.45">
      <c r="A521" s="15" t="s">
        <v>1141</v>
      </c>
      <c r="B521" s="18">
        <v>0</v>
      </c>
      <c r="C521" s="18">
        <v>0</v>
      </c>
      <c r="D521" s="18">
        <v>4.2819839179674091E-4</v>
      </c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4.2819839179674091E-4</v>
      </c>
    </row>
    <row r="522" spans="1:10" x14ac:dyDescent="0.45">
      <c r="A522" s="15" t="s">
        <v>935</v>
      </c>
      <c r="B522" s="18">
        <v>0</v>
      </c>
      <c r="C522" s="18">
        <v>0</v>
      </c>
      <c r="D522" s="18">
        <v>0</v>
      </c>
      <c r="E522" s="18">
        <v>0</v>
      </c>
      <c r="F522" s="18">
        <v>0</v>
      </c>
      <c r="G522" s="18">
        <v>0</v>
      </c>
      <c r="H522" s="18">
        <v>4.2436291263568779E-4</v>
      </c>
      <c r="I522" s="18">
        <v>0</v>
      </c>
      <c r="J522" s="18">
        <v>4.2436291263568779E-4</v>
      </c>
    </row>
    <row r="523" spans="1:10" x14ac:dyDescent="0.45">
      <c r="A523" s="15" t="s">
        <v>1303</v>
      </c>
      <c r="B523" s="18">
        <v>4.1881348851778355E-4</v>
      </c>
      <c r="C523" s="18">
        <v>0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4.1881348851778355E-4</v>
      </c>
    </row>
    <row r="524" spans="1:10" x14ac:dyDescent="0.45">
      <c r="A524" s="15" t="s">
        <v>793</v>
      </c>
      <c r="B524" s="18">
        <v>4.1814578762884309E-4</v>
      </c>
      <c r="C524" s="18">
        <v>0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4.1814578762884309E-4</v>
      </c>
    </row>
    <row r="525" spans="1:10" x14ac:dyDescent="0.45">
      <c r="A525" s="15" t="s">
        <v>1103</v>
      </c>
      <c r="B525" s="18">
        <v>0</v>
      </c>
      <c r="C525" s="18">
        <v>0</v>
      </c>
      <c r="D525" s="18">
        <v>0</v>
      </c>
      <c r="E525" s="18">
        <v>0</v>
      </c>
      <c r="F525" s="18">
        <v>0</v>
      </c>
      <c r="G525" s="18">
        <v>0</v>
      </c>
      <c r="H525" s="18">
        <v>4.1812042355955425E-4</v>
      </c>
      <c r="I525" s="18">
        <v>0</v>
      </c>
      <c r="J525" s="18">
        <v>4.1812042355955425E-4</v>
      </c>
    </row>
    <row r="526" spans="1:10" x14ac:dyDescent="0.45">
      <c r="A526" s="15" t="s">
        <v>956</v>
      </c>
      <c r="B526" s="18">
        <v>0</v>
      </c>
      <c r="C526" s="18">
        <v>4.1206880550988701E-4</v>
      </c>
      <c r="D526" s="18">
        <v>0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4.1206880550988701E-4</v>
      </c>
    </row>
    <row r="527" spans="1:10" x14ac:dyDescent="0.45">
      <c r="A527" s="15" t="s">
        <v>974</v>
      </c>
      <c r="B527" s="18">
        <v>0</v>
      </c>
      <c r="C527" s="18">
        <v>0</v>
      </c>
      <c r="D527" s="18">
        <v>0</v>
      </c>
      <c r="E527" s="18">
        <v>0</v>
      </c>
      <c r="F527" s="18">
        <v>0</v>
      </c>
      <c r="G527" s="18">
        <v>0</v>
      </c>
      <c r="H527" s="18">
        <v>4.0595587448926366E-4</v>
      </c>
      <c r="I527" s="18">
        <v>0</v>
      </c>
      <c r="J527" s="18">
        <v>4.0595587448926366E-4</v>
      </c>
    </row>
    <row r="528" spans="1:10" x14ac:dyDescent="0.45">
      <c r="A528" s="15" t="s">
        <v>808</v>
      </c>
      <c r="B528" s="18">
        <v>0</v>
      </c>
      <c r="C528" s="18">
        <v>4.0515872534597889E-4</v>
      </c>
      <c r="D528" s="18">
        <v>0</v>
      </c>
      <c r="E528" s="18">
        <v>0</v>
      </c>
      <c r="F528" s="18">
        <v>0</v>
      </c>
      <c r="G528" s="18">
        <v>0</v>
      </c>
      <c r="H528" s="18">
        <v>0</v>
      </c>
      <c r="I528" s="18">
        <v>0</v>
      </c>
      <c r="J528" s="18">
        <v>4.0515872534597889E-4</v>
      </c>
    </row>
    <row r="529" spans="1:10" x14ac:dyDescent="0.45">
      <c r="A529" s="15" t="s">
        <v>913</v>
      </c>
      <c r="B529" s="18">
        <v>0</v>
      </c>
      <c r="C529" s="18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4.0448884490389814E-4</v>
      </c>
      <c r="I529" s="18">
        <v>0</v>
      </c>
      <c r="J529" s="18">
        <v>4.0448884490389814E-4</v>
      </c>
    </row>
    <row r="530" spans="1:10" x14ac:dyDescent="0.45">
      <c r="A530" s="15" t="s">
        <v>865</v>
      </c>
      <c r="B530" s="18">
        <v>4.042360496799864E-4</v>
      </c>
      <c r="C530" s="18">
        <v>0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4.042360496799864E-4</v>
      </c>
    </row>
    <row r="531" spans="1:10" x14ac:dyDescent="0.45">
      <c r="A531" s="15" t="s">
        <v>1330</v>
      </c>
      <c r="B531" s="18">
        <v>0</v>
      </c>
      <c r="C531" s="18">
        <v>0</v>
      </c>
      <c r="D531" s="18">
        <v>0</v>
      </c>
      <c r="E531" s="18">
        <v>0</v>
      </c>
      <c r="F531" s="18">
        <v>0</v>
      </c>
      <c r="G531" s="18">
        <v>0</v>
      </c>
      <c r="H531" s="18">
        <v>4.0347507819079757E-4</v>
      </c>
      <c r="I531" s="18">
        <v>0</v>
      </c>
      <c r="J531" s="18">
        <v>4.0347507819079757E-4</v>
      </c>
    </row>
    <row r="532" spans="1:10" x14ac:dyDescent="0.45">
      <c r="A532" s="15" t="s">
        <v>927</v>
      </c>
      <c r="B532" s="18">
        <v>0</v>
      </c>
      <c r="C532" s="18">
        <v>0</v>
      </c>
      <c r="D532" s="18">
        <v>0</v>
      </c>
      <c r="E532" s="18">
        <v>0</v>
      </c>
      <c r="F532" s="18">
        <v>0</v>
      </c>
      <c r="G532" s="18">
        <v>0</v>
      </c>
      <c r="H532" s="18">
        <v>4.0279793440160236E-4</v>
      </c>
      <c r="I532" s="18">
        <v>0</v>
      </c>
      <c r="J532" s="18">
        <v>4.0279793440160236E-4</v>
      </c>
    </row>
    <row r="533" spans="1:10" x14ac:dyDescent="0.45">
      <c r="A533" s="15" t="s">
        <v>992</v>
      </c>
      <c r="B533" s="18">
        <v>0</v>
      </c>
      <c r="C533" s="18">
        <v>0</v>
      </c>
      <c r="D533" s="18">
        <v>0</v>
      </c>
      <c r="E533" s="18">
        <v>4.0034987349068596E-4</v>
      </c>
      <c r="F533" s="18">
        <v>0</v>
      </c>
      <c r="G533" s="18">
        <v>0</v>
      </c>
      <c r="H533" s="18">
        <v>0</v>
      </c>
      <c r="I533" s="18">
        <v>0</v>
      </c>
      <c r="J533" s="18">
        <v>4.0034987349068596E-4</v>
      </c>
    </row>
    <row r="534" spans="1:10" x14ac:dyDescent="0.45">
      <c r="A534" s="15" t="s">
        <v>871</v>
      </c>
      <c r="B534" s="18">
        <v>0</v>
      </c>
      <c r="C534" s="18">
        <v>0</v>
      </c>
      <c r="D534" s="18">
        <v>0</v>
      </c>
      <c r="E534" s="18">
        <v>0</v>
      </c>
      <c r="F534" s="18">
        <v>0</v>
      </c>
      <c r="G534" s="18">
        <v>3.9677042411288577E-4</v>
      </c>
      <c r="H534" s="18">
        <v>0</v>
      </c>
      <c r="I534" s="18">
        <v>0</v>
      </c>
      <c r="J534" s="18">
        <v>3.9677042411288577E-4</v>
      </c>
    </row>
    <row r="535" spans="1:10" x14ac:dyDescent="0.45">
      <c r="A535" s="15" t="s">
        <v>1311</v>
      </c>
      <c r="B535" s="18">
        <v>0</v>
      </c>
      <c r="C535" s="18">
        <v>0</v>
      </c>
      <c r="D535" s="18">
        <v>0</v>
      </c>
      <c r="E535" s="18">
        <v>0</v>
      </c>
      <c r="F535" s="18">
        <v>3.9168625406955622E-4</v>
      </c>
      <c r="G535" s="18">
        <v>0</v>
      </c>
      <c r="H535" s="18">
        <v>0</v>
      </c>
      <c r="I535" s="18">
        <v>0</v>
      </c>
      <c r="J535" s="18">
        <v>3.9168625406955622E-4</v>
      </c>
    </row>
    <row r="536" spans="1:10" x14ac:dyDescent="0.45">
      <c r="A536" s="15" t="s">
        <v>1030</v>
      </c>
      <c r="B536" s="18">
        <v>0</v>
      </c>
      <c r="C536" s="18">
        <v>0</v>
      </c>
      <c r="D536" s="18">
        <v>0</v>
      </c>
      <c r="E536" s="18">
        <v>0</v>
      </c>
      <c r="F536" s="18">
        <v>0</v>
      </c>
      <c r="G536" s="18">
        <v>0</v>
      </c>
      <c r="H536" s="18">
        <v>3.8813623689423597E-4</v>
      </c>
      <c r="I536" s="18">
        <v>0</v>
      </c>
      <c r="J536" s="18">
        <v>3.8813623689423597E-4</v>
      </c>
    </row>
    <row r="537" spans="1:10" x14ac:dyDescent="0.45">
      <c r="A537" s="15" t="s">
        <v>1297</v>
      </c>
      <c r="B537" s="18">
        <v>0</v>
      </c>
      <c r="C537" s="18">
        <v>0</v>
      </c>
      <c r="D537" s="18">
        <v>3.869971477055941E-4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3.869971477055941E-4</v>
      </c>
    </row>
    <row r="538" spans="1:10" x14ac:dyDescent="0.45">
      <c r="A538" s="15" t="s">
        <v>1210</v>
      </c>
      <c r="B538" s="18">
        <v>0</v>
      </c>
      <c r="C538" s="18">
        <v>3.8543636805488975E-4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3.8543636805488975E-4</v>
      </c>
    </row>
    <row r="539" spans="1:10" x14ac:dyDescent="0.45">
      <c r="A539" s="15" t="s">
        <v>739</v>
      </c>
      <c r="B539" s="18">
        <v>0</v>
      </c>
      <c r="C539" s="18">
        <v>0</v>
      </c>
      <c r="D539" s="18">
        <v>3.7897506355560596E-4</v>
      </c>
      <c r="E539" s="18">
        <v>0</v>
      </c>
      <c r="F539" s="18">
        <v>0</v>
      </c>
      <c r="G539" s="18">
        <v>0</v>
      </c>
      <c r="H539" s="18">
        <v>0</v>
      </c>
      <c r="I539" s="18">
        <v>0</v>
      </c>
      <c r="J539" s="18">
        <v>3.7897506355560596E-4</v>
      </c>
    </row>
    <row r="540" spans="1:10" x14ac:dyDescent="0.45">
      <c r="A540" s="15" t="s">
        <v>886</v>
      </c>
      <c r="B540" s="18">
        <v>0</v>
      </c>
      <c r="C540" s="18">
        <v>0</v>
      </c>
      <c r="D540" s="18">
        <v>0</v>
      </c>
      <c r="E540" s="18">
        <v>0</v>
      </c>
      <c r="F540" s="18">
        <v>0</v>
      </c>
      <c r="G540" s="18">
        <v>0</v>
      </c>
      <c r="H540" s="18">
        <v>3.7879689286397843E-4</v>
      </c>
      <c r="I540" s="18">
        <v>0</v>
      </c>
      <c r="J540" s="18">
        <v>3.7879689286397843E-4</v>
      </c>
    </row>
    <row r="541" spans="1:10" x14ac:dyDescent="0.45">
      <c r="A541" s="15" t="s">
        <v>1104</v>
      </c>
      <c r="B541" s="18">
        <v>0</v>
      </c>
      <c r="C541" s="18">
        <v>0</v>
      </c>
      <c r="D541" s="18">
        <v>3.7819648910952764E-4</v>
      </c>
      <c r="E541" s="18">
        <v>0</v>
      </c>
      <c r="F541" s="18">
        <v>0</v>
      </c>
      <c r="G541" s="18">
        <v>0</v>
      </c>
      <c r="H541" s="18">
        <v>0</v>
      </c>
      <c r="I541" s="18">
        <v>0</v>
      </c>
      <c r="J541" s="18">
        <v>3.7819648910952764E-4</v>
      </c>
    </row>
    <row r="542" spans="1:10" x14ac:dyDescent="0.45">
      <c r="A542" s="15" t="s">
        <v>1084</v>
      </c>
      <c r="B542" s="18">
        <v>0</v>
      </c>
      <c r="C542" s="18">
        <v>0</v>
      </c>
      <c r="D542" s="18">
        <v>0</v>
      </c>
      <c r="E542" s="18">
        <v>0</v>
      </c>
      <c r="F542" s="18">
        <v>0</v>
      </c>
      <c r="G542" s="18">
        <v>0</v>
      </c>
      <c r="H542" s="18">
        <v>3.7808498968574503E-4</v>
      </c>
      <c r="I542" s="18">
        <v>0</v>
      </c>
      <c r="J542" s="18">
        <v>3.7808498968574503E-4</v>
      </c>
    </row>
    <row r="543" spans="1:10" x14ac:dyDescent="0.45">
      <c r="A543" s="15" t="s">
        <v>1107</v>
      </c>
      <c r="B543" s="18">
        <v>0</v>
      </c>
      <c r="C543" s="18">
        <v>0</v>
      </c>
      <c r="D543" s="18">
        <v>0</v>
      </c>
      <c r="E543" s="18">
        <v>0</v>
      </c>
      <c r="F543" s="18">
        <v>0</v>
      </c>
      <c r="G543" s="18">
        <v>0</v>
      </c>
      <c r="H543" s="18">
        <v>3.7675415746637878E-4</v>
      </c>
      <c r="I543" s="18">
        <v>0</v>
      </c>
      <c r="J543" s="18">
        <v>3.7675415746637878E-4</v>
      </c>
    </row>
    <row r="544" spans="1:10" x14ac:dyDescent="0.45">
      <c r="A544" s="15" t="s">
        <v>1092</v>
      </c>
      <c r="B544" s="18">
        <v>3.7257365559224018E-4</v>
      </c>
      <c r="C544" s="18">
        <v>0</v>
      </c>
      <c r="D544" s="18">
        <v>0</v>
      </c>
      <c r="E544" s="18">
        <v>0</v>
      </c>
      <c r="F544" s="18">
        <v>0</v>
      </c>
      <c r="G544" s="18">
        <v>0</v>
      </c>
      <c r="H544" s="18">
        <v>0</v>
      </c>
      <c r="I544" s="18">
        <v>0</v>
      </c>
      <c r="J544" s="18">
        <v>3.7257365559224018E-4</v>
      </c>
    </row>
    <row r="545" spans="1:10" x14ac:dyDescent="0.45">
      <c r="A545" s="15" t="s">
        <v>1195</v>
      </c>
      <c r="B545" s="18">
        <v>0</v>
      </c>
      <c r="C545" s="18">
        <v>0</v>
      </c>
      <c r="D545" s="18">
        <v>0</v>
      </c>
      <c r="E545" s="18">
        <v>0</v>
      </c>
      <c r="F545" s="18">
        <v>0</v>
      </c>
      <c r="G545" s="18">
        <v>0</v>
      </c>
      <c r="H545" s="18">
        <v>3.7108380017453419E-4</v>
      </c>
      <c r="I545" s="18">
        <v>0</v>
      </c>
      <c r="J545" s="18">
        <v>3.7108380017453419E-4</v>
      </c>
    </row>
    <row r="546" spans="1:10" x14ac:dyDescent="0.45">
      <c r="A546" s="15" t="s">
        <v>1221</v>
      </c>
      <c r="B546" s="18">
        <v>0</v>
      </c>
      <c r="C546" s="18">
        <v>0</v>
      </c>
      <c r="D546" s="18">
        <v>0</v>
      </c>
      <c r="E546" s="18">
        <v>0</v>
      </c>
      <c r="F546" s="18">
        <v>0</v>
      </c>
      <c r="G546" s="18">
        <v>0</v>
      </c>
      <c r="H546" s="18">
        <v>3.6836978620000994E-4</v>
      </c>
      <c r="I546" s="18">
        <v>0</v>
      </c>
      <c r="J546" s="18">
        <v>3.6836978620000994E-4</v>
      </c>
    </row>
    <row r="547" spans="1:10" x14ac:dyDescent="0.45">
      <c r="A547" s="15" t="s">
        <v>761</v>
      </c>
      <c r="B547" s="18">
        <v>0</v>
      </c>
      <c r="C547" s="18">
        <v>0</v>
      </c>
      <c r="D547" s="18">
        <v>0</v>
      </c>
      <c r="E547" s="18">
        <v>0</v>
      </c>
      <c r="F547" s="18">
        <v>0</v>
      </c>
      <c r="G547" s="18">
        <v>3.6423860334948855E-4</v>
      </c>
      <c r="H547" s="18">
        <v>0</v>
      </c>
      <c r="I547" s="18">
        <v>0</v>
      </c>
      <c r="J547" s="18">
        <v>3.6423860334948855E-4</v>
      </c>
    </row>
    <row r="548" spans="1:10" x14ac:dyDescent="0.45">
      <c r="A548" s="15" t="s">
        <v>1019</v>
      </c>
      <c r="B548" s="18">
        <v>0</v>
      </c>
      <c r="C548" s="18">
        <v>0</v>
      </c>
      <c r="D548" s="18">
        <v>0</v>
      </c>
      <c r="E548" s="18">
        <v>0</v>
      </c>
      <c r="F548" s="18">
        <v>0</v>
      </c>
      <c r="G548" s="18">
        <v>3.6405010219818312E-4</v>
      </c>
      <c r="H548" s="18">
        <v>0</v>
      </c>
      <c r="I548" s="18">
        <v>0</v>
      </c>
      <c r="J548" s="18">
        <v>3.6405010219818312E-4</v>
      </c>
    </row>
    <row r="549" spans="1:10" x14ac:dyDescent="0.45">
      <c r="A549" s="15" t="s">
        <v>928</v>
      </c>
      <c r="B549" s="18">
        <v>0</v>
      </c>
      <c r="C549" s="18">
        <v>0</v>
      </c>
      <c r="D549" s="18">
        <v>0</v>
      </c>
      <c r="E549" s="18">
        <v>0</v>
      </c>
      <c r="F549" s="18">
        <v>3.594505643051641E-4</v>
      </c>
      <c r="G549" s="18">
        <v>0</v>
      </c>
      <c r="H549" s="18">
        <v>0</v>
      </c>
      <c r="I549" s="18">
        <v>0</v>
      </c>
      <c r="J549" s="18">
        <v>3.594505643051641E-4</v>
      </c>
    </row>
    <row r="550" spans="1:10" x14ac:dyDescent="0.45">
      <c r="A550" s="15" t="s">
        <v>1241</v>
      </c>
      <c r="B550" s="18">
        <v>0</v>
      </c>
      <c r="C550" s="18">
        <v>0</v>
      </c>
      <c r="D550" s="18">
        <v>3.5879126686544263E-4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3.5879126686544263E-4</v>
      </c>
    </row>
    <row r="551" spans="1:10" x14ac:dyDescent="0.45">
      <c r="A551" s="15" t="s">
        <v>762</v>
      </c>
      <c r="B551" s="18">
        <v>0</v>
      </c>
      <c r="C551" s="18">
        <v>0</v>
      </c>
      <c r="D551" s="18">
        <v>0</v>
      </c>
      <c r="E551" s="18">
        <v>0</v>
      </c>
      <c r="F551" s="18">
        <v>0</v>
      </c>
      <c r="G551" s="18">
        <v>3.5806160151862919E-4</v>
      </c>
      <c r="H551" s="18">
        <v>0</v>
      </c>
      <c r="I551" s="18">
        <v>0</v>
      </c>
      <c r="J551" s="18">
        <v>3.5806160151862919E-4</v>
      </c>
    </row>
    <row r="552" spans="1:10" x14ac:dyDescent="0.45">
      <c r="A552" s="15" t="s">
        <v>1316</v>
      </c>
      <c r="B552" s="18">
        <v>0</v>
      </c>
      <c r="C552" s="18">
        <v>0</v>
      </c>
      <c r="D552" s="18">
        <v>3.498645016305094E-4</v>
      </c>
      <c r="E552" s="18">
        <v>0</v>
      </c>
      <c r="F552" s="18">
        <v>0</v>
      </c>
      <c r="G552" s="18">
        <v>0</v>
      </c>
      <c r="H552" s="18">
        <v>0</v>
      </c>
      <c r="I552" s="18">
        <v>0</v>
      </c>
      <c r="J552" s="18">
        <v>3.498645016305094E-4</v>
      </c>
    </row>
    <row r="553" spans="1:10" x14ac:dyDescent="0.45">
      <c r="A553" s="15" t="s">
        <v>973</v>
      </c>
      <c r="B553" s="18">
        <v>0</v>
      </c>
      <c r="C553" s="18">
        <v>0</v>
      </c>
      <c r="D553" s="18">
        <v>3.4985495258912783E-4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3.4985495258912783E-4</v>
      </c>
    </row>
    <row r="554" spans="1:10" x14ac:dyDescent="0.45">
      <c r="A554" s="15" t="s">
        <v>1061</v>
      </c>
      <c r="B554" s="18">
        <v>0</v>
      </c>
      <c r="C554" s="18">
        <v>0</v>
      </c>
      <c r="D554" s="18">
        <v>0</v>
      </c>
      <c r="E554" s="18">
        <v>0</v>
      </c>
      <c r="F554" s="18">
        <v>0</v>
      </c>
      <c r="G554" s="18">
        <v>3.4768567958308591E-4</v>
      </c>
      <c r="H554" s="18">
        <v>0</v>
      </c>
      <c r="I554" s="18">
        <v>0</v>
      </c>
      <c r="J554" s="18">
        <v>3.4768567958308591E-4</v>
      </c>
    </row>
    <row r="555" spans="1:10" x14ac:dyDescent="0.45">
      <c r="A555" s="15" t="s">
        <v>1041</v>
      </c>
      <c r="B555" s="18">
        <v>0</v>
      </c>
      <c r="C555" s="18">
        <v>0</v>
      </c>
      <c r="D555" s="18">
        <v>0</v>
      </c>
      <c r="E555" s="18">
        <v>0</v>
      </c>
      <c r="F555" s="18">
        <v>3.3345893743361464E-4</v>
      </c>
      <c r="G555" s="18">
        <v>0</v>
      </c>
      <c r="H555" s="18">
        <v>0</v>
      </c>
      <c r="I555" s="18">
        <v>0</v>
      </c>
      <c r="J555" s="18">
        <v>3.3345893743361464E-4</v>
      </c>
    </row>
    <row r="556" spans="1:10" x14ac:dyDescent="0.45">
      <c r="A556" s="15" t="s">
        <v>982</v>
      </c>
      <c r="B556" s="18">
        <v>0</v>
      </c>
      <c r="C556" s="18">
        <v>0</v>
      </c>
      <c r="D556" s="18">
        <v>0</v>
      </c>
      <c r="E556" s="18">
        <v>0</v>
      </c>
      <c r="F556" s="18">
        <v>3.2867514952442421E-4</v>
      </c>
      <c r="G556" s="18">
        <v>0</v>
      </c>
      <c r="H556" s="18">
        <v>0</v>
      </c>
      <c r="I556" s="18">
        <v>0</v>
      </c>
      <c r="J556" s="18">
        <v>3.2867514952442421E-4</v>
      </c>
    </row>
    <row r="557" spans="1:10" x14ac:dyDescent="0.45">
      <c r="A557" s="15" t="s">
        <v>880</v>
      </c>
      <c r="B557" s="18">
        <v>0</v>
      </c>
      <c r="C557" s="18">
        <v>0</v>
      </c>
      <c r="D557" s="18">
        <v>3.2600907656888685E-4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3.2600907656888685E-4</v>
      </c>
    </row>
    <row r="558" spans="1:10" x14ac:dyDescent="0.45">
      <c r="A558" s="15" t="s">
        <v>773</v>
      </c>
      <c r="B558" s="18">
        <v>0</v>
      </c>
      <c r="C558" s="18">
        <v>0</v>
      </c>
      <c r="D558" s="18">
        <v>0</v>
      </c>
      <c r="E558" s="18">
        <v>0</v>
      </c>
      <c r="F558" s="18">
        <v>0</v>
      </c>
      <c r="G558" s="18">
        <v>0</v>
      </c>
      <c r="H558" s="18">
        <v>3.2594461230447372E-4</v>
      </c>
      <c r="I558" s="18">
        <v>0</v>
      </c>
      <c r="J558" s="18">
        <v>3.2594461230447372E-4</v>
      </c>
    </row>
    <row r="559" spans="1:10" x14ac:dyDescent="0.45">
      <c r="A559" s="15" t="s">
        <v>1244</v>
      </c>
      <c r="B559" s="18">
        <v>0</v>
      </c>
      <c r="C559" s="18">
        <v>3.2259130117256974E-4</v>
      </c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3.2259130117256974E-4</v>
      </c>
    </row>
    <row r="560" spans="1:10" x14ac:dyDescent="0.45">
      <c r="A560" s="15" t="s">
        <v>867</v>
      </c>
      <c r="B560" s="18">
        <v>0</v>
      </c>
      <c r="C560" s="18">
        <v>0</v>
      </c>
      <c r="D560" s="18">
        <v>0</v>
      </c>
      <c r="E560" s="18">
        <v>0</v>
      </c>
      <c r="F560" s="18">
        <v>0</v>
      </c>
      <c r="G560" s="18">
        <v>3.1974136799499945E-4</v>
      </c>
      <c r="H560" s="18">
        <v>0</v>
      </c>
      <c r="I560" s="18">
        <v>0</v>
      </c>
      <c r="J560" s="18">
        <v>3.1974136799499945E-4</v>
      </c>
    </row>
    <row r="561" spans="1:10" x14ac:dyDescent="0.45">
      <c r="A561" s="15" t="s">
        <v>1302</v>
      </c>
      <c r="B561" s="18">
        <v>0</v>
      </c>
      <c r="C561" s="18">
        <v>3.0910380909667228E-4</v>
      </c>
      <c r="D561" s="18">
        <v>0</v>
      </c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3.0910380909667228E-4</v>
      </c>
    </row>
    <row r="562" spans="1:10" x14ac:dyDescent="0.45">
      <c r="A562" s="15" t="s">
        <v>1272</v>
      </c>
      <c r="B562" s="18">
        <v>0</v>
      </c>
      <c r="C562" s="18">
        <v>0</v>
      </c>
      <c r="D562" s="18">
        <v>0</v>
      </c>
      <c r="E562" s="18">
        <v>0</v>
      </c>
      <c r="F562" s="18">
        <v>3.0567153079637862E-4</v>
      </c>
      <c r="G562" s="18">
        <v>0</v>
      </c>
      <c r="H562" s="18">
        <v>0</v>
      </c>
      <c r="I562" s="18">
        <v>0</v>
      </c>
      <c r="J562" s="18">
        <v>3.0567153079637862E-4</v>
      </c>
    </row>
    <row r="563" spans="1:10" x14ac:dyDescent="0.45">
      <c r="A563" s="15" t="s">
        <v>1031</v>
      </c>
      <c r="B563" s="18">
        <v>0</v>
      </c>
      <c r="C563" s="18">
        <v>0</v>
      </c>
      <c r="D563" s="18">
        <v>0</v>
      </c>
      <c r="E563" s="18">
        <v>2.9196782558495919E-4</v>
      </c>
      <c r="F563" s="18">
        <v>0</v>
      </c>
      <c r="G563" s="18">
        <v>0</v>
      </c>
      <c r="H563" s="18">
        <v>0</v>
      </c>
      <c r="I563" s="18">
        <v>0</v>
      </c>
      <c r="J563" s="18">
        <v>2.9196782558495919E-4</v>
      </c>
    </row>
    <row r="564" spans="1:10" x14ac:dyDescent="0.45">
      <c r="A564" s="15" t="s">
        <v>1078</v>
      </c>
      <c r="B564" s="18">
        <v>0</v>
      </c>
      <c r="C564" s="18">
        <v>0</v>
      </c>
      <c r="D564" s="18">
        <v>0</v>
      </c>
      <c r="E564" s="18">
        <v>0</v>
      </c>
      <c r="F564" s="18">
        <v>2.9052974690696378E-4</v>
      </c>
      <c r="G564" s="18">
        <v>0</v>
      </c>
      <c r="H564" s="18">
        <v>0</v>
      </c>
      <c r="I564" s="18">
        <v>0</v>
      </c>
      <c r="J564" s="18">
        <v>2.9052974690696378E-4</v>
      </c>
    </row>
    <row r="565" spans="1:10" x14ac:dyDescent="0.45">
      <c r="A565" s="15" t="s">
        <v>1329</v>
      </c>
      <c r="B565" s="18">
        <v>0</v>
      </c>
      <c r="C565" s="18">
        <v>0</v>
      </c>
      <c r="D565" s="18">
        <v>0</v>
      </c>
      <c r="E565" s="18">
        <v>0</v>
      </c>
      <c r="F565" s="18">
        <v>0</v>
      </c>
      <c r="G565" s="18">
        <v>0</v>
      </c>
      <c r="H565" s="18">
        <v>2.8513624227444737E-4</v>
      </c>
      <c r="I565" s="18">
        <v>0</v>
      </c>
      <c r="J565" s="18">
        <v>2.8513624227444737E-4</v>
      </c>
    </row>
    <row r="566" spans="1:10" x14ac:dyDescent="0.45">
      <c r="A566" s="15" t="s">
        <v>1072</v>
      </c>
      <c r="B566" s="18">
        <v>2.7647033166899225E-4</v>
      </c>
      <c r="C566" s="18">
        <v>0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2.7647033166899225E-4</v>
      </c>
    </row>
    <row r="567" spans="1:10" x14ac:dyDescent="0.45">
      <c r="A567" s="15" t="s">
        <v>1052</v>
      </c>
      <c r="B567" s="18">
        <v>0</v>
      </c>
      <c r="C567" s="18">
        <v>0</v>
      </c>
      <c r="D567" s="18">
        <v>0</v>
      </c>
      <c r="E567" s="18">
        <v>2.667668823980511E-4</v>
      </c>
      <c r="F567" s="18">
        <v>0</v>
      </c>
      <c r="G567" s="18">
        <v>0</v>
      </c>
      <c r="H567" s="18">
        <v>0</v>
      </c>
      <c r="I567" s="18">
        <v>0</v>
      </c>
      <c r="J567" s="18">
        <v>2.667668823980511E-4</v>
      </c>
    </row>
    <row r="568" spans="1:10" x14ac:dyDescent="0.45">
      <c r="A568" s="15" t="s">
        <v>979</v>
      </c>
      <c r="B568" s="18">
        <v>0</v>
      </c>
      <c r="C568" s="18">
        <v>0</v>
      </c>
      <c r="D568" s="18">
        <v>0</v>
      </c>
      <c r="E568" s="18">
        <v>0</v>
      </c>
      <c r="F568" s="18">
        <v>0</v>
      </c>
      <c r="G568" s="18">
        <v>2.6625583300227021E-4</v>
      </c>
      <c r="H568" s="18">
        <v>0</v>
      </c>
      <c r="I568" s="18">
        <v>0</v>
      </c>
      <c r="J568" s="18">
        <v>2.6625583300227021E-4</v>
      </c>
    </row>
    <row r="569" spans="1:10" x14ac:dyDescent="0.45">
      <c r="A569" s="15" t="s">
        <v>740</v>
      </c>
      <c r="B569" s="18">
        <v>0</v>
      </c>
      <c r="C569" s="18">
        <v>0</v>
      </c>
      <c r="D569" s="18">
        <v>0</v>
      </c>
      <c r="E569" s="18">
        <v>2.6411294613136834E-4</v>
      </c>
      <c r="F569" s="18">
        <v>0</v>
      </c>
      <c r="G569" s="18">
        <v>0</v>
      </c>
      <c r="H569" s="18">
        <v>0</v>
      </c>
      <c r="I569" s="18">
        <v>0</v>
      </c>
      <c r="J569" s="18">
        <v>2.6411294613136834E-4</v>
      </c>
    </row>
    <row r="570" spans="1:10" x14ac:dyDescent="0.45">
      <c r="A570" s="15" t="s">
        <v>966</v>
      </c>
      <c r="B570" s="18">
        <v>0</v>
      </c>
      <c r="C570" s="18">
        <v>0</v>
      </c>
      <c r="D570" s="18">
        <v>0</v>
      </c>
      <c r="E570" s="18">
        <v>0</v>
      </c>
      <c r="F570" s="18">
        <v>0</v>
      </c>
      <c r="G570" s="18">
        <v>0</v>
      </c>
      <c r="H570" s="18">
        <v>2.6352129718986691E-4</v>
      </c>
      <c r="I570" s="18">
        <v>0</v>
      </c>
      <c r="J570" s="18">
        <v>2.6352129718986691E-4</v>
      </c>
    </row>
    <row r="571" spans="1:10" x14ac:dyDescent="0.45">
      <c r="A571" s="15" t="s">
        <v>1172</v>
      </c>
      <c r="B571" s="18">
        <v>0</v>
      </c>
      <c r="C571" s="18">
        <v>0</v>
      </c>
      <c r="D571" s="18">
        <v>0</v>
      </c>
      <c r="E571" s="18">
        <v>0</v>
      </c>
      <c r="F571" s="18">
        <v>2.5580363311188847E-4</v>
      </c>
      <c r="G571" s="18">
        <v>0</v>
      </c>
      <c r="H571" s="18">
        <v>0</v>
      </c>
      <c r="I571" s="18">
        <v>0</v>
      </c>
      <c r="J571" s="18">
        <v>2.5580363311188847E-4</v>
      </c>
    </row>
    <row r="572" spans="1:10" x14ac:dyDescent="0.45">
      <c r="A572" s="15" t="s">
        <v>1340</v>
      </c>
      <c r="B572" s="18">
        <v>0</v>
      </c>
      <c r="C572" s="18">
        <v>0</v>
      </c>
      <c r="D572" s="18">
        <v>0</v>
      </c>
      <c r="E572" s="18">
        <v>0</v>
      </c>
      <c r="F572" s="18">
        <v>0</v>
      </c>
      <c r="G572" s="18">
        <v>0</v>
      </c>
      <c r="H572" s="18">
        <v>2.5037137964797803E-4</v>
      </c>
      <c r="I572" s="18">
        <v>0</v>
      </c>
      <c r="J572" s="18">
        <v>2.5037137964797803E-4</v>
      </c>
    </row>
    <row r="573" spans="1:10" x14ac:dyDescent="0.45">
      <c r="A573" s="15" t="s">
        <v>1199</v>
      </c>
      <c r="B573" s="18">
        <v>2.488695302829331E-4</v>
      </c>
      <c r="C573" s="18">
        <v>0</v>
      </c>
      <c r="D573" s="18">
        <v>0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2.488695302829331E-4</v>
      </c>
    </row>
    <row r="574" spans="1:10" x14ac:dyDescent="0.45">
      <c r="A574" s="15" t="s">
        <v>862</v>
      </c>
      <c r="B574" s="18">
        <v>0</v>
      </c>
      <c r="C574" s="18">
        <v>0</v>
      </c>
      <c r="D574" s="18">
        <v>0</v>
      </c>
      <c r="E574" s="18">
        <v>0</v>
      </c>
      <c r="F574" s="18">
        <v>0</v>
      </c>
      <c r="G574" s="18">
        <v>2.4176100281212163E-4</v>
      </c>
      <c r="H574" s="18">
        <v>0</v>
      </c>
      <c r="I574" s="18">
        <v>0</v>
      </c>
      <c r="J574" s="18">
        <v>2.4176100281212163E-4</v>
      </c>
    </row>
    <row r="575" spans="1:10" x14ac:dyDescent="0.45">
      <c r="A575" s="15" t="s">
        <v>1165</v>
      </c>
      <c r="B575" s="18">
        <v>0</v>
      </c>
      <c r="C575" s="18">
        <v>0</v>
      </c>
      <c r="D575" s="18">
        <v>0</v>
      </c>
      <c r="E575" s="18">
        <v>2.4043014863252233E-4</v>
      </c>
      <c r="F575" s="18">
        <v>0</v>
      </c>
      <c r="G575" s="18">
        <v>0</v>
      </c>
      <c r="H575" s="18">
        <v>0</v>
      </c>
      <c r="I575" s="18">
        <v>0</v>
      </c>
      <c r="J575" s="18">
        <v>2.4043014863252233E-4</v>
      </c>
    </row>
    <row r="576" spans="1:10" x14ac:dyDescent="0.45">
      <c r="A576" s="15" t="s">
        <v>1064</v>
      </c>
      <c r="B576" s="18">
        <v>0</v>
      </c>
      <c r="C576" s="18">
        <v>0</v>
      </c>
      <c r="D576" s="18">
        <v>0</v>
      </c>
      <c r="E576" s="18">
        <v>0</v>
      </c>
      <c r="F576" s="18">
        <v>0</v>
      </c>
      <c r="G576" s="18">
        <v>2.3216457307740057E-4</v>
      </c>
      <c r="H576" s="18">
        <v>0</v>
      </c>
      <c r="I576" s="18">
        <v>0</v>
      </c>
      <c r="J576" s="18">
        <v>2.3216457307740057E-4</v>
      </c>
    </row>
    <row r="577" spans="1:10" x14ac:dyDescent="0.45">
      <c r="A577" s="15" t="s">
        <v>1124</v>
      </c>
      <c r="B577" s="18">
        <v>0</v>
      </c>
      <c r="C577" s="18">
        <v>0</v>
      </c>
      <c r="D577" s="18">
        <v>0</v>
      </c>
      <c r="E577" s="18">
        <v>0</v>
      </c>
      <c r="F577" s="18">
        <v>0</v>
      </c>
      <c r="G577" s="18">
        <v>0</v>
      </c>
      <c r="H577" s="18">
        <v>2.3104576324906346E-4</v>
      </c>
      <c r="I577" s="18">
        <v>0</v>
      </c>
      <c r="J577" s="18">
        <v>2.3104576324906346E-4</v>
      </c>
    </row>
    <row r="578" spans="1:10" x14ac:dyDescent="0.45">
      <c r="A578" s="15" t="s">
        <v>787</v>
      </c>
      <c r="B578" s="18">
        <v>0</v>
      </c>
      <c r="C578" s="18">
        <v>0</v>
      </c>
      <c r="D578" s="18">
        <v>2.3047956255774457E-4</v>
      </c>
      <c r="E578" s="18">
        <v>0</v>
      </c>
      <c r="F578" s="18">
        <v>0</v>
      </c>
      <c r="G578" s="18">
        <v>0</v>
      </c>
      <c r="H578" s="18">
        <v>0</v>
      </c>
      <c r="I578" s="18">
        <v>0</v>
      </c>
      <c r="J578" s="18">
        <v>2.3047956255774457E-4</v>
      </c>
    </row>
    <row r="579" spans="1:10" x14ac:dyDescent="0.45">
      <c r="A579" s="15" t="s">
        <v>991</v>
      </c>
      <c r="B579" s="18">
        <v>0</v>
      </c>
      <c r="C579" s="18">
        <v>0</v>
      </c>
      <c r="D579" s="18">
        <v>0</v>
      </c>
      <c r="E579" s="18">
        <v>0</v>
      </c>
      <c r="F579" s="18">
        <v>2.1906801707204793E-4</v>
      </c>
      <c r="G579" s="18">
        <v>0</v>
      </c>
      <c r="H579" s="18">
        <v>0</v>
      </c>
      <c r="I579" s="18">
        <v>0</v>
      </c>
      <c r="J579" s="18">
        <v>2.1906801707204793E-4</v>
      </c>
    </row>
    <row r="580" spans="1:10" x14ac:dyDescent="0.45">
      <c r="A580" s="15" t="s">
        <v>1060</v>
      </c>
      <c r="B580" s="18">
        <v>0</v>
      </c>
      <c r="C580" s="18">
        <v>2.1721985849025872E-4</v>
      </c>
      <c r="D580" s="18">
        <v>0</v>
      </c>
      <c r="E580" s="18">
        <v>0</v>
      </c>
      <c r="F580" s="18">
        <v>0</v>
      </c>
      <c r="G580" s="18">
        <v>0</v>
      </c>
      <c r="H580" s="18">
        <v>0</v>
      </c>
      <c r="I580" s="18">
        <v>0</v>
      </c>
      <c r="J580" s="18">
        <v>2.1721985849025872E-4</v>
      </c>
    </row>
    <row r="581" spans="1:10" x14ac:dyDescent="0.45">
      <c r="A581" s="15" t="s">
        <v>1353</v>
      </c>
      <c r="B581" s="18">
        <v>0</v>
      </c>
      <c r="C581" s="18">
        <v>0</v>
      </c>
      <c r="D581" s="18">
        <v>0</v>
      </c>
      <c r="E581" s="18">
        <v>0</v>
      </c>
      <c r="F581" s="18">
        <v>2.1550412377440575E-4</v>
      </c>
      <c r="G581" s="18">
        <v>0</v>
      </c>
      <c r="H581" s="18">
        <v>0</v>
      </c>
      <c r="I581" s="18">
        <v>0</v>
      </c>
      <c r="J581" s="18">
        <v>2.1550412377440575E-4</v>
      </c>
    </row>
    <row r="582" spans="1:10" x14ac:dyDescent="0.45">
      <c r="A582" s="15" t="s">
        <v>903</v>
      </c>
      <c r="B582" s="18">
        <v>0</v>
      </c>
      <c r="C582" s="18">
        <v>2.119402414568801E-4</v>
      </c>
      <c r="D582" s="18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2.119402414568801E-4</v>
      </c>
    </row>
    <row r="583" spans="1:10" x14ac:dyDescent="0.45">
      <c r="A583" s="15" t="s">
        <v>951</v>
      </c>
      <c r="B583" s="18">
        <v>0</v>
      </c>
      <c r="C583" s="18">
        <v>0</v>
      </c>
      <c r="D583" s="18">
        <v>0</v>
      </c>
      <c r="E583" s="18">
        <v>2.0419784283629661E-4</v>
      </c>
      <c r="F583" s="18">
        <v>0</v>
      </c>
      <c r="G583" s="18">
        <v>0</v>
      </c>
      <c r="H583" s="18">
        <v>0</v>
      </c>
      <c r="I583" s="18">
        <v>0</v>
      </c>
      <c r="J583" s="18">
        <v>2.0419784283629661E-4</v>
      </c>
    </row>
    <row r="584" spans="1:10" x14ac:dyDescent="0.45">
      <c r="A584" s="15" t="s">
        <v>1081</v>
      </c>
      <c r="B584" s="18">
        <v>0</v>
      </c>
      <c r="C584" s="18">
        <v>0</v>
      </c>
      <c r="D584" s="18">
        <v>0</v>
      </c>
      <c r="E584" s="18">
        <v>0</v>
      </c>
      <c r="F584" s="18">
        <v>0</v>
      </c>
      <c r="G584" s="18">
        <v>2.0192434381869338E-4</v>
      </c>
      <c r="H584" s="18">
        <v>0</v>
      </c>
      <c r="I584" s="18">
        <v>0</v>
      </c>
      <c r="J584" s="18">
        <v>2.0192434381869338E-4</v>
      </c>
    </row>
    <row r="585" spans="1:10" x14ac:dyDescent="0.45">
      <c r="A585" s="15" t="s">
        <v>1259</v>
      </c>
      <c r="B585" s="18">
        <v>0</v>
      </c>
      <c r="C585" s="18">
        <v>0</v>
      </c>
      <c r="D585" s="18">
        <v>0</v>
      </c>
      <c r="E585" s="18">
        <v>0</v>
      </c>
      <c r="F585" s="18">
        <v>0</v>
      </c>
      <c r="G585" s="18">
        <v>0</v>
      </c>
      <c r="H585" s="18">
        <v>1.9641214687102774E-4</v>
      </c>
      <c r="I585" s="18">
        <v>0</v>
      </c>
      <c r="J585" s="18">
        <v>1.9641214687102774E-4</v>
      </c>
    </row>
    <row r="586" spans="1:10" x14ac:dyDescent="0.45">
      <c r="A586" s="15" t="s">
        <v>847</v>
      </c>
      <c r="B586" s="18">
        <v>1.9375179730125527E-4</v>
      </c>
      <c r="C586" s="18">
        <v>0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8">
        <v>1.9375179730125527E-4</v>
      </c>
    </row>
    <row r="587" spans="1:10" x14ac:dyDescent="0.45">
      <c r="A587" s="15" t="s">
        <v>1341</v>
      </c>
      <c r="B587" s="18">
        <v>0</v>
      </c>
      <c r="C587" s="18">
        <v>1.900896081700121E-4</v>
      </c>
      <c r="D587" s="18">
        <v>0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1.900896081700121E-4</v>
      </c>
    </row>
    <row r="588" spans="1:10" x14ac:dyDescent="0.45">
      <c r="A588" s="15" t="s">
        <v>858</v>
      </c>
      <c r="B588" s="18">
        <v>0</v>
      </c>
      <c r="C588" s="18">
        <v>1.8967472812525548E-4</v>
      </c>
      <c r="D588" s="18">
        <v>0</v>
      </c>
      <c r="E588" s="18">
        <v>0</v>
      </c>
      <c r="F588" s="18">
        <v>0</v>
      </c>
      <c r="G588" s="18">
        <v>0</v>
      </c>
      <c r="H588" s="18">
        <v>0</v>
      </c>
      <c r="I588" s="18">
        <v>0</v>
      </c>
      <c r="J588" s="18">
        <v>1.8967472812525548E-4</v>
      </c>
    </row>
    <row r="589" spans="1:10" x14ac:dyDescent="0.45">
      <c r="A589" s="15" t="s">
        <v>1145</v>
      </c>
      <c r="B589" s="18">
        <v>0</v>
      </c>
      <c r="C589" s="18">
        <v>0</v>
      </c>
      <c r="D589" s="18">
        <v>0</v>
      </c>
      <c r="E589" s="18">
        <v>0</v>
      </c>
      <c r="F589" s="18">
        <v>0</v>
      </c>
      <c r="G589" s="18">
        <v>1.8840101264229426E-4</v>
      </c>
      <c r="H589" s="18">
        <v>0</v>
      </c>
      <c r="I589" s="18">
        <v>0</v>
      </c>
      <c r="J589" s="18">
        <v>1.8840101264229426E-4</v>
      </c>
    </row>
    <row r="590" spans="1:10" x14ac:dyDescent="0.45">
      <c r="A590" s="15" t="s">
        <v>908</v>
      </c>
      <c r="B590" s="18">
        <v>0</v>
      </c>
      <c r="C590" s="18">
        <v>0</v>
      </c>
      <c r="D590" s="18">
        <v>0</v>
      </c>
      <c r="E590" s="18">
        <v>0</v>
      </c>
      <c r="F590" s="18">
        <v>0</v>
      </c>
      <c r="G590" s="18">
        <v>0</v>
      </c>
      <c r="H590" s="18">
        <v>1.7866806162813488E-4</v>
      </c>
      <c r="I590" s="18">
        <v>0</v>
      </c>
      <c r="J590" s="18">
        <v>1.7866806162813488E-4</v>
      </c>
    </row>
    <row r="591" spans="1:10" x14ac:dyDescent="0.45">
      <c r="A591" s="15" t="s">
        <v>1167</v>
      </c>
      <c r="B591" s="18">
        <v>0</v>
      </c>
      <c r="C591" s="18">
        <v>0</v>
      </c>
      <c r="D591" s="18">
        <v>0</v>
      </c>
      <c r="E591" s="18">
        <v>0</v>
      </c>
      <c r="F591" s="18">
        <v>1.7842717983070726E-4</v>
      </c>
      <c r="G591" s="18">
        <v>0</v>
      </c>
      <c r="H591" s="18">
        <v>0</v>
      </c>
      <c r="I591" s="18">
        <v>0</v>
      </c>
      <c r="J591" s="18">
        <v>1.7842717983070726E-4</v>
      </c>
    </row>
    <row r="592" spans="1:10" x14ac:dyDescent="0.45">
      <c r="A592" s="15" t="s">
        <v>1178</v>
      </c>
      <c r="B592" s="18">
        <v>0</v>
      </c>
      <c r="C592" s="18">
        <v>0</v>
      </c>
      <c r="D592" s="18">
        <v>0</v>
      </c>
      <c r="E592" s="18">
        <v>0</v>
      </c>
      <c r="F592" s="18">
        <v>0</v>
      </c>
      <c r="G592" s="18">
        <v>0</v>
      </c>
      <c r="H592" s="18">
        <v>1.7616670323136226E-4</v>
      </c>
      <c r="I592" s="18">
        <v>0</v>
      </c>
      <c r="J592" s="18">
        <v>1.7616670323136226E-4</v>
      </c>
    </row>
    <row r="593" spans="1:10" x14ac:dyDescent="0.45">
      <c r="A593" s="15" t="s">
        <v>1196</v>
      </c>
      <c r="B593" s="18">
        <v>0</v>
      </c>
      <c r="C593" s="18">
        <v>0</v>
      </c>
      <c r="D593" s="18">
        <v>0</v>
      </c>
      <c r="E593" s="18">
        <v>0</v>
      </c>
      <c r="F593" s="18">
        <v>1.7266156453751415E-4</v>
      </c>
      <c r="G593" s="18">
        <v>0</v>
      </c>
      <c r="H593" s="18">
        <v>0</v>
      </c>
      <c r="I593" s="18">
        <v>0</v>
      </c>
      <c r="J593" s="18">
        <v>1.7266156453751415E-4</v>
      </c>
    </row>
    <row r="594" spans="1:10" x14ac:dyDescent="0.45">
      <c r="A594" s="15" t="s">
        <v>1283</v>
      </c>
      <c r="B594" s="18">
        <v>0</v>
      </c>
      <c r="C594" s="18">
        <v>0</v>
      </c>
      <c r="D594" s="18">
        <v>0</v>
      </c>
      <c r="E594" s="18">
        <v>1.6898436741693206E-4</v>
      </c>
      <c r="F594" s="18">
        <v>0</v>
      </c>
      <c r="G594" s="18">
        <v>0</v>
      </c>
      <c r="H594" s="18">
        <v>0</v>
      </c>
      <c r="I594" s="18">
        <v>0</v>
      </c>
      <c r="J594" s="18">
        <v>1.6898436741693206E-4</v>
      </c>
    </row>
    <row r="595" spans="1:10" x14ac:dyDescent="0.45">
      <c r="A595" s="15" t="s">
        <v>1197</v>
      </c>
      <c r="B595" s="18">
        <v>0</v>
      </c>
      <c r="C595" s="18">
        <v>1.654379581249165E-4</v>
      </c>
      <c r="D595" s="18">
        <v>0</v>
      </c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1.654379581249165E-4</v>
      </c>
    </row>
    <row r="596" spans="1:10" x14ac:dyDescent="0.45">
      <c r="A596" s="15" t="s">
        <v>1314</v>
      </c>
      <c r="B596" s="18">
        <v>0</v>
      </c>
      <c r="C596" s="18">
        <v>0</v>
      </c>
      <c r="D596" s="18">
        <v>0</v>
      </c>
      <c r="E596" s="18">
        <v>1.6483054539605187E-4</v>
      </c>
      <c r="F596" s="18">
        <v>0</v>
      </c>
      <c r="G596" s="18">
        <v>0</v>
      </c>
      <c r="H596" s="18">
        <v>0</v>
      </c>
      <c r="I596" s="18">
        <v>0</v>
      </c>
      <c r="J596" s="18">
        <v>1.6483054539605187E-4</v>
      </c>
    </row>
    <row r="597" spans="1:10" x14ac:dyDescent="0.45">
      <c r="A597" s="15" t="s">
        <v>945</v>
      </c>
      <c r="B597" s="18">
        <v>0</v>
      </c>
      <c r="C597" s="18">
        <v>0</v>
      </c>
      <c r="D597" s="18">
        <v>0</v>
      </c>
      <c r="E597" s="18">
        <v>1.6239658295481805E-4</v>
      </c>
      <c r="F597" s="18">
        <v>0</v>
      </c>
      <c r="G597" s="18">
        <v>0</v>
      </c>
      <c r="H597" s="18">
        <v>0</v>
      </c>
      <c r="I597" s="18">
        <v>0</v>
      </c>
      <c r="J597" s="18">
        <v>1.6239658295481805E-4</v>
      </c>
    </row>
    <row r="598" spans="1:10" x14ac:dyDescent="0.45">
      <c r="A598" s="15" t="s">
        <v>760</v>
      </c>
      <c r="B598" s="18">
        <v>0</v>
      </c>
      <c r="C598" s="18">
        <v>0</v>
      </c>
      <c r="D598" s="18">
        <v>0</v>
      </c>
      <c r="E598" s="18">
        <v>0</v>
      </c>
      <c r="F598" s="18">
        <v>0</v>
      </c>
      <c r="G598" s="18">
        <v>0</v>
      </c>
      <c r="H598" s="18">
        <v>1.6073975656439123E-4</v>
      </c>
      <c r="I598" s="18">
        <v>0</v>
      </c>
      <c r="J598" s="18">
        <v>1.6073975656439123E-4</v>
      </c>
    </row>
    <row r="599" spans="1:10" x14ac:dyDescent="0.45">
      <c r="A599" s="15" t="s">
        <v>1193</v>
      </c>
      <c r="B599" s="18">
        <v>0</v>
      </c>
      <c r="C599" s="18">
        <v>1.5213816748183392E-4</v>
      </c>
      <c r="D599" s="18">
        <v>0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1.5213816748183392E-4</v>
      </c>
    </row>
    <row r="600" spans="1:10" x14ac:dyDescent="0.45">
      <c r="A600" s="15" t="s">
        <v>842</v>
      </c>
      <c r="B600" s="18">
        <v>0</v>
      </c>
      <c r="C600" s="18">
        <v>0</v>
      </c>
      <c r="D600" s="18">
        <v>0</v>
      </c>
      <c r="E600" s="18">
        <v>0</v>
      </c>
      <c r="F600" s="18">
        <v>1.5192821301275984E-4</v>
      </c>
      <c r="G600" s="18">
        <v>0</v>
      </c>
      <c r="H600" s="18">
        <v>0</v>
      </c>
      <c r="I600" s="18">
        <v>0</v>
      </c>
      <c r="J600" s="18">
        <v>1.5192821301275984E-4</v>
      </c>
    </row>
    <row r="601" spans="1:10" x14ac:dyDescent="0.45">
      <c r="A601" s="15" t="s">
        <v>821</v>
      </c>
      <c r="B601" s="18">
        <v>0</v>
      </c>
      <c r="C601" s="18">
        <v>1.5142464656642501E-4</v>
      </c>
      <c r="D601" s="18">
        <v>0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1.5142464656642501E-4</v>
      </c>
    </row>
    <row r="602" spans="1:10" x14ac:dyDescent="0.45">
      <c r="A602" s="15" t="s">
        <v>1039</v>
      </c>
      <c r="B602" s="18">
        <v>0</v>
      </c>
      <c r="C602" s="18">
        <v>0</v>
      </c>
      <c r="D602" s="18">
        <v>0</v>
      </c>
      <c r="E602" s="18">
        <v>1.5021812573686542E-4</v>
      </c>
      <c r="F602" s="18">
        <v>0</v>
      </c>
      <c r="G602" s="18">
        <v>0</v>
      </c>
      <c r="H602" s="18">
        <v>0</v>
      </c>
      <c r="I602" s="18">
        <v>0</v>
      </c>
      <c r="J602" s="18">
        <v>1.5021812573686542E-4</v>
      </c>
    </row>
    <row r="603" spans="1:10" x14ac:dyDescent="0.45">
      <c r="A603" s="15" t="s">
        <v>1223</v>
      </c>
      <c r="B603" s="18">
        <v>1.4158402818916765E-4</v>
      </c>
      <c r="C603" s="18">
        <v>0</v>
      </c>
      <c r="D603" s="18">
        <v>0</v>
      </c>
      <c r="E603" s="18">
        <v>0</v>
      </c>
      <c r="F603" s="18">
        <v>0</v>
      </c>
      <c r="G603" s="18">
        <v>0</v>
      </c>
      <c r="H603" s="18">
        <v>0</v>
      </c>
      <c r="I603" s="18">
        <v>0</v>
      </c>
      <c r="J603" s="18">
        <v>1.4158402818916765E-4</v>
      </c>
    </row>
    <row r="604" spans="1:10" x14ac:dyDescent="0.45">
      <c r="A604" s="15" t="s">
        <v>848</v>
      </c>
      <c r="B604" s="18">
        <v>0</v>
      </c>
      <c r="C604" s="18">
        <v>0</v>
      </c>
      <c r="D604" s="18">
        <v>0</v>
      </c>
      <c r="E604" s="18">
        <v>0</v>
      </c>
      <c r="F604" s="18">
        <v>1.3718008643278116E-4</v>
      </c>
      <c r="G604" s="18">
        <v>0</v>
      </c>
      <c r="H604" s="18">
        <v>0</v>
      </c>
      <c r="I604" s="18">
        <v>0</v>
      </c>
      <c r="J604" s="18">
        <v>1.3718008643278116E-4</v>
      </c>
    </row>
    <row r="605" spans="1:10" x14ac:dyDescent="0.45">
      <c r="A605" s="15" t="s">
        <v>873</v>
      </c>
      <c r="B605" s="18">
        <v>1.3239739470522887E-4</v>
      </c>
      <c r="C605" s="18">
        <v>0</v>
      </c>
      <c r="D605" s="18">
        <v>0</v>
      </c>
      <c r="E605" s="18">
        <v>0</v>
      </c>
      <c r="F605" s="18">
        <v>0</v>
      </c>
      <c r="G605" s="18">
        <v>0</v>
      </c>
      <c r="H605" s="18">
        <v>0</v>
      </c>
      <c r="I605" s="18">
        <v>0</v>
      </c>
      <c r="J605" s="18">
        <v>1.3239739470522887E-4</v>
      </c>
    </row>
    <row r="606" spans="1:10" x14ac:dyDescent="0.45">
      <c r="A606" s="15" t="s">
        <v>1088</v>
      </c>
      <c r="B606" s="18">
        <v>0</v>
      </c>
      <c r="C606" s="18">
        <v>0</v>
      </c>
      <c r="D606" s="18">
        <v>0</v>
      </c>
      <c r="E606" s="18">
        <v>0</v>
      </c>
      <c r="F606" s="18">
        <v>0</v>
      </c>
      <c r="G606" s="18">
        <v>0</v>
      </c>
      <c r="H606" s="18">
        <v>1.02672288465552E-4</v>
      </c>
      <c r="I606" s="18">
        <v>0</v>
      </c>
      <c r="J606" s="18">
        <v>1.02672288465552E-4</v>
      </c>
    </row>
    <row r="607" spans="1:10" x14ac:dyDescent="0.45">
      <c r="A607" s="15" t="s">
        <v>1075</v>
      </c>
      <c r="B607" s="18">
        <v>0</v>
      </c>
      <c r="C607" s="18">
        <v>0</v>
      </c>
      <c r="D607" s="18">
        <v>0</v>
      </c>
      <c r="E607" s="18">
        <v>0</v>
      </c>
      <c r="F607" s="18">
        <v>1.0204166377024724E-4</v>
      </c>
      <c r="G607" s="18">
        <v>0</v>
      </c>
      <c r="H607" s="18">
        <v>0</v>
      </c>
      <c r="I607" s="18">
        <v>0</v>
      </c>
      <c r="J607" s="18">
        <v>1.0204166377024724E-4</v>
      </c>
    </row>
    <row r="608" spans="1:10" x14ac:dyDescent="0.45">
      <c r="A608" s="15" t="s">
        <v>1025</v>
      </c>
      <c r="B608" s="18">
        <v>0</v>
      </c>
      <c r="C608" s="18">
        <v>0</v>
      </c>
      <c r="D608" s="18">
        <v>0</v>
      </c>
      <c r="E608" s="18">
        <v>0</v>
      </c>
      <c r="F608" s="18">
        <v>0</v>
      </c>
      <c r="G608" s="18">
        <v>0</v>
      </c>
      <c r="H608" s="18">
        <v>1.0055472540351148E-4</v>
      </c>
      <c r="I608" s="18">
        <v>0</v>
      </c>
      <c r="J608" s="18">
        <v>1.0055472540351148E-4</v>
      </c>
    </row>
    <row r="609" spans="1:10" x14ac:dyDescent="0.45">
      <c r="A609" s="15" t="s">
        <v>1334</v>
      </c>
      <c r="B609" s="18">
        <v>0</v>
      </c>
      <c r="C609" s="18">
        <v>0</v>
      </c>
      <c r="D609" s="18">
        <v>0</v>
      </c>
      <c r="E609" s="18">
        <v>0</v>
      </c>
      <c r="F609" s="18">
        <v>9.7228035564244229E-5</v>
      </c>
      <c r="G609" s="18">
        <v>0</v>
      </c>
      <c r="H609" s="18">
        <v>0</v>
      </c>
      <c r="I609" s="18">
        <v>0</v>
      </c>
      <c r="J609" s="18">
        <v>9.7228035564244229E-5</v>
      </c>
    </row>
    <row r="610" spans="1:10" x14ac:dyDescent="0.45">
      <c r="A610" s="15" t="s">
        <v>1352</v>
      </c>
      <c r="B610" s="18">
        <v>9.4315303439941286E-5</v>
      </c>
      <c r="C610" s="18">
        <v>0</v>
      </c>
      <c r="D610" s="18">
        <v>0</v>
      </c>
      <c r="E610" s="18">
        <v>0</v>
      </c>
      <c r="F610" s="18">
        <v>0</v>
      </c>
      <c r="G610" s="18">
        <v>0</v>
      </c>
      <c r="H610" s="18">
        <v>0</v>
      </c>
      <c r="I610" s="18">
        <v>0</v>
      </c>
      <c r="J610" s="18">
        <v>9.4315303439941286E-5</v>
      </c>
    </row>
    <row r="611" spans="1:10" x14ac:dyDescent="0.45">
      <c r="A611" s="15" t="s">
        <v>1250</v>
      </c>
      <c r="B611" s="18">
        <v>9.2450378220141672E-5</v>
      </c>
      <c r="C611" s="18">
        <v>0</v>
      </c>
      <c r="D611" s="18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9.2450378220141672E-5</v>
      </c>
    </row>
    <row r="612" spans="1:10" x14ac:dyDescent="0.45">
      <c r="A612" s="15" t="s">
        <v>1209</v>
      </c>
      <c r="B612" s="18">
        <v>0</v>
      </c>
      <c r="C612" s="18">
        <v>0</v>
      </c>
      <c r="D612" s="18">
        <v>9.2351646841916534E-5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8">
        <v>9.2351646841916534E-5</v>
      </c>
    </row>
    <row r="613" spans="1:10" x14ac:dyDescent="0.45">
      <c r="A613" s="15" t="s">
        <v>1194</v>
      </c>
      <c r="B613" s="18">
        <v>8.5111983838846985E-5</v>
      </c>
      <c r="C613" s="18">
        <v>0</v>
      </c>
      <c r="D613" s="18">
        <v>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8.5111983838846985E-5</v>
      </c>
    </row>
    <row r="614" spans="1:10" x14ac:dyDescent="0.45">
      <c r="A614" s="15" t="s">
        <v>955</v>
      </c>
      <c r="B614" s="18">
        <v>8.3086267621938943E-5</v>
      </c>
      <c r="C614" s="18">
        <v>0</v>
      </c>
      <c r="D614" s="18">
        <v>0</v>
      </c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8">
        <v>8.3086267621938943E-5</v>
      </c>
    </row>
    <row r="615" spans="1:10" x14ac:dyDescent="0.45">
      <c r="A615" s="15" t="s">
        <v>1045</v>
      </c>
      <c r="B615" s="18">
        <v>0</v>
      </c>
      <c r="C615" s="18">
        <v>0</v>
      </c>
      <c r="D615" s="18">
        <v>0</v>
      </c>
      <c r="E615" s="18">
        <v>0</v>
      </c>
      <c r="F615" s="18">
        <v>8.0434697570378139E-5</v>
      </c>
      <c r="G615" s="18">
        <v>0</v>
      </c>
      <c r="H615" s="18">
        <v>0</v>
      </c>
      <c r="I615" s="18">
        <v>0</v>
      </c>
      <c r="J615" s="18">
        <v>8.0434697570378139E-5</v>
      </c>
    </row>
    <row r="616" spans="1:10" x14ac:dyDescent="0.45">
      <c r="A616" s="15" t="s">
        <v>1252</v>
      </c>
      <c r="B616" s="18">
        <v>0</v>
      </c>
      <c r="C616" s="18">
        <v>7.8300018336616248E-5</v>
      </c>
      <c r="D616" s="18">
        <v>0</v>
      </c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7.8300018336616248E-5</v>
      </c>
    </row>
    <row r="617" spans="1:10" x14ac:dyDescent="0.45">
      <c r="A617" s="15" t="s">
        <v>861</v>
      </c>
      <c r="B617" s="18">
        <v>0</v>
      </c>
      <c r="C617" s="18">
        <v>7.8079862424234087E-5</v>
      </c>
      <c r="D617" s="18">
        <v>0</v>
      </c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7.8079862424234087E-5</v>
      </c>
    </row>
    <row r="618" spans="1:10" x14ac:dyDescent="0.45">
      <c r="A618" s="15" t="s">
        <v>1349</v>
      </c>
      <c r="B618" s="18">
        <v>0</v>
      </c>
      <c r="C618" s="18">
        <v>0</v>
      </c>
      <c r="D618" s="18">
        <v>0</v>
      </c>
      <c r="E618" s="18">
        <v>7.7441576352588992E-5</v>
      </c>
      <c r="F618" s="18">
        <v>0</v>
      </c>
      <c r="G618" s="18">
        <v>0</v>
      </c>
      <c r="H618" s="18">
        <v>0</v>
      </c>
      <c r="I618" s="18">
        <v>0</v>
      </c>
      <c r="J618" s="18">
        <v>7.7441576352588992E-5</v>
      </c>
    </row>
    <row r="619" spans="1:10" x14ac:dyDescent="0.45">
      <c r="A619" s="15" t="s">
        <v>1304</v>
      </c>
      <c r="B619" s="18">
        <v>0</v>
      </c>
      <c r="C619" s="18">
        <v>0</v>
      </c>
      <c r="D619" s="18">
        <v>0</v>
      </c>
      <c r="E619" s="18">
        <v>0</v>
      </c>
      <c r="F619" s="18">
        <v>0</v>
      </c>
      <c r="G619" s="18">
        <v>7.6952807443358707E-5</v>
      </c>
      <c r="H619" s="18">
        <v>0</v>
      </c>
      <c r="I619" s="18">
        <v>0</v>
      </c>
      <c r="J619" s="18">
        <v>7.6952807443358707E-5</v>
      </c>
    </row>
    <row r="620" spans="1:10" x14ac:dyDescent="0.45">
      <c r="A620" s="15" t="s">
        <v>850</v>
      </c>
      <c r="B620" s="18">
        <v>0</v>
      </c>
      <c r="C620" s="18">
        <v>0</v>
      </c>
      <c r="D620" s="18">
        <v>0</v>
      </c>
      <c r="E620" s="18">
        <v>0</v>
      </c>
      <c r="F620" s="18">
        <v>0</v>
      </c>
      <c r="G620" s="18">
        <v>0</v>
      </c>
      <c r="H620" s="18">
        <v>7.0089007555805414E-5</v>
      </c>
      <c r="I620" s="18">
        <v>0</v>
      </c>
      <c r="J620" s="18">
        <v>7.0089007555805414E-5</v>
      </c>
    </row>
    <row r="621" spans="1:10" x14ac:dyDescent="0.45">
      <c r="A621" s="15" t="s">
        <v>977</v>
      </c>
      <c r="B621" s="18">
        <v>0</v>
      </c>
      <c r="C621" s="18">
        <v>0</v>
      </c>
      <c r="D621" s="18">
        <v>0</v>
      </c>
      <c r="E621" s="18">
        <v>0</v>
      </c>
      <c r="F621" s="18">
        <v>0</v>
      </c>
      <c r="G621" s="18">
        <v>0</v>
      </c>
      <c r="H621" s="18">
        <v>6.8463135029013929E-5</v>
      </c>
      <c r="I621" s="18">
        <v>0</v>
      </c>
      <c r="J621" s="18">
        <v>6.8463135029013929E-5</v>
      </c>
    </row>
    <row r="622" spans="1:10" x14ac:dyDescent="0.45">
      <c r="A622" s="15" t="s">
        <v>1151</v>
      </c>
      <c r="B622" s="18">
        <v>0</v>
      </c>
      <c r="C622" s="18">
        <v>0</v>
      </c>
      <c r="D622" s="18">
        <v>0</v>
      </c>
      <c r="E622" s="18">
        <v>0</v>
      </c>
      <c r="F622" s="18">
        <v>0</v>
      </c>
      <c r="G622" s="18">
        <v>0</v>
      </c>
      <c r="H622" s="18">
        <v>6.7842330217966353E-5</v>
      </c>
      <c r="I622" s="18">
        <v>0</v>
      </c>
      <c r="J622" s="18">
        <v>6.7842330217966353E-5</v>
      </c>
    </row>
    <row r="623" spans="1:10" x14ac:dyDescent="0.45">
      <c r="A623" s="15" t="s">
        <v>1057</v>
      </c>
      <c r="B623" s="18">
        <v>0</v>
      </c>
      <c r="C623" s="18">
        <v>6.4347399372494398E-5</v>
      </c>
      <c r="D623" s="18">
        <v>0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6.4347399372494398E-5</v>
      </c>
    </row>
    <row r="624" spans="1:10" x14ac:dyDescent="0.45">
      <c r="A624" s="15" t="s">
        <v>741</v>
      </c>
      <c r="B624" s="18">
        <v>0</v>
      </c>
      <c r="C624" s="18">
        <v>0</v>
      </c>
      <c r="D624" s="18">
        <v>0</v>
      </c>
      <c r="E624" s="18">
        <v>0</v>
      </c>
      <c r="F624" s="18">
        <v>0</v>
      </c>
      <c r="G624" s="18">
        <v>0</v>
      </c>
      <c r="H624" s="18">
        <v>6.268436555616372E-5</v>
      </c>
      <c r="I624" s="18">
        <v>0</v>
      </c>
      <c r="J624" s="18">
        <v>6.268436555616372E-5</v>
      </c>
    </row>
    <row r="625" spans="1:10" x14ac:dyDescent="0.45">
      <c r="A625" s="15" t="s">
        <v>1016</v>
      </c>
      <c r="B625" s="18">
        <v>0</v>
      </c>
      <c r="C625" s="18">
        <v>0</v>
      </c>
      <c r="D625" s="18">
        <v>0</v>
      </c>
      <c r="E625" s="18">
        <v>0</v>
      </c>
      <c r="F625" s="18">
        <v>0</v>
      </c>
      <c r="G625" s="18">
        <v>6.1098858682931986E-5</v>
      </c>
      <c r="H625" s="18">
        <v>0</v>
      </c>
      <c r="I625" s="18">
        <v>0</v>
      </c>
      <c r="J625" s="18">
        <v>6.1098858682931986E-5</v>
      </c>
    </row>
    <row r="626" spans="1:10" x14ac:dyDescent="0.45">
      <c r="A626" s="15" t="s">
        <v>964</v>
      </c>
      <c r="B626" s="18">
        <v>0</v>
      </c>
      <c r="C626" s="18">
        <v>6.1044880429848093E-5</v>
      </c>
      <c r="D626" s="18">
        <v>0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6.1044880429848093E-5</v>
      </c>
    </row>
    <row r="627" spans="1:10" x14ac:dyDescent="0.45">
      <c r="A627" s="15" t="s">
        <v>823</v>
      </c>
      <c r="B627" s="18">
        <v>0</v>
      </c>
      <c r="C627" s="18">
        <v>0</v>
      </c>
      <c r="D627" s="18">
        <v>0</v>
      </c>
      <c r="E627" s="18">
        <v>5.7136412773880522E-5</v>
      </c>
      <c r="F627" s="18">
        <v>0</v>
      </c>
      <c r="G627" s="18">
        <v>0</v>
      </c>
      <c r="H627" s="18">
        <v>0</v>
      </c>
      <c r="I627" s="18">
        <v>0</v>
      </c>
      <c r="J627" s="18">
        <v>5.7136412773880522E-5</v>
      </c>
    </row>
    <row r="628" spans="1:10" x14ac:dyDescent="0.45">
      <c r="A628" s="15" t="s">
        <v>1264</v>
      </c>
      <c r="B628" s="18">
        <v>0</v>
      </c>
      <c r="C628" s="18">
        <v>0</v>
      </c>
      <c r="D628" s="18">
        <v>0</v>
      </c>
      <c r="E628" s="18">
        <v>0</v>
      </c>
      <c r="F628" s="18">
        <v>0</v>
      </c>
      <c r="G628" s="18">
        <v>5.6565882256592101E-5</v>
      </c>
      <c r="H628" s="18">
        <v>0</v>
      </c>
      <c r="I628" s="18">
        <v>0</v>
      </c>
      <c r="J628" s="18">
        <v>5.6565882256592101E-5</v>
      </c>
    </row>
    <row r="629" spans="1:10" x14ac:dyDescent="0.45">
      <c r="A629" s="15" t="s">
        <v>981</v>
      </c>
      <c r="B629" s="18">
        <v>0</v>
      </c>
      <c r="C629" s="18">
        <v>0</v>
      </c>
      <c r="D629" s="18">
        <v>0</v>
      </c>
      <c r="E629" s="18">
        <v>5.556915119435798E-5</v>
      </c>
      <c r="F629" s="18">
        <v>0</v>
      </c>
      <c r="G629" s="18">
        <v>0</v>
      </c>
      <c r="H629" s="18">
        <v>0</v>
      </c>
      <c r="I629" s="18">
        <v>0</v>
      </c>
      <c r="J629" s="18">
        <v>5.556915119435798E-5</v>
      </c>
    </row>
    <row r="630" spans="1:10" x14ac:dyDescent="0.45">
      <c r="A630" s="15" t="s">
        <v>785</v>
      </c>
      <c r="B630" s="18">
        <v>0</v>
      </c>
      <c r="C630" s="18">
        <v>0</v>
      </c>
      <c r="D630" s="18">
        <v>0</v>
      </c>
      <c r="E630" s="18">
        <v>5.4857760421564651E-5</v>
      </c>
      <c r="F630" s="18">
        <v>0</v>
      </c>
      <c r="G630" s="18">
        <v>0</v>
      </c>
      <c r="H630" s="18">
        <v>0</v>
      </c>
      <c r="I630" s="18">
        <v>0</v>
      </c>
      <c r="J630" s="18">
        <v>5.4857760421564651E-5</v>
      </c>
    </row>
    <row r="631" spans="1:10" x14ac:dyDescent="0.45">
      <c r="A631" s="15" t="s">
        <v>853</v>
      </c>
      <c r="B631" s="18">
        <v>0</v>
      </c>
      <c r="C631" s="18">
        <v>0</v>
      </c>
      <c r="D631" s="18">
        <v>5.4253532841516532E-5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5.4253532841516532E-5</v>
      </c>
    </row>
    <row r="632" spans="1:10" x14ac:dyDescent="0.45">
      <c r="A632" s="15" t="s">
        <v>997</v>
      </c>
      <c r="B632" s="18">
        <v>0</v>
      </c>
      <c r="C632" s="18">
        <v>0</v>
      </c>
      <c r="D632" s="18">
        <v>0</v>
      </c>
      <c r="E632" s="18">
        <v>0</v>
      </c>
      <c r="F632" s="18">
        <v>0</v>
      </c>
      <c r="G632" s="18">
        <v>5.1274245655602486E-5</v>
      </c>
      <c r="H632" s="18">
        <v>0</v>
      </c>
      <c r="I632" s="18">
        <v>0</v>
      </c>
      <c r="J632" s="18">
        <v>5.1274245655602486E-5</v>
      </c>
    </row>
    <row r="633" spans="1:10" x14ac:dyDescent="0.45">
      <c r="A633" s="15" t="s">
        <v>843</v>
      </c>
      <c r="B633" s="18">
        <v>5.030724325899583E-5</v>
      </c>
      <c r="C633" s="18">
        <v>0</v>
      </c>
      <c r="D633" s="18">
        <v>0</v>
      </c>
      <c r="E633" s="18">
        <v>0</v>
      </c>
      <c r="F633" s="18">
        <v>0</v>
      </c>
      <c r="G633" s="18">
        <v>0</v>
      </c>
      <c r="H633" s="18">
        <v>0</v>
      </c>
      <c r="I633" s="18">
        <v>0</v>
      </c>
      <c r="J633" s="18">
        <v>5.030724325899583E-5</v>
      </c>
    </row>
    <row r="634" spans="1:10" x14ac:dyDescent="0.45">
      <c r="A634" s="15" t="s">
        <v>1265</v>
      </c>
      <c r="B634" s="18">
        <v>0</v>
      </c>
      <c r="C634" s="18">
        <v>0</v>
      </c>
      <c r="D634" s="18">
        <v>0</v>
      </c>
      <c r="E634" s="18">
        <v>4.891431116031896E-5</v>
      </c>
      <c r="F634" s="18">
        <v>0</v>
      </c>
      <c r="G634" s="18">
        <v>0</v>
      </c>
      <c r="H634" s="18">
        <v>0</v>
      </c>
      <c r="I634" s="18">
        <v>0</v>
      </c>
      <c r="J634" s="18">
        <v>4.891431116031896E-5</v>
      </c>
    </row>
    <row r="635" spans="1:10" x14ac:dyDescent="0.45">
      <c r="A635" s="15" t="s">
        <v>817</v>
      </c>
      <c r="B635" s="18">
        <v>0</v>
      </c>
      <c r="C635" s="18">
        <v>0</v>
      </c>
      <c r="D635" s="18">
        <v>0</v>
      </c>
      <c r="E635" s="18">
        <v>4.8020784958804666E-5</v>
      </c>
      <c r="F635" s="18">
        <v>0</v>
      </c>
      <c r="G635" s="18">
        <v>0</v>
      </c>
      <c r="H635" s="18">
        <v>0</v>
      </c>
      <c r="I635" s="18">
        <v>0</v>
      </c>
      <c r="J635" s="18">
        <v>4.8020784958804666E-5</v>
      </c>
    </row>
    <row r="636" spans="1:10" x14ac:dyDescent="0.45">
      <c r="A636" s="15" t="s">
        <v>840</v>
      </c>
      <c r="B636" s="18">
        <v>0</v>
      </c>
      <c r="C636" s="18">
        <v>0</v>
      </c>
      <c r="D636" s="18">
        <v>0</v>
      </c>
      <c r="E636" s="18">
        <v>0</v>
      </c>
      <c r="F636" s="18">
        <v>0</v>
      </c>
      <c r="G636" s="18">
        <v>4.7457378707154154E-5</v>
      </c>
      <c r="H636" s="18">
        <v>0</v>
      </c>
      <c r="I636" s="18">
        <v>0</v>
      </c>
      <c r="J636" s="18">
        <v>4.7457378707154154E-5</v>
      </c>
    </row>
    <row r="637" spans="1:10" x14ac:dyDescent="0.45">
      <c r="A637" s="15" t="s">
        <v>1307</v>
      </c>
      <c r="B637" s="18">
        <v>0</v>
      </c>
      <c r="C637" s="18">
        <v>4.54747567027748E-5</v>
      </c>
      <c r="D637" s="18">
        <v>0</v>
      </c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4.54747567027748E-5</v>
      </c>
    </row>
    <row r="638" spans="1:10" x14ac:dyDescent="0.45">
      <c r="A638" s="15" t="s">
        <v>1122</v>
      </c>
      <c r="B638" s="18">
        <v>0</v>
      </c>
      <c r="C638" s="18">
        <v>0</v>
      </c>
      <c r="D638" s="18">
        <v>3.9752823973356899E-5</v>
      </c>
      <c r="E638" s="18">
        <v>0</v>
      </c>
      <c r="F638" s="18">
        <v>0</v>
      </c>
      <c r="G638" s="18">
        <v>0</v>
      </c>
      <c r="H638" s="18">
        <v>0</v>
      </c>
      <c r="I638" s="18">
        <v>0</v>
      </c>
      <c r="J638" s="18">
        <v>3.9752823973356899E-5</v>
      </c>
    </row>
    <row r="639" spans="1:10" x14ac:dyDescent="0.45">
      <c r="A639" s="15" t="s">
        <v>1318</v>
      </c>
      <c r="B639" s="18">
        <v>0</v>
      </c>
      <c r="C639" s="18">
        <v>0</v>
      </c>
      <c r="D639" s="18">
        <v>0</v>
      </c>
      <c r="E639" s="18">
        <v>0</v>
      </c>
      <c r="F639" s="18">
        <v>0</v>
      </c>
      <c r="G639" s="18">
        <v>3.3934050275784225E-5</v>
      </c>
      <c r="H639" s="18">
        <v>0</v>
      </c>
      <c r="I639" s="18">
        <v>0</v>
      </c>
      <c r="J639" s="18">
        <v>3.3934050275784225E-5</v>
      </c>
    </row>
    <row r="640" spans="1:10" x14ac:dyDescent="0.45">
      <c r="A640" s="15" t="s">
        <v>911</v>
      </c>
      <c r="B640" s="18">
        <v>0</v>
      </c>
      <c r="C640" s="18">
        <v>2.9457174010056401E-5</v>
      </c>
      <c r="D640" s="18">
        <v>0</v>
      </c>
      <c r="E640" s="18">
        <v>0</v>
      </c>
      <c r="F640" s="18">
        <v>0</v>
      </c>
      <c r="G640" s="18">
        <v>0</v>
      </c>
      <c r="H640" s="18">
        <v>0</v>
      </c>
      <c r="I640" s="18">
        <v>0</v>
      </c>
      <c r="J640" s="18">
        <v>2.9457174010056401E-5</v>
      </c>
    </row>
    <row r="641" spans="1:10" x14ac:dyDescent="0.45">
      <c r="A641" s="15" t="s">
        <v>736</v>
      </c>
      <c r="B641" s="18">
        <v>0</v>
      </c>
      <c r="C641" s="18">
        <v>0</v>
      </c>
      <c r="D641" s="18">
        <v>0</v>
      </c>
      <c r="E641" s="18">
        <v>0</v>
      </c>
      <c r="F641" s="18">
        <v>2.9254917517711308E-5</v>
      </c>
      <c r="G641" s="18">
        <v>0</v>
      </c>
      <c r="H641" s="18">
        <v>0</v>
      </c>
      <c r="I641" s="18">
        <v>0</v>
      </c>
      <c r="J641" s="18">
        <v>2.9254917517711308E-5</v>
      </c>
    </row>
    <row r="642" spans="1:10" x14ac:dyDescent="0.45">
      <c r="A642" s="15" t="s">
        <v>792</v>
      </c>
      <c r="B642" s="18">
        <v>2.4978484195074237E-5</v>
      </c>
      <c r="C642" s="18">
        <v>0</v>
      </c>
      <c r="D642" s="18">
        <v>0</v>
      </c>
      <c r="E642" s="18">
        <v>0</v>
      </c>
      <c r="F642" s="18">
        <v>0</v>
      </c>
      <c r="G642" s="18">
        <v>0</v>
      </c>
      <c r="H642" s="18">
        <v>0</v>
      </c>
      <c r="I642" s="18">
        <v>0</v>
      </c>
      <c r="J642" s="18">
        <v>2.4978484195074237E-5</v>
      </c>
    </row>
    <row r="643" spans="1:10" x14ac:dyDescent="0.45">
      <c r="A643" s="15" t="s">
        <v>1363</v>
      </c>
      <c r="B643" s="18">
        <v>0</v>
      </c>
      <c r="C643" s="18">
        <v>0</v>
      </c>
      <c r="D643" s="18">
        <v>2.4355565711585913E-5</v>
      </c>
      <c r="E643" s="18">
        <v>0</v>
      </c>
      <c r="F643" s="18">
        <v>0</v>
      </c>
      <c r="G643" s="18">
        <v>0</v>
      </c>
      <c r="H643" s="18">
        <v>0</v>
      </c>
      <c r="I643" s="18">
        <v>0</v>
      </c>
      <c r="J643" s="18">
        <v>2.4355565711585913E-5</v>
      </c>
    </row>
    <row r="644" spans="1:10" x14ac:dyDescent="0.45">
      <c r="A644" s="15" t="s">
        <v>788</v>
      </c>
      <c r="B644" s="18">
        <v>0</v>
      </c>
      <c r="C644" s="18">
        <v>0</v>
      </c>
      <c r="D644" s="18">
        <v>0</v>
      </c>
      <c r="E644" s="18">
        <v>0</v>
      </c>
      <c r="F644" s="18">
        <v>1.9690862656712295E-5</v>
      </c>
      <c r="G644" s="18">
        <v>0</v>
      </c>
      <c r="H644" s="18">
        <v>0</v>
      </c>
      <c r="I644" s="18">
        <v>0</v>
      </c>
      <c r="J644" s="18">
        <v>1.9690862656712295E-5</v>
      </c>
    </row>
    <row r="645" spans="1:10" x14ac:dyDescent="0.45">
      <c r="A645" s="15" t="s">
        <v>830</v>
      </c>
      <c r="B645" s="18">
        <v>0</v>
      </c>
      <c r="C645" s="18">
        <v>0</v>
      </c>
      <c r="D645" s="18">
        <v>0</v>
      </c>
      <c r="E645" s="18">
        <v>1.3451334552015223E-5</v>
      </c>
      <c r="F645" s="18">
        <v>0</v>
      </c>
      <c r="G645" s="18">
        <v>0</v>
      </c>
      <c r="H645" s="18">
        <v>0</v>
      </c>
      <c r="I645" s="18">
        <v>0</v>
      </c>
      <c r="J645" s="18">
        <v>1.3451334552015223E-5</v>
      </c>
    </row>
    <row r="646" spans="1:10" x14ac:dyDescent="0.45">
      <c r="A646" s="15" t="s">
        <v>1226</v>
      </c>
      <c r="B646" s="18">
        <v>0</v>
      </c>
      <c r="C646" s="18">
        <v>0</v>
      </c>
      <c r="D646" s="18">
        <v>0</v>
      </c>
      <c r="E646" s="18">
        <v>0</v>
      </c>
      <c r="F646" s="18">
        <v>0</v>
      </c>
      <c r="G646" s="18">
        <v>1.0078758805580033E-5</v>
      </c>
      <c r="H646" s="18">
        <v>0</v>
      </c>
      <c r="I646" s="18">
        <v>0</v>
      </c>
      <c r="J646" s="18">
        <v>1.0078758805580033E-5</v>
      </c>
    </row>
    <row r="647" spans="1:10" x14ac:dyDescent="0.45">
      <c r="A647" s="15" t="s">
        <v>906</v>
      </c>
      <c r="B647" s="18">
        <v>0</v>
      </c>
      <c r="C647" s="18">
        <v>8.8770033466141302E-6</v>
      </c>
      <c r="D647" s="18">
        <v>0</v>
      </c>
      <c r="E647" s="18">
        <v>0</v>
      </c>
      <c r="F647" s="18">
        <v>0</v>
      </c>
      <c r="G647" s="18">
        <v>0</v>
      </c>
      <c r="H647" s="18">
        <v>0</v>
      </c>
      <c r="I647" s="18">
        <v>0</v>
      </c>
      <c r="J647" s="18">
        <v>8.8770033466141302E-6</v>
      </c>
    </row>
    <row r="648" spans="1:10" x14ac:dyDescent="0.45">
      <c r="A648" s="15" t="s">
        <v>1020</v>
      </c>
      <c r="B648" s="18">
        <v>0</v>
      </c>
      <c r="C648" s="18">
        <v>0</v>
      </c>
      <c r="D648" s="18">
        <v>0</v>
      </c>
      <c r="E648" s="18">
        <v>0</v>
      </c>
      <c r="F648" s="18">
        <v>0</v>
      </c>
      <c r="G648" s="18">
        <v>6.9667668457473379E-6</v>
      </c>
      <c r="H648" s="18">
        <v>0</v>
      </c>
      <c r="I648" s="18">
        <v>0</v>
      </c>
      <c r="J648" s="18">
        <v>6.9667668457473379E-6</v>
      </c>
    </row>
    <row r="649" spans="1:10" x14ac:dyDescent="0.45">
      <c r="A649" s="15" t="s">
        <v>1032</v>
      </c>
      <c r="B649" s="18">
        <v>0</v>
      </c>
      <c r="C649" s="18">
        <v>0</v>
      </c>
      <c r="D649" s="18">
        <v>0</v>
      </c>
      <c r="E649" s="18">
        <v>6.1233145508647189E-6</v>
      </c>
      <c r="F649" s="18">
        <v>0</v>
      </c>
      <c r="G649" s="18">
        <v>0</v>
      </c>
      <c r="H649" s="18">
        <v>0</v>
      </c>
      <c r="I649" s="18">
        <v>0</v>
      </c>
      <c r="J649" s="18">
        <v>6.1233145508647189E-6</v>
      </c>
    </row>
    <row r="650" spans="1:10" x14ac:dyDescent="0.45">
      <c r="A650" s="15" t="s">
        <v>846</v>
      </c>
      <c r="B650" s="18">
        <v>0</v>
      </c>
      <c r="C650" s="18">
        <v>0</v>
      </c>
      <c r="D650" s="18">
        <v>0</v>
      </c>
      <c r="E650" s="18">
        <v>0</v>
      </c>
      <c r="F650" s="18">
        <v>3.1740826890462582E-6</v>
      </c>
      <c r="G650" s="18">
        <v>0</v>
      </c>
      <c r="H650" s="18">
        <v>0</v>
      </c>
      <c r="I650" s="18">
        <v>0</v>
      </c>
      <c r="J650" s="18">
        <v>3.1740826890462582E-6</v>
      </c>
    </row>
    <row r="651" spans="1:10" x14ac:dyDescent="0.45">
      <c r="A651" s="15" t="s">
        <v>914</v>
      </c>
      <c r="B651" s="18">
        <v>1.7073934872946378E-6</v>
      </c>
      <c r="C651" s="18">
        <v>0</v>
      </c>
      <c r="D651" s="18">
        <v>0</v>
      </c>
      <c r="E651" s="18">
        <v>0</v>
      </c>
      <c r="F651" s="18">
        <v>0</v>
      </c>
      <c r="G651" s="18">
        <v>0</v>
      </c>
      <c r="H651" s="18">
        <v>0</v>
      </c>
      <c r="I651" s="18">
        <v>0</v>
      </c>
      <c r="J651" s="18">
        <v>1.7073934872946378E-6</v>
      </c>
    </row>
    <row r="652" spans="1:10" x14ac:dyDescent="0.45">
      <c r="A652" s="15" t="s">
        <v>1437</v>
      </c>
      <c r="B652" s="18">
        <v>0</v>
      </c>
      <c r="C652" s="18">
        <v>0</v>
      </c>
      <c r="D652" s="18">
        <v>0</v>
      </c>
      <c r="E652" s="18">
        <v>0</v>
      </c>
      <c r="F652" s="18">
        <v>0</v>
      </c>
      <c r="G652" s="18">
        <v>0</v>
      </c>
      <c r="H652" s="18">
        <v>0</v>
      </c>
      <c r="I652" s="18">
        <v>0</v>
      </c>
      <c r="J652" s="18">
        <v>0</v>
      </c>
    </row>
    <row r="653" spans="1:10" x14ac:dyDescent="0.45">
      <c r="A653" s="15" t="s">
        <v>1438</v>
      </c>
      <c r="B653" s="18">
        <v>0.1218471694645229</v>
      </c>
      <c r="C653" s="18">
        <v>0.14142820181333823</v>
      </c>
      <c r="D653" s="18">
        <v>0.15656679781073751</v>
      </c>
      <c r="E653" s="18">
        <v>0.14193197910444666</v>
      </c>
      <c r="F653" s="18">
        <v>0.16235553702996594</v>
      </c>
      <c r="G653" s="18">
        <v>0.12799535189595335</v>
      </c>
      <c r="H653" s="18">
        <v>0.14787496288103533</v>
      </c>
      <c r="I653" s="18">
        <v>0</v>
      </c>
      <c r="J653" s="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3"/>
  <sheetViews>
    <sheetView tabSelected="1" topLeftCell="T1" zoomScale="115" zoomScaleNormal="115" workbookViewId="0">
      <selection activeCell="AB2" sqref="AB2"/>
    </sheetView>
  </sheetViews>
  <sheetFormatPr defaultRowHeight="14.25" x14ac:dyDescent="0.45"/>
  <cols>
    <col min="1" max="1" width="19.86328125" customWidth="1"/>
    <col min="2" max="2" width="14.19921875" style="2" customWidth="1"/>
    <col min="3" max="3" width="19.1328125" style="2" customWidth="1"/>
    <col min="7" max="7" width="17.6640625" customWidth="1"/>
    <col min="8" max="8" width="9.19921875" style="9" customWidth="1"/>
    <col min="9" max="9" width="12.3984375" style="9" customWidth="1"/>
    <col min="10" max="10" width="18.53125" style="9" customWidth="1"/>
    <col min="12" max="12" width="9.59765625" style="7" customWidth="1"/>
    <col min="13" max="13" width="12.46484375" style="7" customWidth="1"/>
    <col min="14" max="14" width="14.19921875" customWidth="1"/>
    <col min="15" max="15" width="9.73046875" customWidth="1"/>
    <col min="16" max="16" width="22.796875" style="2" customWidth="1"/>
    <col min="17" max="17" width="17" customWidth="1"/>
    <col min="18" max="18" width="17.1328125" bestFit="1" customWidth="1"/>
    <col min="19" max="19" width="15.73046875" bestFit="1" customWidth="1"/>
    <col min="20" max="20" width="16.33203125" style="12" customWidth="1"/>
    <col min="22" max="22" width="10.796875" customWidth="1"/>
    <col min="23" max="23" width="10.265625" customWidth="1"/>
    <col min="24" max="24" width="12.9296875" style="17" customWidth="1"/>
    <col min="25" max="25" width="13.6640625" customWidth="1"/>
    <col min="26" max="26" width="14.46484375" customWidth="1"/>
    <col min="27" max="27" width="11.6640625" customWidth="1"/>
    <col min="28" max="28" width="15.796875" customWidth="1"/>
    <col min="29" max="29" width="22.73046875" bestFit="1" customWidth="1"/>
    <col min="30" max="30" width="14.06640625" customWidth="1"/>
  </cols>
  <sheetData>
    <row r="1" spans="1:34" x14ac:dyDescent="0.4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 t="s">
        <v>7</v>
      </c>
      <c r="I1" s="8" t="s">
        <v>8</v>
      </c>
      <c r="J1" s="8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4" t="s">
        <v>1427</v>
      </c>
      <c r="Q1" s="3" t="s">
        <v>1423</v>
      </c>
      <c r="R1" s="3" t="s">
        <v>1426</v>
      </c>
      <c r="S1" s="3" t="s">
        <v>1428</v>
      </c>
      <c r="T1" s="11" t="s">
        <v>1429</v>
      </c>
      <c r="U1" s="10" t="s">
        <v>1430</v>
      </c>
      <c r="V1" s="10" t="s">
        <v>1431</v>
      </c>
      <c r="W1" s="10" t="s">
        <v>1432</v>
      </c>
      <c r="X1" s="16" t="s">
        <v>1433</v>
      </c>
      <c r="Y1" s="10" t="s">
        <v>1434</v>
      </c>
      <c r="Z1" s="10" t="s">
        <v>3</v>
      </c>
      <c r="AA1" s="10" t="s">
        <v>1435</v>
      </c>
      <c r="AB1" s="10" t="s">
        <v>1441</v>
      </c>
      <c r="AC1" s="10" t="s">
        <v>1444</v>
      </c>
      <c r="AD1" s="10" t="s">
        <v>1445</v>
      </c>
    </row>
    <row r="2" spans="1:34" x14ac:dyDescent="0.45">
      <c r="A2" t="s">
        <v>15</v>
      </c>
      <c r="B2" s="2">
        <v>45362</v>
      </c>
      <c r="C2" s="2">
        <v>45388</v>
      </c>
      <c r="D2" t="s">
        <v>646</v>
      </c>
      <c r="E2" t="s">
        <v>650</v>
      </c>
      <c r="F2" t="s">
        <v>662</v>
      </c>
      <c r="G2" t="s">
        <v>701</v>
      </c>
      <c r="H2" s="9" t="s">
        <v>707</v>
      </c>
      <c r="I2" s="9" t="s">
        <v>712</v>
      </c>
      <c r="J2" s="9" t="s">
        <v>727</v>
      </c>
      <c r="K2" t="s">
        <v>734</v>
      </c>
      <c r="L2" s="7">
        <v>279.24</v>
      </c>
      <c r="M2" s="7">
        <v>608.9</v>
      </c>
      <c r="N2" s="5">
        <v>0.112</v>
      </c>
      <c r="O2">
        <v>9</v>
      </c>
      <c r="P2" s="2">
        <f t="shared" ref="P2:P65" si="0">IF(C2&lt;B2,B2+7,C2)</f>
        <v>45388</v>
      </c>
      <c r="Q2" t="str">
        <f t="shared" ref="Q2:Q65" si="1">IF(M2&lt;0, "Invalid Price","Ok")</f>
        <v>Ok</v>
      </c>
      <c r="R2">
        <f>ABS(Table2[[#This Row],[UnitPrice]])</f>
        <v>608.9</v>
      </c>
      <c r="S2">
        <f>P2-B2</f>
        <v>26</v>
      </c>
      <c r="T2" s="12">
        <f>R2*O2*(1-N2)</f>
        <v>4866.3287999999993</v>
      </c>
      <c r="U2">
        <f>Table2[[#This Row],[UnitCost]]*Table2[[#This Row],[Quantity]]</f>
        <v>2513.16</v>
      </c>
      <c r="V2" s="13">
        <f>T2-U2</f>
        <v>2353.1687999999995</v>
      </c>
      <c r="W2" s="5">
        <f>IF(V2=0,0,V2/T2)</f>
        <v>0.48356140670149533</v>
      </c>
      <c r="X2" s="17" t="str">
        <f>TEXT(B2,"mmm-yyyy")</f>
        <v>Mar-2024</v>
      </c>
      <c r="Z2" t="str">
        <f>CONCATENATE(D2,". ",E2,". ",F2)</f>
        <v>Africa. Kenya. Kisumu</v>
      </c>
      <c r="AA2" t="str">
        <f>IF(M2&lt;1193.87, "Low",IF(M2&gt;1193.87,"High","Medium"))</f>
        <v>Low</v>
      </c>
      <c r="AB2" t="str">
        <f t="array" ref="AB2">TEXT(MIN(IF($E$2:$E$633=E2, $B$2:$B$633)), "YYYY-MM")</f>
        <v>2023-01</v>
      </c>
      <c r="AC2" s="13">
        <f>SUM($T$2:T2)</f>
        <v>4866.3287999999993</v>
      </c>
      <c r="AD2">
        <f>AC2/SUM(AC2:AC633)</f>
        <v>1.4189564754864185E-6</v>
      </c>
      <c r="AH2">
        <f>_xlfn.PERCENTILE.INC(M:M,0.25)</f>
        <v>606.37750000000005</v>
      </c>
    </row>
    <row r="3" spans="1:34" x14ac:dyDescent="0.45">
      <c r="A3" t="s">
        <v>16</v>
      </c>
      <c r="B3" s="2">
        <v>45588</v>
      </c>
      <c r="C3" s="2">
        <v>45587</v>
      </c>
      <c r="D3" t="s">
        <v>646</v>
      </c>
      <c r="E3" t="s">
        <v>651</v>
      </c>
      <c r="F3" t="s">
        <v>663</v>
      </c>
      <c r="G3" t="s">
        <v>702</v>
      </c>
      <c r="H3" s="9" t="s">
        <v>708</v>
      </c>
      <c r="I3" s="9" t="s">
        <v>713</v>
      </c>
      <c r="J3" s="9" t="s">
        <v>728</v>
      </c>
      <c r="K3" t="s">
        <v>735</v>
      </c>
      <c r="L3" s="7">
        <v>1084.3900000000001</v>
      </c>
      <c r="M3" s="7">
        <v>759.33</v>
      </c>
      <c r="N3" s="5">
        <v>0.23699999999999999</v>
      </c>
      <c r="O3">
        <v>31</v>
      </c>
      <c r="P3" s="2">
        <f t="shared" si="0"/>
        <v>45595</v>
      </c>
      <c r="Q3" t="str">
        <f t="shared" si="1"/>
        <v>Ok</v>
      </c>
      <c r="R3">
        <f>ABS(Table2[[#This Row],[UnitPrice]])</f>
        <v>759.33</v>
      </c>
      <c r="S3">
        <f t="shared" ref="S3:S66" si="2">P3-B3</f>
        <v>7</v>
      </c>
      <c r="T3" s="12">
        <f t="shared" ref="T3:T66" si="3">R3*O3*(1-N3)</f>
        <v>17960.432489999999</v>
      </c>
      <c r="U3">
        <f>Table2[[#This Row],[UnitCost]]*Table2[[#This Row],[Quantity]]</f>
        <v>33616.090000000004</v>
      </c>
      <c r="V3" s="13">
        <f t="shared" ref="V3:V66" si="4">T3-U3</f>
        <v>-15655.657510000005</v>
      </c>
      <c r="W3" s="5">
        <f t="shared" ref="W3:W66" si="5">IF(V3=0,0,V3/T3)</f>
        <v>-0.87167486187856302</v>
      </c>
      <c r="X3" s="17" t="str">
        <f t="shared" ref="X3:X66" si="6">TEXT(B3,"mmm-yyyy")</f>
        <v>Oct-2024</v>
      </c>
      <c r="Z3" t="str">
        <f t="shared" ref="Z3:Z66" si="7">CONCATENATE(D3,". ",E3,". ",F3)</f>
        <v>Africa. Nigeria. Port Harcourt</v>
      </c>
      <c r="AA3" t="str">
        <f t="shared" ref="AA3:AA66" si="8">IF(M3&lt;1193.87, "Low",IF(M3&gt;1193.87,"High","Medium"))</f>
        <v>Low</v>
      </c>
      <c r="AB3" t="str">
        <f t="array" ref="AB3">TEXT(MIN(IF($E$2:$E$633=E3, $B$2:$B$633)), "YYYY-MM")</f>
        <v>2023-01</v>
      </c>
      <c r="AC3" s="13">
        <f>SUM($T$2:T3)</f>
        <v>22826.761289999999</v>
      </c>
      <c r="AH3">
        <f>_xlfn.PERCENTILE.INC(M:M,0.5)</f>
        <v>1193.865</v>
      </c>
    </row>
    <row r="4" spans="1:34" x14ac:dyDescent="0.45">
      <c r="A4" t="s">
        <v>17</v>
      </c>
      <c r="B4" s="2">
        <v>44985</v>
      </c>
      <c r="C4" s="2">
        <v>45010</v>
      </c>
      <c r="D4" t="s">
        <v>646</v>
      </c>
      <c r="E4" t="s">
        <v>650</v>
      </c>
      <c r="F4" t="s">
        <v>664</v>
      </c>
      <c r="G4" t="s">
        <v>701</v>
      </c>
      <c r="H4" s="9" t="s">
        <v>707</v>
      </c>
      <c r="I4" s="9" t="s">
        <v>714</v>
      </c>
      <c r="J4" s="9" t="s">
        <v>729</v>
      </c>
      <c r="K4" t="s">
        <v>736</v>
      </c>
      <c r="L4" s="7">
        <v>1460.76</v>
      </c>
      <c r="M4" s="7">
        <v>-30.66</v>
      </c>
      <c r="N4" s="5">
        <v>0.13100000000000001</v>
      </c>
      <c r="O4">
        <v>12</v>
      </c>
      <c r="P4" s="2">
        <f t="shared" si="0"/>
        <v>45010</v>
      </c>
      <c r="Q4" t="str">
        <f t="shared" si="1"/>
        <v>Invalid Price</v>
      </c>
      <c r="R4">
        <f>ABS(Table2[[#This Row],[UnitPrice]])</f>
        <v>30.66</v>
      </c>
      <c r="S4">
        <f t="shared" si="2"/>
        <v>25</v>
      </c>
      <c r="T4" s="12">
        <f t="shared" si="3"/>
        <v>319.72248000000002</v>
      </c>
      <c r="U4">
        <f>Table2[[#This Row],[UnitCost]]*Table2[[#This Row],[Quantity]]</f>
        <v>17529.12</v>
      </c>
      <c r="V4" s="13">
        <f t="shared" si="4"/>
        <v>-17209.397519999999</v>
      </c>
      <c r="W4" s="5">
        <f t="shared" si="5"/>
        <v>-53.826047890032626</v>
      </c>
      <c r="X4" s="17" t="str">
        <f t="shared" si="6"/>
        <v>Feb-2023</v>
      </c>
      <c r="Z4" t="str">
        <f t="shared" si="7"/>
        <v>Africa. Kenya. Nairobi</v>
      </c>
      <c r="AA4" t="str">
        <f t="shared" si="8"/>
        <v>Low</v>
      </c>
      <c r="AB4" t="str">
        <f t="array" ref="AB4">TEXT(MIN(IF($E$2:$E$633=E4, $B$2:$B$633)), "YYYY-MM")</f>
        <v>2023-01</v>
      </c>
      <c r="AC4" s="13">
        <f>SUM($T$2:T4)</f>
        <v>23146.483769999999</v>
      </c>
      <c r="AH4">
        <f>_xlfn.PERCENTILE.INC(M:M,0.75)</f>
        <v>1912.0450000000001</v>
      </c>
    </row>
    <row r="5" spans="1:34" x14ac:dyDescent="0.45">
      <c r="A5" t="s">
        <v>18</v>
      </c>
      <c r="B5" s="2">
        <v>45745</v>
      </c>
      <c r="C5" s="2">
        <v>45749</v>
      </c>
      <c r="D5" t="s">
        <v>646</v>
      </c>
      <c r="E5" t="s">
        <v>651</v>
      </c>
      <c r="F5" t="s">
        <v>665</v>
      </c>
      <c r="G5" t="s">
        <v>703</v>
      </c>
      <c r="H5" s="9" t="s">
        <v>709</v>
      </c>
      <c r="I5" s="9" t="s">
        <v>715</v>
      </c>
      <c r="J5" s="9" t="s">
        <v>730</v>
      </c>
      <c r="K5" t="s">
        <v>737</v>
      </c>
      <c r="L5" s="7">
        <v>259.93</v>
      </c>
      <c r="M5" s="7">
        <v>255.94</v>
      </c>
      <c r="N5" s="5">
        <v>7.1999999999999995E-2</v>
      </c>
      <c r="O5">
        <v>22</v>
      </c>
      <c r="P5" s="2">
        <f t="shared" si="0"/>
        <v>45749</v>
      </c>
      <c r="Q5" t="str">
        <f t="shared" si="1"/>
        <v>Ok</v>
      </c>
      <c r="R5">
        <f>ABS(Table2[[#This Row],[UnitPrice]])</f>
        <v>255.94</v>
      </c>
      <c r="S5">
        <f t="shared" si="2"/>
        <v>4</v>
      </c>
      <c r="T5" s="12">
        <f t="shared" si="3"/>
        <v>5225.2710400000005</v>
      </c>
      <c r="U5">
        <f>Table2[[#This Row],[UnitCost]]*Table2[[#This Row],[Quantity]]</f>
        <v>5718.46</v>
      </c>
      <c r="V5" s="13">
        <f t="shared" si="4"/>
        <v>-493.1889599999995</v>
      </c>
      <c r="W5" s="5">
        <f t="shared" si="5"/>
        <v>-9.4385335463861311E-2</v>
      </c>
      <c r="X5" s="17" t="str">
        <f t="shared" si="6"/>
        <v>Mar-2025</v>
      </c>
      <c r="Z5" t="str">
        <f t="shared" si="7"/>
        <v>Africa. Nigeria. Lagos</v>
      </c>
      <c r="AA5" t="str">
        <f t="shared" si="8"/>
        <v>Low</v>
      </c>
      <c r="AB5" t="str">
        <f t="array" ref="AB5">TEXT(MIN(IF($E$2:$E$633=E5, $B$2:$B$633)), "YYYY-MM")</f>
        <v>2023-01</v>
      </c>
      <c r="AC5" s="13">
        <f>SUM($T$2:T5)</f>
        <v>28371.754809999999</v>
      </c>
    </row>
    <row r="6" spans="1:34" x14ac:dyDescent="0.45">
      <c r="A6" t="s">
        <v>19</v>
      </c>
      <c r="B6" s="2">
        <v>45266</v>
      </c>
      <c r="C6" s="2">
        <v>45291</v>
      </c>
      <c r="D6" t="s">
        <v>647</v>
      </c>
      <c r="E6" t="s">
        <v>652</v>
      </c>
      <c r="F6" t="s">
        <v>666</v>
      </c>
      <c r="G6" t="s">
        <v>704</v>
      </c>
      <c r="H6" s="9" t="s">
        <v>707</v>
      </c>
      <c r="I6" s="9" t="s">
        <v>716</v>
      </c>
      <c r="J6" s="9" t="s">
        <v>728</v>
      </c>
      <c r="K6" t="s">
        <v>738</v>
      </c>
      <c r="L6" s="7">
        <v>663.03</v>
      </c>
      <c r="M6" s="7">
        <v>813.51</v>
      </c>
      <c r="N6" s="5">
        <v>0.10199999999999999</v>
      </c>
      <c r="O6">
        <v>15</v>
      </c>
      <c r="P6" s="2">
        <f t="shared" si="0"/>
        <v>45291</v>
      </c>
      <c r="Q6" t="str">
        <f t="shared" si="1"/>
        <v>Ok</v>
      </c>
      <c r="R6">
        <f>ABS(Table2[[#This Row],[UnitPrice]])</f>
        <v>813.51</v>
      </c>
      <c r="S6">
        <f t="shared" si="2"/>
        <v>25</v>
      </c>
      <c r="T6" s="12">
        <f t="shared" si="3"/>
        <v>10957.9797</v>
      </c>
      <c r="U6">
        <f>Table2[[#This Row],[UnitCost]]*Table2[[#This Row],[Quantity]]</f>
        <v>9945.4499999999989</v>
      </c>
      <c r="V6" s="13">
        <f t="shared" si="4"/>
        <v>1012.529700000001</v>
      </c>
      <c r="W6" s="5">
        <f t="shared" si="5"/>
        <v>9.2401129379715952E-2</v>
      </c>
      <c r="X6" s="17" t="str">
        <f t="shared" si="6"/>
        <v>Dec-2023</v>
      </c>
      <c r="Z6" t="str">
        <f t="shared" si="7"/>
        <v>Asia. Japan. Osaka</v>
      </c>
      <c r="AA6" t="str">
        <f t="shared" si="8"/>
        <v>Low</v>
      </c>
      <c r="AB6" t="str">
        <f t="array" ref="AB6">TEXT(MIN(IF($E$2:$E$633=E6, $B$2:$B$633)), "YYYY-MM")</f>
        <v>2023-03</v>
      </c>
      <c r="AC6" s="13">
        <f>SUM($T$2:T6)</f>
        <v>39329.734509999995</v>
      </c>
    </row>
    <row r="7" spans="1:34" x14ac:dyDescent="0.45">
      <c r="A7" t="s">
        <v>20</v>
      </c>
      <c r="B7" s="2">
        <v>44928</v>
      </c>
      <c r="C7" s="2">
        <v>44931</v>
      </c>
      <c r="D7" t="s">
        <v>648</v>
      </c>
      <c r="E7" t="s">
        <v>653</v>
      </c>
      <c r="F7" t="s">
        <v>667</v>
      </c>
      <c r="G7" t="s">
        <v>701</v>
      </c>
      <c r="H7" s="9" t="s">
        <v>710</v>
      </c>
      <c r="I7" s="9" t="s">
        <v>717</v>
      </c>
      <c r="J7" s="9" t="s">
        <v>731</v>
      </c>
      <c r="K7" t="s">
        <v>739</v>
      </c>
      <c r="L7" s="7">
        <v>315.87</v>
      </c>
      <c r="M7" s="7">
        <v>591.67999999999995</v>
      </c>
      <c r="N7" s="5">
        <v>0</v>
      </c>
      <c r="O7">
        <v>7</v>
      </c>
      <c r="P7" s="2">
        <f t="shared" si="0"/>
        <v>44931</v>
      </c>
      <c r="Q7" t="str">
        <f t="shared" si="1"/>
        <v>Ok</v>
      </c>
      <c r="R7">
        <f>ABS(Table2[[#This Row],[UnitPrice]])</f>
        <v>591.67999999999995</v>
      </c>
      <c r="S7">
        <f t="shared" si="2"/>
        <v>3</v>
      </c>
      <c r="T7" s="12">
        <f t="shared" si="3"/>
        <v>4141.7599999999993</v>
      </c>
      <c r="U7">
        <f>Table2[[#This Row],[UnitCost]]*Table2[[#This Row],[Quantity]]</f>
        <v>2211.09</v>
      </c>
      <c r="V7" s="13">
        <f t="shared" si="4"/>
        <v>1930.6699999999992</v>
      </c>
      <c r="W7" s="5">
        <f t="shared" si="5"/>
        <v>0.46614724175229844</v>
      </c>
      <c r="X7" s="17" t="str">
        <f t="shared" si="6"/>
        <v>Jan-2023</v>
      </c>
      <c r="Z7" t="str">
        <f t="shared" si="7"/>
        <v>Americas. Canada. Toronto</v>
      </c>
      <c r="AA7" t="str">
        <f t="shared" si="8"/>
        <v>Low</v>
      </c>
      <c r="AB7" t="str">
        <f t="array" ref="AB7">TEXT(MIN(IF($E$2:$E$633=E7, $B$2:$B$633)), "YYYY-MM")</f>
        <v>2023-01</v>
      </c>
      <c r="AC7" s="13">
        <f>SUM($T$2:T7)</f>
        <v>43471.494509999997</v>
      </c>
    </row>
    <row r="8" spans="1:34" x14ac:dyDescent="0.45">
      <c r="A8" t="s">
        <v>21</v>
      </c>
      <c r="B8" s="2">
        <v>45653</v>
      </c>
      <c r="C8" s="2">
        <v>45671</v>
      </c>
      <c r="D8" t="s">
        <v>647</v>
      </c>
      <c r="E8" t="s">
        <v>654</v>
      </c>
      <c r="F8" t="s">
        <v>668</v>
      </c>
      <c r="G8" t="s">
        <v>705</v>
      </c>
      <c r="H8" s="9" t="s">
        <v>709</v>
      </c>
      <c r="I8" s="9" t="s">
        <v>718</v>
      </c>
      <c r="J8" s="9" t="s">
        <v>732</v>
      </c>
      <c r="K8" t="s">
        <v>740</v>
      </c>
      <c r="L8" s="7">
        <v>586.07000000000005</v>
      </c>
      <c r="M8" s="7">
        <v>845.97</v>
      </c>
      <c r="N8" s="5">
        <v>0.14699999999999999</v>
      </c>
      <c r="O8">
        <v>4</v>
      </c>
      <c r="P8" s="2">
        <f t="shared" si="0"/>
        <v>45671</v>
      </c>
      <c r="Q8" t="str">
        <f t="shared" si="1"/>
        <v>Ok</v>
      </c>
      <c r="R8">
        <f>ABS(Table2[[#This Row],[UnitPrice]])</f>
        <v>845.97</v>
      </c>
      <c r="S8">
        <f t="shared" si="2"/>
        <v>18</v>
      </c>
      <c r="T8" s="12">
        <f t="shared" si="3"/>
        <v>2886.4496399999998</v>
      </c>
      <c r="U8">
        <f>Table2[[#This Row],[UnitCost]]*Table2[[#This Row],[Quantity]]</f>
        <v>2344.2800000000002</v>
      </c>
      <c r="V8" s="13">
        <f t="shared" si="4"/>
        <v>542.16963999999962</v>
      </c>
      <c r="W8" s="5">
        <f t="shared" si="5"/>
        <v>0.18783270370862928</v>
      </c>
      <c r="X8" s="17" t="str">
        <f t="shared" si="6"/>
        <v>Dec-2024</v>
      </c>
      <c r="Z8" t="str">
        <f t="shared" si="7"/>
        <v>Asia. India. Bengaluru</v>
      </c>
      <c r="AA8" t="str">
        <f t="shared" si="8"/>
        <v>Low</v>
      </c>
      <c r="AB8" t="str">
        <f t="array" ref="AB8">TEXT(MIN(IF($E$2:$E$633=E8, $B$2:$B$633)), "YYYY-MM")</f>
        <v>2023-01</v>
      </c>
      <c r="AC8" s="13">
        <f>SUM($T$2:T8)</f>
        <v>46357.944149999996</v>
      </c>
    </row>
    <row r="9" spans="1:34" x14ac:dyDescent="0.45">
      <c r="A9" t="s">
        <v>22</v>
      </c>
      <c r="B9" s="2">
        <v>44941</v>
      </c>
      <c r="C9" s="2">
        <v>44939</v>
      </c>
      <c r="D9" t="s">
        <v>646</v>
      </c>
      <c r="E9" t="s">
        <v>651</v>
      </c>
      <c r="F9" t="s">
        <v>669</v>
      </c>
      <c r="G9" t="s">
        <v>702</v>
      </c>
      <c r="H9" s="9" t="s">
        <v>708</v>
      </c>
      <c r="I9" s="9" t="s">
        <v>719</v>
      </c>
      <c r="J9" s="9" t="s">
        <v>728</v>
      </c>
      <c r="K9" t="s">
        <v>741</v>
      </c>
      <c r="L9" s="7">
        <v>28.38</v>
      </c>
      <c r="M9" s="7">
        <v>47.22</v>
      </c>
      <c r="N9" s="5">
        <v>0.19400000000000001</v>
      </c>
      <c r="O9">
        <v>18</v>
      </c>
      <c r="P9" s="2">
        <f t="shared" si="0"/>
        <v>44948</v>
      </c>
      <c r="Q9" t="str">
        <f t="shared" si="1"/>
        <v>Ok</v>
      </c>
      <c r="R9">
        <f>ABS(Table2[[#This Row],[UnitPrice]])</f>
        <v>47.22</v>
      </c>
      <c r="S9">
        <f t="shared" si="2"/>
        <v>7</v>
      </c>
      <c r="T9" s="12">
        <f t="shared" si="3"/>
        <v>685.06776000000002</v>
      </c>
      <c r="U9">
        <f>Table2[[#This Row],[UnitCost]]*Table2[[#This Row],[Quantity]]</f>
        <v>510.84</v>
      </c>
      <c r="V9" s="13">
        <f t="shared" si="4"/>
        <v>174.22776000000005</v>
      </c>
      <c r="W9" s="5">
        <f t="shared" si="5"/>
        <v>0.25432193743871417</v>
      </c>
      <c r="X9" s="17" t="str">
        <f t="shared" si="6"/>
        <v>Jan-2023</v>
      </c>
      <c r="Z9" t="str">
        <f t="shared" si="7"/>
        <v>Africa. Nigeria. Abuja</v>
      </c>
      <c r="AA9" t="str">
        <f t="shared" si="8"/>
        <v>Low</v>
      </c>
      <c r="AB9" t="str">
        <f t="array" ref="AB9">TEXT(MIN(IF($E$2:$E$633=E9, $B$2:$B$633)), "YYYY-MM")</f>
        <v>2023-01</v>
      </c>
      <c r="AC9" s="13">
        <f>SUM($T$2:T9)</f>
        <v>47043.011909999994</v>
      </c>
    </row>
    <row r="10" spans="1:34" x14ac:dyDescent="0.45">
      <c r="A10" t="s">
        <v>23</v>
      </c>
      <c r="B10" s="2">
        <v>45416</v>
      </c>
      <c r="C10" s="2">
        <v>45441</v>
      </c>
      <c r="D10" t="s">
        <v>646</v>
      </c>
      <c r="E10" t="s">
        <v>651</v>
      </c>
      <c r="F10" t="s">
        <v>669</v>
      </c>
      <c r="G10" t="s">
        <v>703</v>
      </c>
      <c r="H10" s="9" t="s">
        <v>709</v>
      </c>
      <c r="I10" s="9" t="s">
        <v>719</v>
      </c>
      <c r="J10" s="9" t="s">
        <v>732</v>
      </c>
      <c r="K10" t="s">
        <v>742</v>
      </c>
      <c r="L10" s="7">
        <v>1295.3399999999999</v>
      </c>
      <c r="M10" s="7">
        <v>2530.81</v>
      </c>
      <c r="N10" s="5">
        <v>3.1E-2</v>
      </c>
      <c r="O10">
        <v>6</v>
      </c>
      <c r="P10" s="2">
        <f t="shared" si="0"/>
        <v>45441</v>
      </c>
      <c r="Q10" t="str">
        <f t="shared" si="1"/>
        <v>Ok</v>
      </c>
      <c r="R10">
        <f>ABS(Table2[[#This Row],[UnitPrice]])</f>
        <v>2530.81</v>
      </c>
      <c r="S10">
        <f t="shared" si="2"/>
        <v>25</v>
      </c>
      <c r="T10" s="12">
        <f t="shared" si="3"/>
        <v>14714.12934</v>
      </c>
      <c r="U10">
        <f>Table2[[#This Row],[UnitCost]]*Table2[[#This Row],[Quantity]]</f>
        <v>7772.0399999999991</v>
      </c>
      <c r="V10" s="13">
        <f t="shared" si="4"/>
        <v>6942.0893400000004</v>
      </c>
      <c r="W10" s="5">
        <f t="shared" si="5"/>
        <v>0.4717974933880798</v>
      </c>
      <c r="X10" s="17" t="str">
        <f t="shared" si="6"/>
        <v>May-2024</v>
      </c>
      <c r="Z10" t="str">
        <f t="shared" si="7"/>
        <v>Africa. Nigeria. Abuja</v>
      </c>
      <c r="AA10" t="str">
        <f t="shared" si="8"/>
        <v>High</v>
      </c>
      <c r="AB10" t="str">
        <f t="array" ref="AB10">TEXT(MIN(IF($E$2:$E$633=E10, $B$2:$B$633)), "YYYY-MM")</f>
        <v>2023-01</v>
      </c>
      <c r="AC10" s="13">
        <f>SUM($T$2:T10)</f>
        <v>61757.141249999993</v>
      </c>
    </row>
    <row r="11" spans="1:34" x14ac:dyDescent="0.45">
      <c r="A11" t="s">
        <v>24</v>
      </c>
      <c r="B11" s="2">
        <v>45798</v>
      </c>
      <c r="C11" s="2">
        <v>45817</v>
      </c>
      <c r="D11" t="s">
        <v>648</v>
      </c>
      <c r="E11" t="s">
        <v>655</v>
      </c>
      <c r="F11" t="s">
        <v>670</v>
      </c>
      <c r="G11" t="s">
        <v>703</v>
      </c>
      <c r="H11" s="9" t="s">
        <v>708</v>
      </c>
      <c r="I11" s="9" t="s">
        <v>720</v>
      </c>
      <c r="J11" s="9" t="s">
        <v>727</v>
      </c>
      <c r="K11" t="s">
        <v>743</v>
      </c>
      <c r="L11" s="7">
        <v>1331.38</v>
      </c>
      <c r="M11" s="7">
        <v>2309.56</v>
      </c>
      <c r="N11" s="5">
        <v>0.14899999999999999</v>
      </c>
      <c r="O11">
        <v>31</v>
      </c>
      <c r="P11" s="2">
        <f t="shared" si="0"/>
        <v>45817</v>
      </c>
      <c r="Q11" t="str">
        <f t="shared" si="1"/>
        <v>Ok</v>
      </c>
      <c r="R11">
        <f>ABS(Table2[[#This Row],[UnitPrice]])</f>
        <v>2309.56</v>
      </c>
      <c r="S11">
        <f t="shared" si="2"/>
        <v>19</v>
      </c>
      <c r="T11" s="12">
        <f t="shared" si="3"/>
        <v>60928.502359999999</v>
      </c>
      <c r="U11">
        <f>Table2[[#This Row],[UnitCost]]*Table2[[#This Row],[Quantity]]</f>
        <v>41272.780000000006</v>
      </c>
      <c r="V11" s="13">
        <f t="shared" si="4"/>
        <v>19655.722359999992</v>
      </c>
      <c r="W11" s="5">
        <f t="shared" si="5"/>
        <v>0.32260307735553528</v>
      </c>
      <c r="X11" s="17" t="str">
        <f t="shared" si="6"/>
        <v>May-2025</v>
      </c>
      <c r="Z11" t="str">
        <f t="shared" si="7"/>
        <v>Americas. Brazil. São Paulo</v>
      </c>
      <c r="AA11" t="str">
        <f t="shared" si="8"/>
        <v>High</v>
      </c>
      <c r="AB11" t="str">
        <f t="array" ref="AB11">TEXT(MIN(IF($E$2:$E$633=E11, $B$2:$B$633)), "YYYY-MM")</f>
        <v>2023-01</v>
      </c>
      <c r="AC11" s="13">
        <f>SUM($T$2:T11)</f>
        <v>122685.64361</v>
      </c>
    </row>
    <row r="12" spans="1:34" x14ac:dyDescent="0.45">
      <c r="A12" t="s">
        <v>25</v>
      </c>
      <c r="B12" s="2">
        <v>45319</v>
      </c>
      <c r="C12" s="2">
        <v>45331</v>
      </c>
      <c r="D12" t="s">
        <v>649</v>
      </c>
      <c r="E12" t="s">
        <v>656</v>
      </c>
      <c r="F12" t="s">
        <v>671</v>
      </c>
      <c r="G12" t="s">
        <v>701</v>
      </c>
      <c r="H12" s="9" t="s">
        <v>708</v>
      </c>
      <c r="I12" s="9" t="s">
        <v>715</v>
      </c>
      <c r="J12" s="9" t="s">
        <v>733</v>
      </c>
      <c r="K12" t="s">
        <v>744</v>
      </c>
      <c r="L12" s="7">
        <v>644.16999999999996</v>
      </c>
      <c r="M12" s="7">
        <v>700.12</v>
      </c>
      <c r="N12" s="5">
        <v>6.0000000000000001E-3</v>
      </c>
      <c r="O12">
        <v>23</v>
      </c>
      <c r="P12" s="2">
        <f t="shared" si="0"/>
        <v>45331</v>
      </c>
      <c r="Q12" t="str">
        <f t="shared" si="1"/>
        <v>Ok</v>
      </c>
      <c r="R12">
        <f>ABS(Table2[[#This Row],[UnitPrice]])</f>
        <v>700.12</v>
      </c>
      <c r="S12">
        <f t="shared" si="2"/>
        <v>12</v>
      </c>
      <c r="T12" s="12">
        <f t="shared" si="3"/>
        <v>16006.14344</v>
      </c>
      <c r="U12">
        <f>Table2[[#This Row],[UnitCost]]*Table2[[#This Row],[Quantity]]</f>
        <v>14815.91</v>
      </c>
      <c r="V12" s="13">
        <f t="shared" si="4"/>
        <v>1190.23344</v>
      </c>
      <c r="W12" s="5">
        <f t="shared" si="5"/>
        <v>7.436103796405813E-2</v>
      </c>
      <c r="X12" s="17" t="str">
        <f t="shared" si="6"/>
        <v>Jan-2024</v>
      </c>
      <c r="Z12" t="str">
        <f t="shared" si="7"/>
        <v>Europe. Germany. Berlin</v>
      </c>
      <c r="AA12" t="str">
        <f t="shared" si="8"/>
        <v>Low</v>
      </c>
      <c r="AB12" t="str">
        <f t="array" ref="AB12">TEXT(MIN(IF($E$2:$E$633=E12, $B$2:$B$633)), "YYYY-MM")</f>
        <v>2023-01</v>
      </c>
      <c r="AC12" s="13">
        <f>SUM($T$2:T12)</f>
        <v>138691.78704999998</v>
      </c>
    </row>
    <row r="13" spans="1:34" x14ac:dyDescent="0.45">
      <c r="A13" t="s">
        <v>26</v>
      </c>
      <c r="B13" s="2">
        <v>45660</v>
      </c>
      <c r="C13" s="2">
        <v>45680</v>
      </c>
      <c r="D13" t="s">
        <v>647</v>
      </c>
      <c r="E13" t="s">
        <v>652</v>
      </c>
      <c r="F13" t="s">
        <v>666</v>
      </c>
      <c r="G13" t="s">
        <v>701</v>
      </c>
      <c r="H13" s="9" t="s">
        <v>710</v>
      </c>
      <c r="I13" s="9" t="s">
        <v>721</v>
      </c>
      <c r="J13" s="9" t="s">
        <v>730</v>
      </c>
      <c r="K13" t="s">
        <v>745</v>
      </c>
      <c r="L13" s="7">
        <v>908.6</v>
      </c>
      <c r="M13" s="7">
        <v>691.37</v>
      </c>
      <c r="N13" s="5">
        <v>0.25</v>
      </c>
      <c r="O13">
        <v>20</v>
      </c>
      <c r="P13" s="2">
        <f t="shared" si="0"/>
        <v>45680</v>
      </c>
      <c r="Q13" t="str">
        <f t="shared" si="1"/>
        <v>Ok</v>
      </c>
      <c r="R13">
        <f>ABS(Table2[[#This Row],[UnitPrice]])</f>
        <v>691.37</v>
      </c>
      <c r="S13">
        <f t="shared" si="2"/>
        <v>20</v>
      </c>
      <c r="T13" s="12">
        <f t="shared" si="3"/>
        <v>10370.549999999999</v>
      </c>
      <c r="U13">
        <f>Table2[[#This Row],[UnitCost]]*Table2[[#This Row],[Quantity]]</f>
        <v>18172</v>
      </c>
      <c r="V13" s="13">
        <f t="shared" si="4"/>
        <v>-7801.4500000000007</v>
      </c>
      <c r="W13" s="5">
        <f t="shared" si="5"/>
        <v>-0.75226964818645115</v>
      </c>
      <c r="X13" s="17" t="str">
        <f t="shared" si="6"/>
        <v>Jan-2025</v>
      </c>
      <c r="Z13" t="str">
        <f t="shared" si="7"/>
        <v>Asia. Japan. Osaka</v>
      </c>
      <c r="AA13" t="str">
        <f t="shared" si="8"/>
        <v>Low</v>
      </c>
      <c r="AB13" t="str">
        <f t="array" ref="AB13">TEXT(MIN(IF($E$2:$E$633=E13, $B$2:$B$633)), "YYYY-MM")</f>
        <v>2023-03</v>
      </c>
      <c r="AC13" s="13">
        <f>SUM($T$2:T13)</f>
        <v>149062.33704999997</v>
      </c>
    </row>
    <row r="14" spans="1:34" x14ac:dyDescent="0.45">
      <c r="A14" t="s">
        <v>27</v>
      </c>
      <c r="B14" s="2">
        <v>45722</v>
      </c>
      <c r="C14" s="2">
        <v>45747</v>
      </c>
      <c r="D14" t="s">
        <v>648</v>
      </c>
      <c r="E14" t="s">
        <v>655</v>
      </c>
      <c r="F14" t="s">
        <v>672</v>
      </c>
      <c r="G14" t="s">
        <v>703</v>
      </c>
      <c r="H14" s="9" t="s">
        <v>708</v>
      </c>
      <c r="I14" s="9" t="s">
        <v>713</v>
      </c>
      <c r="J14" s="9" t="s">
        <v>727</v>
      </c>
      <c r="K14" t="s">
        <v>746</v>
      </c>
      <c r="L14" s="7">
        <v>331.57</v>
      </c>
      <c r="M14" s="7">
        <v>548.4</v>
      </c>
      <c r="N14" s="5">
        <v>9.4E-2</v>
      </c>
      <c r="O14">
        <v>10</v>
      </c>
      <c r="P14" s="2">
        <f t="shared" si="0"/>
        <v>45747</v>
      </c>
      <c r="Q14" t="str">
        <f t="shared" si="1"/>
        <v>Ok</v>
      </c>
      <c r="R14">
        <f>ABS(Table2[[#This Row],[UnitPrice]])</f>
        <v>548.4</v>
      </c>
      <c r="S14">
        <f t="shared" si="2"/>
        <v>25</v>
      </c>
      <c r="T14" s="12">
        <f t="shared" si="3"/>
        <v>4968.5039999999999</v>
      </c>
      <c r="U14">
        <f>Table2[[#This Row],[UnitCost]]*Table2[[#This Row],[Quantity]]</f>
        <v>3315.7</v>
      </c>
      <c r="V14" s="13">
        <f t="shared" si="4"/>
        <v>1652.8040000000001</v>
      </c>
      <c r="W14" s="5">
        <f t="shared" si="5"/>
        <v>0.33265626836568918</v>
      </c>
      <c r="X14" s="17" t="str">
        <f t="shared" si="6"/>
        <v>Mar-2025</v>
      </c>
      <c r="Z14" t="str">
        <f t="shared" si="7"/>
        <v>Americas. Brazil. Brasília</v>
      </c>
      <c r="AA14" t="str">
        <f t="shared" si="8"/>
        <v>Low</v>
      </c>
      <c r="AB14" t="str">
        <f t="array" ref="AB14">TEXT(MIN(IF($E$2:$E$633=E14, $B$2:$B$633)), "YYYY-MM")</f>
        <v>2023-01</v>
      </c>
      <c r="AC14" s="13">
        <f>SUM($T$2:T14)</f>
        <v>154030.84104999996</v>
      </c>
    </row>
    <row r="15" spans="1:34" x14ac:dyDescent="0.45">
      <c r="A15" t="s">
        <v>28</v>
      </c>
      <c r="B15" s="2">
        <v>45311</v>
      </c>
      <c r="C15" s="2">
        <v>45335</v>
      </c>
      <c r="D15" t="s">
        <v>649</v>
      </c>
      <c r="E15" t="s">
        <v>657</v>
      </c>
      <c r="F15" t="s">
        <v>673</v>
      </c>
      <c r="G15" t="s">
        <v>701</v>
      </c>
      <c r="H15" s="9" t="s">
        <v>707</v>
      </c>
      <c r="I15" s="9" t="s">
        <v>722</v>
      </c>
      <c r="J15" s="9" t="s">
        <v>728</v>
      </c>
      <c r="K15" t="s">
        <v>747</v>
      </c>
      <c r="L15" s="7">
        <v>643.53</v>
      </c>
      <c r="M15" s="7">
        <v>1439.01</v>
      </c>
      <c r="N15" s="5">
        <v>0</v>
      </c>
      <c r="O15">
        <v>15</v>
      </c>
      <c r="P15" s="2">
        <f t="shared" si="0"/>
        <v>45335</v>
      </c>
      <c r="Q15" t="str">
        <f t="shared" si="1"/>
        <v>Ok</v>
      </c>
      <c r="R15">
        <f>ABS(Table2[[#This Row],[UnitPrice]])</f>
        <v>1439.01</v>
      </c>
      <c r="S15">
        <f t="shared" si="2"/>
        <v>24</v>
      </c>
      <c r="T15" s="12">
        <f t="shared" si="3"/>
        <v>21585.15</v>
      </c>
      <c r="U15">
        <f>Table2[[#This Row],[UnitCost]]*Table2[[#This Row],[Quantity]]</f>
        <v>9652.9499999999989</v>
      </c>
      <c r="V15" s="13">
        <f t="shared" si="4"/>
        <v>11932.200000000003</v>
      </c>
      <c r="W15" s="5">
        <f t="shared" si="5"/>
        <v>0.55279671440782208</v>
      </c>
      <c r="X15" s="17" t="str">
        <f t="shared" si="6"/>
        <v>Jan-2024</v>
      </c>
      <c r="Z15" t="str">
        <f t="shared" si="7"/>
        <v>Europe. France. Marseille</v>
      </c>
      <c r="AA15" t="str">
        <f t="shared" si="8"/>
        <v>High</v>
      </c>
      <c r="AB15" t="str">
        <f t="array" ref="AB15">TEXT(MIN(IF($E$2:$E$633=E15, $B$2:$B$633)), "YYYY-MM")</f>
        <v>2023-01</v>
      </c>
      <c r="AC15" s="13">
        <f>SUM($T$2:T15)</f>
        <v>175615.99104999995</v>
      </c>
    </row>
    <row r="16" spans="1:34" x14ac:dyDescent="0.45">
      <c r="A16" t="s">
        <v>29</v>
      </c>
      <c r="B16" s="2">
        <v>45901</v>
      </c>
      <c r="C16" s="2">
        <v>45930</v>
      </c>
      <c r="D16" t="s">
        <v>648</v>
      </c>
      <c r="E16" t="s">
        <v>655</v>
      </c>
      <c r="F16" t="s">
        <v>672</v>
      </c>
      <c r="G16" t="s">
        <v>702</v>
      </c>
      <c r="H16" s="9" t="s">
        <v>707</v>
      </c>
      <c r="I16" s="9" t="s">
        <v>723</v>
      </c>
      <c r="J16" s="9" t="s">
        <v>733</v>
      </c>
      <c r="K16" t="s">
        <v>748</v>
      </c>
      <c r="L16" s="7">
        <v>780.59</v>
      </c>
      <c r="M16" s="7">
        <v>631.57000000000005</v>
      </c>
      <c r="N16" s="5">
        <v>0</v>
      </c>
      <c r="O16">
        <v>12</v>
      </c>
      <c r="P16" s="2">
        <f t="shared" si="0"/>
        <v>45930</v>
      </c>
      <c r="Q16" t="str">
        <f t="shared" si="1"/>
        <v>Ok</v>
      </c>
      <c r="R16">
        <f>ABS(Table2[[#This Row],[UnitPrice]])</f>
        <v>631.57000000000005</v>
      </c>
      <c r="S16">
        <f t="shared" si="2"/>
        <v>29</v>
      </c>
      <c r="T16" s="12">
        <f t="shared" si="3"/>
        <v>7578.84</v>
      </c>
      <c r="U16">
        <f>Table2[[#This Row],[UnitCost]]*Table2[[#This Row],[Quantity]]</f>
        <v>9367.08</v>
      </c>
      <c r="V16" s="13">
        <f t="shared" si="4"/>
        <v>-1788.2399999999998</v>
      </c>
      <c r="W16" s="5">
        <f t="shared" si="5"/>
        <v>-0.23595167598207639</v>
      </c>
      <c r="X16" s="17" t="str">
        <f t="shared" si="6"/>
        <v>Sep-2025</v>
      </c>
      <c r="Z16" t="str">
        <f t="shared" si="7"/>
        <v>Americas. Brazil. Brasília</v>
      </c>
      <c r="AA16" t="str">
        <f t="shared" si="8"/>
        <v>Low</v>
      </c>
      <c r="AB16" t="str">
        <f t="array" ref="AB16">TEXT(MIN(IF($E$2:$E$633=E16, $B$2:$B$633)), "YYYY-MM")</f>
        <v>2023-01</v>
      </c>
      <c r="AC16" s="13">
        <f>SUM($T$2:T16)</f>
        <v>183194.83104999995</v>
      </c>
    </row>
    <row r="17" spans="1:29" x14ac:dyDescent="0.45">
      <c r="A17" t="s">
        <v>30</v>
      </c>
      <c r="B17" s="2">
        <v>45039</v>
      </c>
      <c r="C17" s="2">
        <v>45038</v>
      </c>
      <c r="D17" t="s">
        <v>646</v>
      </c>
      <c r="E17" t="s">
        <v>650</v>
      </c>
      <c r="F17" t="s">
        <v>664</v>
      </c>
      <c r="G17" t="s">
        <v>705</v>
      </c>
      <c r="H17" s="9" t="s">
        <v>711</v>
      </c>
      <c r="I17" s="9" t="s">
        <v>718</v>
      </c>
      <c r="J17" s="9" t="s">
        <v>731</v>
      </c>
      <c r="K17" t="s">
        <v>749</v>
      </c>
      <c r="L17" s="7">
        <v>756.51</v>
      </c>
      <c r="M17" s="7">
        <v>850.8</v>
      </c>
      <c r="N17" s="5">
        <v>7.3999999999999996E-2</v>
      </c>
      <c r="O17">
        <v>9</v>
      </c>
      <c r="P17" s="2">
        <f t="shared" si="0"/>
        <v>45046</v>
      </c>
      <c r="Q17" t="str">
        <f t="shared" si="1"/>
        <v>Ok</v>
      </c>
      <c r="R17">
        <f>ABS(Table2[[#This Row],[UnitPrice]])</f>
        <v>850.8</v>
      </c>
      <c r="S17">
        <f t="shared" si="2"/>
        <v>7</v>
      </c>
      <c r="T17" s="12">
        <f t="shared" si="3"/>
        <v>7090.5672000000004</v>
      </c>
      <c r="U17">
        <f>Table2[[#This Row],[UnitCost]]*Table2[[#This Row],[Quantity]]</f>
        <v>6808.59</v>
      </c>
      <c r="V17" s="13">
        <f t="shared" si="4"/>
        <v>281.97720000000027</v>
      </c>
      <c r="W17" s="5">
        <f t="shared" si="5"/>
        <v>3.9767932810791252E-2</v>
      </c>
      <c r="X17" s="17" t="str">
        <f t="shared" si="6"/>
        <v>Apr-2023</v>
      </c>
      <c r="Z17" t="str">
        <f t="shared" si="7"/>
        <v>Africa. Kenya. Nairobi</v>
      </c>
      <c r="AA17" t="str">
        <f t="shared" si="8"/>
        <v>Low</v>
      </c>
      <c r="AB17" t="str">
        <f t="array" ref="AB17">TEXT(MIN(IF($E$2:$E$633=E17, $B$2:$B$633)), "YYYY-MM")</f>
        <v>2023-01</v>
      </c>
      <c r="AC17" s="13">
        <f>SUM($T$2:T17)</f>
        <v>190285.39824999994</v>
      </c>
    </row>
    <row r="18" spans="1:29" x14ac:dyDescent="0.45">
      <c r="A18" t="s">
        <v>31</v>
      </c>
      <c r="B18" s="2">
        <v>45636</v>
      </c>
      <c r="C18" s="2">
        <v>45665</v>
      </c>
      <c r="D18" t="s">
        <v>649</v>
      </c>
      <c r="E18" t="s">
        <v>657</v>
      </c>
      <c r="F18" t="s">
        <v>673</v>
      </c>
      <c r="G18" t="s">
        <v>705</v>
      </c>
      <c r="H18" s="9" t="s">
        <v>707</v>
      </c>
      <c r="I18" s="9" t="s">
        <v>723</v>
      </c>
      <c r="J18" s="9" t="s">
        <v>728</v>
      </c>
      <c r="K18" t="s">
        <v>750</v>
      </c>
      <c r="L18" s="7">
        <v>891.08</v>
      </c>
      <c r="M18" s="7">
        <v>1040.0999999999999</v>
      </c>
      <c r="N18" s="5">
        <v>0.109</v>
      </c>
      <c r="O18">
        <v>28</v>
      </c>
      <c r="P18" s="2">
        <f t="shared" si="0"/>
        <v>45665</v>
      </c>
      <c r="Q18" t="str">
        <f t="shared" si="1"/>
        <v>Ok</v>
      </c>
      <c r="R18">
        <f>ABS(Table2[[#This Row],[UnitPrice]])</f>
        <v>1040.0999999999999</v>
      </c>
      <c r="S18">
        <f t="shared" si="2"/>
        <v>29</v>
      </c>
      <c r="T18" s="12">
        <f t="shared" si="3"/>
        <v>25948.414799999995</v>
      </c>
      <c r="U18">
        <f>Table2[[#This Row],[UnitCost]]*Table2[[#This Row],[Quantity]]</f>
        <v>24950.240000000002</v>
      </c>
      <c r="V18" s="13">
        <f t="shared" si="4"/>
        <v>998.17479999999341</v>
      </c>
      <c r="W18" s="5">
        <f t="shared" si="5"/>
        <v>3.8467660074556598E-2</v>
      </c>
      <c r="X18" s="17" t="str">
        <f t="shared" si="6"/>
        <v>Dec-2024</v>
      </c>
      <c r="Z18" t="str">
        <f t="shared" si="7"/>
        <v>Europe. France. Marseille</v>
      </c>
      <c r="AA18" t="str">
        <f t="shared" si="8"/>
        <v>Low</v>
      </c>
      <c r="AB18" t="str">
        <f t="array" ref="AB18">TEXT(MIN(IF($E$2:$E$633=E18, $B$2:$B$633)), "YYYY-MM")</f>
        <v>2023-01</v>
      </c>
      <c r="AC18" s="13">
        <f>SUM($T$2:T18)</f>
        <v>216233.81304999994</v>
      </c>
    </row>
    <row r="19" spans="1:29" x14ac:dyDescent="0.45">
      <c r="A19" t="s">
        <v>32</v>
      </c>
      <c r="B19" s="2">
        <v>45908</v>
      </c>
      <c r="C19" s="2">
        <v>45916</v>
      </c>
      <c r="D19" t="s">
        <v>647</v>
      </c>
      <c r="E19" t="s">
        <v>652</v>
      </c>
      <c r="F19" t="s">
        <v>666</v>
      </c>
      <c r="G19" t="s">
        <v>701</v>
      </c>
      <c r="H19" s="9" t="s">
        <v>710</v>
      </c>
      <c r="I19" s="9" t="s">
        <v>712</v>
      </c>
      <c r="J19" s="9" t="s">
        <v>730</v>
      </c>
      <c r="K19" t="s">
        <v>751</v>
      </c>
      <c r="L19" s="7">
        <v>1225.57</v>
      </c>
      <c r="M19" s="7">
        <v>2705.57</v>
      </c>
      <c r="N19" s="5">
        <v>0.183</v>
      </c>
      <c r="O19">
        <v>16</v>
      </c>
      <c r="P19" s="2">
        <f t="shared" si="0"/>
        <v>45916</v>
      </c>
      <c r="Q19" t="str">
        <f t="shared" si="1"/>
        <v>Ok</v>
      </c>
      <c r="R19">
        <f>ABS(Table2[[#This Row],[UnitPrice]])</f>
        <v>2705.57</v>
      </c>
      <c r="S19">
        <f t="shared" si="2"/>
        <v>8</v>
      </c>
      <c r="T19" s="12">
        <f t="shared" si="3"/>
        <v>35367.211040000002</v>
      </c>
      <c r="U19">
        <f>Table2[[#This Row],[UnitCost]]*Table2[[#This Row],[Quantity]]</f>
        <v>19609.12</v>
      </c>
      <c r="V19" s="13">
        <f t="shared" si="4"/>
        <v>15758.091040000003</v>
      </c>
      <c r="W19" s="5">
        <f t="shared" si="5"/>
        <v>0.44555650775453404</v>
      </c>
      <c r="X19" s="17" t="str">
        <f t="shared" si="6"/>
        <v>Sep-2025</v>
      </c>
      <c r="Z19" t="str">
        <f t="shared" si="7"/>
        <v>Asia. Japan. Osaka</v>
      </c>
      <c r="AA19" t="str">
        <f t="shared" si="8"/>
        <v>High</v>
      </c>
      <c r="AB19" t="str">
        <f t="array" ref="AB19">TEXT(MIN(IF($E$2:$E$633=E19, $B$2:$B$633)), "YYYY-MM")</f>
        <v>2023-03</v>
      </c>
      <c r="AC19" s="13">
        <f>SUM($T$2:T19)</f>
        <v>251601.02408999993</v>
      </c>
    </row>
    <row r="20" spans="1:29" x14ac:dyDescent="0.45">
      <c r="A20" t="s">
        <v>33</v>
      </c>
      <c r="B20" s="2">
        <v>45858</v>
      </c>
      <c r="C20" s="2">
        <v>45874</v>
      </c>
      <c r="D20" t="s">
        <v>648</v>
      </c>
      <c r="E20" t="s">
        <v>655</v>
      </c>
      <c r="F20" t="s">
        <v>672</v>
      </c>
      <c r="G20" t="s">
        <v>706</v>
      </c>
      <c r="H20" s="9" t="s">
        <v>709</v>
      </c>
      <c r="I20" s="9" t="s">
        <v>715</v>
      </c>
      <c r="J20" s="9" t="s">
        <v>733</v>
      </c>
      <c r="K20" t="s">
        <v>752</v>
      </c>
      <c r="L20" s="7">
        <v>1068.17</v>
      </c>
      <c r="M20" s="7">
        <v>2375.37</v>
      </c>
      <c r="N20" s="5">
        <v>0.109</v>
      </c>
      <c r="O20">
        <v>18</v>
      </c>
      <c r="P20" s="2">
        <f t="shared" si="0"/>
        <v>45874</v>
      </c>
      <c r="Q20" t="str">
        <f t="shared" si="1"/>
        <v>Ok</v>
      </c>
      <c r="R20">
        <f>ABS(Table2[[#This Row],[UnitPrice]])</f>
        <v>2375.37</v>
      </c>
      <c r="S20">
        <f t="shared" si="2"/>
        <v>16</v>
      </c>
      <c r="T20" s="12">
        <f t="shared" si="3"/>
        <v>38096.18406</v>
      </c>
      <c r="U20">
        <f>Table2[[#This Row],[UnitCost]]*Table2[[#This Row],[Quantity]]</f>
        <v>19227.060000000001</v>
      </c>
      <c r="V20" s="13">
        <f t="shared" si="4"/>
        <v>18869.124059999998</v>
      </c>
      <c r="W20" s="5">
        <f t="shared" si="5"/>
        <v>0.49530220744108822</v>
      </c>
      <c r="X20" s="17" t="str">
        <f t="shared" si="6"/>
        <v>Jul-2025</v>
      </c>
      <c r="Z20" t="str">
        <f t="shared" si="7"/>
        <v>Americas. Brazil. Brasília</v>
      </c>
      <c r="AA20" t="str">
        <f t="shared" si="8"/>
        <v>High</v>
      </c>
      <c r="AB20" t="str">
        <f t="array" ref="AB20">TEXT(MIN(IF($E$2:$E$633=E20, $B$2:$B$633)), "YYYY-MM")</f>
        <v>2023-01</v>
      </c>
      <c r="AC20" s="13">
        <f>SUM($T$2:T20)</f>
        <v>289697.20814999996</v>
      </c>
    </row>
    <row r="21" spans="1:29" x14ac:dyDescent="0.45">
      <c r="A21" t="s">
        <v>34</v>
      </c>
      <c r="B21" s="2">
        <v>45798</v>
      </c>
      <c r="C21" s="2">
        <v>45796</v>
      </c>
      <c r="D21" t="s">
        <v>649</v>
      </c>
      <c r="E21" t="s">
        <v>658</v>
      </c>
      <c r="F21" t="s">
        <v>674</v>
      </c>
      <c r="G21" t="s">
        <v>706</v>
      </c>
      <c r="H21" s="9" t="s">
        <v>708</v>
      </c>
      <c r="I21" s="9" t="s">
        <v>724</v>
      </c>
      <c r="J21" s="9" t="s">
        <v>731</v>
      </c>
      <c r="K21" t="s">
        <v>753</v>
      </c>
      <c r="L21" s="7">
        <v>1015.16</v>
      </c>
      <c r="M21" s="7">
        <v>2148.14</v>
      </c>
      <c r="N21" s="5">
        <v>3.7999999999999999E-2</v>
      </c>
      <c r="O21">
        <v>19</v>
      </c>
      <c r="P21" s="2">
        <f t="shared" si="0"/>
        <v>45805</v>
      </c>
      <c r="Q21" t="str">
        <f t="shared" si="1"/>
        <v>Ok</v>
      </c>
      <c r="R21">
        <f>ABS(Table2[[#This Row],[UnitPrice]])</f>
        <v>2148.14</v>
      </c>
      <c r="S21">
        <f t="shared" si="2"/>
        <v>7</v>
      </c>
      <c r="T21" s="12">
        <f t="shared" si="3"/>
        <v>39263.702919999996</v>
      </c>
      <c r="U21">
        <f>Table2[[#This Row],[UnitCost]]*Table2[[#This Row],[Quantity]]</f>
        <v>19288.04</v>
      </c>
      <c r="V21" s="13">
        <f t="shared" si="4"/>
        <v>19975.662919999995</v>
      </c>
      <c r="W21" s="5">
        <f t="shared" si="5"/>
        <v>0.50875647059322227</v>
      </c>
      <c r="X21" s="17" t="str">
        <f t="shared" si="6"/>
        <v>May-2025</v>
      </c>
      <c r="Z21" t="str">
        <f t="shared" si="7"/>
        <v>Europe. United Kingdom. Birmingham</v>
      </c>
      <c r="AA21" t="str">
        <f t="shared" si="8"/>
        <v>High</v>
      </c>
      <c r="AB21" t="str">
        <f t="array" ref="AB21">TEXT(MIN(IF($E$2:$E$633=E21, $B$2:$B$633)), "YYYY-MM")</f>
        <v>2023-01</v>
      </c>
      <c r="AC21" s="13">
        <f>SUM($T$2:T21)</f>
        <v>328960.91106999997</v>
      </c>
    </row>
    <row r="22" spans="1:29" x14ac:dyDescent="0.45">
      <c r="A22" t="s">
        <v>35</v>
      </c>
      <c r="B22" s="2">
        <v>45498</v>
      </c>
      <c r="C22" s="2">
        <v>45497</v>
      </c>
      <c r="D22" t="s">
        <v>646</v>
      </c>
      <c r="E22" t="s">
        <v>650</v>
      </c>
      <c r="F22" t="s">
        <v>675</v>
      </c>
      <c r="G22" t="s">
        <v>703</v>
      </c>
      <c r="H22" s="9" t="s">
        <v>711</v>
      </c>
      <c r="I22" s="9" t="s">
        <v>713</v>
      </c>
      <c r="J22" s="9" t="s">
        <v>731</v>
      </c>
      <c r="K22" t="s">
        <v>754</v>
      </c>
      <c r="L22" s="7">
        <v>1494.4</v>
      </c>
      <c r="M22" s="7">
        <v>3661.07</v>
      </c>
      <c r="N22" s="5">
        <v>7.1999999999999995E-2</v>
      </c>
      <c r="O22">
        <v>7</v>
      </c>
      <c r="P22" s="2">
        <f t="shared" si="0"/>
        <v>45505</v>
      </c>
      <c r="Q22" t="str">
        <f t="shared" si="1"/>
        <v>Ok</v>
      </c>
      <c r="R22">
        <f>ABS(Table2[[#This Row],[UnitPrice]])</f>
        <v>3661.07</v>
      </c>
      <c r="S22">
        <f t="shared" si="2"/>
        <v>7</v>
      </c>
      <c r="T22" s="12">
        <f t="shared" si="3"/>
        <v>23782.310720000001</v>
      </c>
      <c r="U22">
        <f>Table2[[#This Row],[UnitCost]]*Table2[[#This Row],[Quantity]]</f>
        <v>10460.800000000001</v>
      </c>
      <c r="V22" s="13">
        <f t="shared" si="4"/>
        <v>13321.51072</v>
      </c>
      <c r="W22" s="5">
        <f t="shared" si="5"/>
        <v>0.56014366630897339</v>
      </c>
      <c r="X22" s="17" t="str">
        <f t="shared" si="6"/>
        <v>Jul-2024</v>
      </c>
      <c r="Z22" t="str">
        <f t="shared" si="7"/>
        <v>Africa. Kenya. Mombasa</v>
      </c>
      <c r="AA22" t="str">
        <f t="shared" si="8"/>
        <v>High</v>
      </c>
      <c r="AB22" t="str">
        <f t="array" ref="AB22">TEXT(MIN(IF($E$2:$E$633=E22, $B$2:$B$633)), "YYYY-MM")</f>
        <v>2023-01</v>
      </c>
      <c r="AC22" s="13">
        <f>SUM($T$2:T22)</f>
        <v>352743.22178999998</v>
      </c>
    </row>
    <row r="23" spans="1:29" x14ac:dyDescent="0.45">
      <c r="A23" t="s">
        <v>36</v>
      </c>
      <c r="B23" s="2">
        <v>45057</v>
      </c>
      <c r="C23" s="2">
        <v>45074</v>
      </c>
      <c r="D23" t="s">
        <v>647</v>
      </c>
      <c r="E23" t="s">
        <v>659</v>
      </c>
      <c r="F23" t="s">
        <v>676</v>
      </c>
      <c r="G23" t="s">
        <v>706</v>
      </c>
      <c r="H23" s="9" t="s">
        <v>709</v>
      </c>
      <c r="I23" s="9" t="s">
        <v>718</v>
      </c>
      <c r="J23" s="9" t="s">
        <v>729</v>
      </c>
      <c r="K23" t="s">
        <v>755</v>
      </c>
      <c r="L23" s="7">
        <v>1331.19</v>
      </c>
      <c r="M23" s="7">
        <v>2903.09</v>
      </c>
      <c r="N23" s="5">
        <v>0.14299999999999999</v>
      </c>
      <c r="O23">
        <v>8</v>
      </c>
      <c r="P23" s="2">
        <f t="shared" si="0"/>
        <v>45074</v>
      </c>
      <c r="Q23" t="str">
        <f t="shared" si="1"/>
        <v>Ok</v>
      </c>
      <c r="R23">
        <f>ABS(Table2[[#This Row],[UnitPrice]])</f>
        <v>2903.09</v>
      </c>
      <c r="S23">
        <f t="shared" si="2"/>
        <v>17</v>
      </c>
      <c r="T23" s="12">
        <f t="shared" si="3"/>
        <v>19903.585040000002</v>
      </c>
      <c r="U23">
        <f>Table2[[#This Row],[UnitCost]]*Table2[[#This Row],[Quantity]]</f>
        <v>10649.52</v>
      </c>
      <c r="V23" s="13">
        <f t="shared" si="4"/>
        <v>9254.0650400000013</v>
      </c>
      <c r="W23" s="5">
        <f t="shared" si="5"/>
        <v>0.46494463290920784</v>
      </c>
      <c r="X23" s="17" t="str">
        <f t="shared" si="6"/>
        <v>May-2023</v>
      </c>
      <c r="Z23" t="str">
        <f t="shared" si="7"/>
        <v>Asia. China. Shenzhen</v>
      </c>
      <c r="AA23" t="str">
        <f t="shared" si="8"/>
        <v>High</v>
      </c>
      <c r="AB23" t="str">
        <f t="array" ref="AB23">TEXT(MIN(IF($E$2:$E$633=E23, $B$2:$B$633)), "YYYY-MM")</f>
        <v>2023-01</v>
      </c>
      <c r="AC23" s="13">
        <f>SUM($T$2:T23)</f>
        <v>372646.80682999996</v>
      </c>
    </row>
    <row r="24" spans="1:29" x14ac:dyDescent="0.45">
      <c r="A24" t="s">
        <v>37</v>
      </c>
      <c r="B24" s="2">
        <v>45822</v>
      </c>
      <c r="C24" s="2">
        <v>45837</v>
      </c>
      <c r="D24" t="s">
        <v>646</v>
      </c>
      <c r="E24" t="s">
        <v>651</v>
      </c>
      <c r="F24" t="s">
        <v>663</v>
      </c>
      <c r="G24" t="s">
        <v>704</v>
      </c>
      <c r="H24" s="9" t="s">
        <v>709</v>
      </c>
      <c r="I24" s="9" t="s">
        <v>724</v>
      </c>
      <c r="J24" s="9" t="s">
        <v>733</v>
      </c>
      <c r="K24" t="s">
        <v>756</v>
      </c>
      <c r="L24" s="7">
        <v>730.99</v>
      </c>
      <c r="M24" s="7">
        <v>1242.8399999999999</v>
      </c>
      <c r="N24" s="5">
        <v>0.12</v>
      </c>
      <c r="O24">
        <v>10</v>
      </c>
      <c r="P24" s="2">
        <f t="shared" si="0"/>
        <v>45837</v>
      </c>
      <c r="Q24" t="str">
        <f t="shared" si="1"/>
        <v>Ok</v>
      </c>
      <c r="R24">
        <f>ABS(Table2[[#This Row],[UnitPrice]])</f>
        <v>1242.8399999999999</v>
      </c>
      <c r="S24">
        <f t="shared" si="2"/>
        <v>15</v>
      </c>
      <c r="T24" s="12">
        <f t="shared" si="3"/>
        <v>10936.992</v>
      </c>
      <c r="U24">
        <f>Table2[[#This Row],[UnitCost]]*Table2[[#This Row],[Quantity]]</f>
        <v>7309.9</v>
      </c>
      <c r="V24" s="13">
        <f t="shared" si="4"/>
        <v>3627.0920000000006</v>
      </c>
      <c r="W24" s="5">
        <f t="shared" si="5"/>
        <v>0.33163524303574515</v>
      </c>
      <c r="X24" s="17" t="str">
        <f t="shared" si="6"/>
        <v>Jun-2025</v>
      </c>
      <c r="Z24" t="str">
        <f t="shared" si="7"/>
        <v>Africa. Nigeria. Port Harcourt</v>
      </c>
      <c r="AA24" t="str">
        <f t="shared" si="8"/>
        <v>High</v>
      </c>
      <c r="AB24" t="str">
        <f t="array" ref="AB24">TEXT(MIN(IF($E$2:$E$633=E24, $B$2:$B$633)), "YYYY-MM")</f>
        <v>2023-01</v>
      </c>
      <c r="AC24" s="13">
        <f>SUM($T$2:T24)</f>
        <v>383583.79882999999</v>
      </c>
    </row>
    <row r="25" spans="1:29" x14ac:dyDescent="0.45">
      <c r="A25" t="s">
        <v>38</v>
      </c>
      <c r="B25" s="2">
        <v>45430</v>
      </c>
      <c r="C25" s="2">
        <v>45435</v>
      </c>
      <c r="D25" t="s">
        <v>648</v>
      </c>
      <c r="E25" t="s">
        <v>660</v>
      </c>
      <c r="F25" t="s">
        <v>677</v>
      </c>
      <c r="G25" t="s">
        <v>706</v>
      </c>
      <c r="H25" s="9" t="s">
        <v>707</v>
      </c>
      <c r="I25" s="9" t="s">
        <v>722</v>
      </c>
      <c r="J25" s="9" t="s">
        <v>731</v>
      </c>
      <c r="K25" t="s">
        <v>757</v>
      </c>
      <c r="L25" s="7">
        <v>1274.5899999999999</v>
      </c>
      <c r="M25" s="7">
        <v>2553.69</v>
      </c>
      <c r="N25" s="5">
        <v>0.01</v>
      </c>
      <c r="O25">
        <v>8</v>
      </c>
      <c r="P25" s="2">
        <f t="shared" si="0"/>
        <v>45435</v>
      </c>
      <c r="Q25" t="str">
        <f t="shared" si="1"/>
        <v>Ok</v>
      </c>
      <c r="R25">
        <f>ABS(Table2[[#This Row],[UnitPrice]])</f>
        <v>2553.69</v>
      </c>
      <c r="S25">
        <f t="shared" si="2"/>
        <v>5</v>
      </c>
      <c r="T25" s="12">
        <f t="shared" si="3"/>
        <v>20225.2248</v>
      </c>
      <c r="U25">
        <f>Table2[[#This Row],[UnitCost]]*Table2[[#This Row],[Quantity]]</f>
        <v>10196.719999999999</v>
      </c>
      <c r="V25" s="13">
        <f t="shared" si="4"/>
        <v>10028.504800000001</v>
      </c>
      <c r="W25" s="5">
        <f t="shared" si="5"/>
        <v>0.49584145042481803</v>
      </c>
      <c r="X25" s="17" t="str">
        <f t="shared" si="6"/>
        <v>May-2024</v>
      </c>
      <c r="Z25" t="str">
        <f t="shared" si="7"/>
        <v>Americas. USA. Chicago</v>
      </c>
      <c r="AA25" t="str">
        <f t="shared" si="8"/>
        <v>High</v>
      </c>
      <c r="AB25" t="str">
        <f t="array" ref="AB25">TEXT(MIN(IF($E$2:$E$633=E25, $B$2:$B$633)), "YYYY-MM")</f>
        <v>2023-01</v>
      </c>
      <c r="AC25" s="13">
        <f>SUM($T$2:T25)</f>
        <v>403809.02363000001</v>
      </c>
    </row>
    <row r="26" spans="1:29" x14ac:dyDescent="0.45">
      <c r="A26" t="s">
        <v>39</v>
      </c>
      <c r="B26" s="2">
        <v>44964</v>
      </c>
      <c r="C26" s="2">
        <v>44969</v>
      </c>
      <c r="D26" t="s">
        <v>648</v>
      </c>
      <c r="E26" t="s">
        <v>655</v>
      </c>
      <c r="F26" t="s">
        <v>670</v>
      </c>
      <c r="G26" t="s">
        <v>702</v>
      </c>
      <c r="H26" s="9" t="s">
        <v>708</v>
      </c>
      <c r="I26" s="9" t="s">
        <v>725</v>
      </c>
      <c r="J26" s="9" t="s">
        <v>727</v>
      </c>
      <c r="K26" t="s">
        <v>758</v>
      </c>
      <c r="L26" s="7">
        <v>948.55</v>
      </c>
      <c r="M26" s="7">
        <v>2089.16</v>
      </c>
      <c r="N26" s="5">
        <v>7.0000000000000001E-3</v>
      </c>
      <c r="O26">
        <v>12</v>
      </c>
      <c r="P26" s="2">
        <f t="shared" si="0"/>
        <v>44969</v>
      </c>
      <c r="Q26" t="str">
        <f t="shared" si="1"/>
        <v>Ok</v>
      </c>
      <c r="R26">
        <f>ABS(Table2[[#This Row],[UnitPrice]])</f>
        <v>2089.16</v>
      </c>
      <c r="S26">
        <f t="shared" si="2"/>
        <v>5</v>
      </c>
      <c r="T26" s="12">
        <f t="shared" si="3"/>
        <v>24894.430559999997</v>
      </c>
      <c r="U26">
        <f>Table2[[#This Row],[UnitCost]]*Table2[[#This Row],[Quantity]]</f>
        <v>11382.599999999999</v>
      </c>
      <c r="V26" s="13">
        <f t="shared" si="4"/>
        <v>13511.830559999999</v>
      </c>
      <c r="W26" s="5">
        <f t="shared" si="5"/>
        <v>0.54276519912492427</v>
      </c>
      <c r="X26" s="17" t="str">
        <f t="shared" si="6"/>
        <v>Feb-2023</v>
      </c>
      <c r="Z26" t="str">
        <f t="shared" si="7"/>
        <v>Americas. Brazil. São Paulo</v>
      </c>
      <c r="AA26" t="str">
        <f t="shared" si="8"/>
        <v>High</v>
      </c>
      <c r="AB26" t="str">
        <f t="array" ref="AB26">TEXT(MIN(IF($E$2:$E$633=E26, $B$2:$B$633)), "YYYY-MM")</f>
        <v>2023-01</v>
      </c>
      <c r="AC26" s="13">
        <f>SUM($T$2:T26)</f>
        <v>428703.45419000002</v>
      </c>
    </row>
    <row r="27" spans="1:29" x14ac:dyDescent="0.45">
      <c r="A27" t="s">
        <v>40</v>
      </c>
      <c r="B27" s="2">
        <v>45473</v>
      </c>
      <c r="C27" s="2">
        <v>45487</v>
      </c>
      <c r="D27" t="s">
        <v>648</v>
      </c>
      <c r="E27" t="s">
        <v>655</v>
      </c>
      <c r="F27" t="s">
        <v>672</v>
      </c>
      <c r="G27" t="s">
        <v>702</v>
      </c>
      <c r="H27" s="9" t="s">
        <v>707</v>
      </c>
      <c r="I27" s="9" t="s">
        <v>712</v>
      </c>
      <c r="J27" s="9" t="s">
        <v>733</v>
      </c>
      <c r="K27" t="s">
        <v>759</v>
      </c>
      <c r="L27" s="7">
        <v>1491.85</v>
      </c>
      <c r="M27" s="7">
        <v>2583.02</v>
      </c>
      <c r="N27" s="5">
        <v>0.16800000000000001</v>
      </c>
      <c r="O27">
        <v>4</v>
      </c>
      <c r="P27" s="2">
        <f t="shared" si="0"/>
        <v>45487</v>
      </c>
      <c r="Q27" t="str">
        <f t="shared" si="1"/>
        <v>Ok</v>
      </c>
      <c r="R27">
        <f>ABS(Table2[[#This Row],[UnitPrice]])</f>
        <v>2583.02</v>
      </c>
      <c r="S27">
        <f t="shared" si="2"/>
        <v>14</v>
      </c>
      <c r="T27" s="12">
        <f t="shared" si="3"/>
        <v>8596.2905599999995</v>
      </c>
      <c r="U27">
        <f>Table2[[#This Row],[UnitCost]]*Table2[[#This Row],[Quantity]]</f>
        <v>5967.4</v>
      </c>
      <c r="V27" s="13">
        <f t="shared" si="4"/>
        <v>2628.8905599999998</v>
      </c>
      <c r="W27" s="5">
        <f t="shared" si="5"/>
        <v>0.30581685689321325</v>
      </c>
      <c r="X27" s="17" t="str">
        <f t="shared" si="6"/>
        <v>Jun-2024</v>
      </c>
      <c r="Z27" t="str">
        <f t="shared" si="7"/>
        <v>Americas. Brazil. Brasília</v>
      </c>
      <c r="AA27" t="str">
        <f t="shared" si="8"/>
        <v>High</v>
      </c>
      <c r="AB27" t="str">
        <f t="array" ref="AB27">TEXT(MIN(IF($E$2:$E$633=E27, $B$2:$B$633)), "YYYY-MM")</f>
        <v>2023-01</v>
      </c>
      <c r="AC27" s="13">
        <f>SUM($T$2:T27)</f>
        <v>437299.74475000001</v>
      </c>
    </row>
    <row r="28" spans="1:29" x14ac:dyDescent="0.45">
      <c r="A28" t="s">
        <v>41</v>
      </c>
      <c r="B28" s="2">
        <v>45626</v>
      </c>
      <c r="C28" s="2">
        <v>45656</v>
      </c>
      <c r="D28" t="s">
        <v>649</v>
      </c>
      <c r="E28" t="s">
        <v>657</v>
      </c>
      <c r="F28" t="s">
        <v>673</v>
      </c>
      <c r="G28" t="s">
        <v>704</v>
      </c>
      <c r="H28" s="9" t="s">
        <v>709</v>
      </c>
      <c r="I28" s="9" t="s">
        <v>721</v>
      </c>
      <c r="J28" s="9" t="s">
        <v>728</v>
      </c>
      <c r="K28" t="s">
        <v>760</v>
      </c>
      <c r="L28" s="7">
        <v>117.64</v>
      </c>
      <c r="M28" s="7">
        <v>175.67</v>
      </c>
      <c r="N28" s="5">
        <v>0</v>
      </c>
      <c r="O28">
        <v>10</v>
      </c>
      <c r="P28" s="2">
        <f t="shared" si="0"/>
        <v>45656</v>
      </c>
      <c r="Q28" t="str">
        <f t="shared" si="1"/>
        <v>Ok</v>
      </c>
      <c r="R28">
        <f>ABS(Table2[[#This Row],[UnitPrice]])</f>
        <v>175.67</v>
      </c>
      <c r="S28">
        <f t="shared" si="2"/>
        <v>30</v>
      </c>
      <c r="T28" s="12">
        <f t="shared" si="3"/>
        <v>1756.6999999999998</v>
      </c>
      <c r="U28">
        <f>Table2[[#This Row],[UnitCost]]*Table2[[#This Row],[Quantity]]</f>
        <v>1176.4000000000001</v>
      </c>
      <c r="V28" s="13">
        <f t="shared" si="4"/>
        <v>580.29999999999973</v>
      </c>
      <c r="W28" s="5">
        <f t="shared" si="5"/>
        <v>0.33033528775545046</v>
      </c>
      <c r="X28" s="17" t="str">
        <f t="shared" si="6"/>
        <v>Nov-2024</v>
      </c>
      <c r="Z28" t="str">
        <f t="shared" si="7"/>
        <v>Europe. France. Marseille</v>
      </c>
      <c r="AA28" t="str">
        <f t="shared" si="8"/>
        <v>Low</v>
      </c>
      <c r="AB28" t="str">
        <f t="array" ref="AB28">TEXT(MIN(IF($E$2:$E$633=E28, $B$2:$B$633)), "YYYY-MM")</f>
        <v>2023-01</v>
      </c>
      <c r="AC28" s="13">
        <f>SUM($T$2:T28)</f>
        <v>439056.44475000002</v>
      </c>
    </row>
    <row r="29" spans="1:29" x14ac:dyDescent="0.45">
      <c r="A29" t="s">
        <v>42</v>
      </c>
      <c r="B29" s="2">
        <v>45492</v>
      </c>
      <c r="C29" s="2">
        <v>45492</v>
      </c>
      <c r="D29" t="s">
        <v>646</v>
      </c>
      <c r="E29" t="s">
        <v>650</v>
      </c>
      <c r="F29" t="s">
        <v>662</v>
      </c>
      <c r="G29" t="s">
        <v>705</v>
      </c>
      <c r="H29" s="9" t="s">
        <v>707</v>
      </c>
      <c r="I29" s="9" t="s">
        <v>720</v>
      </c>
      <c r="J29" s="9" t="s">
        <v>730</v>
      </c>
      <c r="K29" t="s">
        <v>761</v>
      </c>
      <c r="L29" s="7">
        <v>857.24</v>
      </c>
      <c r="M29" s="7">
        <v>758.23</v>
      </c>
      <c r="N29" s="5">
        <v>0.125</v>
      </c>
      <c r="O29">
        <v>6</v>
      </c>
      <c r="P29" s="2">
        <f t="shared" si="0"/>
        <v>45492</v>
      </c>
      <c r="Q29" t="str">
        <f t="shared" si="1"/>
        <v>Ok</v>
      </c>
      <c r="R29">
        <f>ABS(Table2[[#This Row],[UnitPrice]])</f>
        <v>758.23</v>
      </c>
      <c r="S29">
        <f t="shared" si="2"/>
        <v>0</v>
      </c>
      <c r="T29" s="12">
        <f t="shared" si="3"/>
        <v>3980.7075</v>
      </c>
      <c r="U29">
        <f>Table2[[#This Row],[UnitCost]]*Table2[[#This Row],[Quantity]]</f>
        <v>5143.4400000000005</v>
      </c>
      <c r="V29" s="13">
        <f t="shared" si="4"/>
        <v>-1162.7325000000005</v>
      </c>
      <c r="W29" s="5">
        <f t="shared" si="5"/>
        <v>-0.29209192084572921</v>
      </c>
      <c r="X29" s="17" t="str">
        <f t="shared" si="6"/>
        <v>Jul-2024</v>
      </c>
      <c r="Z29" t="str">
        <f t="shared" si="7"/>
        <v>Africa. Kenya. Kisumu</v>
      </c>
      <c r="AA29" t="str">
        <f t="shared" si="8"/>
        <v>Low</v>
      </c>
      <c r="AB29" t="str">
        <f t="array" ref="AB29">TEXT(MIN(IF($E$2:$E$633=E29, $B$2:$B$633)), "YYYY-MM")</f>
        <v>2023-01</v>
      </c>
      <c r="AC29" s="13">
        <f>SUM($T$2:T29)</f>
        <v>443037.15225000004</v>
      </c>
    </row>
    <row r="30" spans="1:29" x14ac:dyDescent="0.45">
      <c r="A30" t="s">
        <v>43</v>
      </c>
      <c r="B30" s="2">
        <v>45030</v>
      </c>
      <c r="C30" s="2">
        <v>45060</v>
      </c>
      <c r="D30" t="s">
        <v>646</v>
      </c>
      <c r="E30" t="s">
        <v>650</v>
      </c>
      <c r="F30" t="s">
        <v>678</v>
      </c>
      <c r="G30" t="s">
        <v>704</v>
      </c>
      <c r="H30" s="9" t="s">
        <v>709</v>
      </c>
      <c r="I30" s="9" t="s">
        <v>724</v>
      </c>
      <c r="J30" s="9" t="s">
        <v>730</v>
      </c>
      <c r="K30" t="s">
        <v>762</v>
      </c>
      <c r="L30" s="7">
        <v>209.25</v>
      </c>
      <c r="M30" s="7">
        <v>434.8</v>
      </c>
      <c r="N30" s="5">
        <v>0</v>
      </c>
      <c r="O30">
        <v>9</v>
      </c>
      <c r="P30" s="2">
        <f t="shared" si="0"/>
        <v>45060</v>
      </c>
      <c r="Q30" t="str">
        <f t="shared" si="1"/>
        <v>Ok</v>
      </c>
      <c r="R30">
        <f>ABS(Table2[[#This Row],[UnitPrice]])</f>
        <v>434.8</v>
      </c>
      <c r="S30">
        <f t="shared" si="2"/>
        <v>30</v>
      </c>
      <c r="T30" s="12">
        <f t="shared" si="3"/>
        <v>3913.2000000000003</v>
      </c>
      <c r="U30">
        <f>Table2[[#This Row],[UnitCost]]*Table2[[#This Row],[Quantity]]</f>
        <v>1883.25</v>
      </c>
      <c r="V30" s="13">
        <f t="shared" si="4"/>
        <v>2029.9500000000003</v>
      </c>
      <c r="W30" s="5">
        <f t="shared" si="5"/>
        <v>0.51874425022999082</v>
      </c>
      <c r="X30" s="17" t="str">
        <f t="shared" si="6"/>
        <v>Apr-2023</v>
      </c>
      <c r="Z30" t="str">
        <f t="shared" si="7"/>
        <v>Africa. Kenya. Nakuru</v>
      </c>
      <c r="AA30" t="str">
        <f t="shared" si="8"/>
        <v>Low</v>
      </c>
      <c r="AB30" t="str">
        <f t="array" ref="AB30">TEXT(MIN(IF($E$2:$E$633=E30, $B$2:$B$633)), "YYYY-MM")</f>
        <v>2023-01</v>
      </c>
      <c r="AC30" s="13">
        <f>SUM($T$2:T30)</f>
        <v>446950.35225000005</v>
      </c>
    </row>
    <row r="31" spans="1:29" x14ac:dyDescent="0.45">
      <c r="A31" t="s">
        <v>44</v>
      </c>
      <c r="B31" s="2">
        <v>45754</v>
      </c>
      <c r="C31" s="2">
        <v>45758</v>
      </c>
      <c r="D31" t="s">
        <v>649</v>
      </c>
      <c r="E31" t="s">
        <v>657</v>
      </c>
      <c r="F31" t="s">
        <v>679</v>
      </c>
      <c r="G31" t="s">
        <v>702</v>
      </c>
      <c r="H31" s="9" t="s">
        <v>707</v>
      </c>
      <c r="I31" s="9" t="s">
        <v>718</v>
      </c>
      <c r="J31" s="9" t="s">
        <v>729</v>
      </c>
      <c r="K31" t="s">
        <v>763</v>
      </c>
      <c r="L31" s="7">
        <v>754.77</v>
      </c>
      <c r="M31" s="7">
        <v>1666.18</v>
      </c>
      <c r="N31" s="5">
        <v>0.13900000000000001</v>
      </c>
      <c r="O31">
        <v>14</v>
      </c>
      <c r="P31" s="2">
        <f t="shared" si="0"/>
        <v>45758</v>
      </c>
      <c r="Q31" t="str">
        <f t="shared" si="1"/>
        <v>Ok</v>
      </c>
      <c r="R31">
        <f>ABS(Table2[[#This Row],[UnitPrice]])</f>
        <v>1666.18</v>
      </c>
      <c r="S31">
        <f t="shared" si="2"/>
        <v>4</v>
      </c>
      <c r="T31" s="12">
        <f t="shared" si="3"/>
        <v>20084.133720000002</v>
      </c>
      <c r="U31">
        <f>Table2[[#This Row],[UnitCost]]*Table2[[#This Row],[Quantity]]</f>
        <v>10566.779999999999</v>
      </c>
      <c r="V31" s="13">
        <f t="shared" si="4"/>
        <v>9517.3537200000028</v>
      </c>
      <c r="W31" s="5">
        <f t="shared" si="5"/>
        <v>0.47387424584424653</v>
      </c>
      <c r="X31" s="17" t="str">
        <f t="shared" si="6"/>
        <v>Apr-2025</v>
      </c>
      <c r="Z31" t="str">
        <f t="shared" si="7"/>
        <v>Europe. France. Lyon</v>
      </c>
      <c r="AA31" t="str">
        <f t="shared" si="8"/>
        <v>High</v>
      </c>
      <c r="AB31" t="str">
        <f t="array" ref="AB31">TEXT(MIN(IF($E$2:$E$633=E31, $B$2:$B$633)), "YYYY-MM")</f>
        <v>2023-01</v>
      </c>
      <c r="AC31" s="13">
        <f>SUM($T$2:T31)</f>
        <v>467034.48597000004</v>
      </c>
    </row>
    <row r="32" spans="1:29" x14ac:dyDescent="0.45">
      <c r="A32" t="s">
        <v>45</v>
      </c>
      <c r="B32" s="2">
        <v>45653</v>
      </c>
      <c r="C32" s="2">
        <v>45672</v>
      </c>
      <c r="D32" t="s">
        <v>647</v>
      </c>
      <c r="E32" t="s">
        <v>654</v>
      </c>
      <c r="F32" t="s">
        <v>680</v>
      </c>
      <c r="G32" t="s">
        <v>703</v>
      </c>
      <c r="H32" s="9" t="s">
        <v>710</v>
      </c>
      <c r="I32" s="9" t="s">
        <v>715</v>
      </c>
      <c r="J32" s="9" t="s">
        <v>727</v>
      </c>
      <c r="K32" t="s">
        <v>764</v>
      </c>
      <c r="L32" s="7">
        <v>495.59</v>
      </c>
      <c r="M32" s="7">
        <v>631.78</v>
      </c>
      <c r="N32" s="5">
        <v>8.6999999999999994E-2</v>
      </c>
      <c r="O32">
        <v>17</v>
      </c>
      <c r="P32" s="2">
        <f t="shared" si="0"/>
        <v>45672</v>
      </c>
      <c r="Q32" t="str">
        <f t="shared" si="1"/>
        <v>Ok</v>
      </c>
      <c r="R32">
        <f>ABS(Table2[[#This Row],[UnitPrice]])</f>
        <v>631.78</v>
      </c>
      <c r="S32">
        <f t="shared" si="2"/>
        <v>19</v>
      </c>
      <c r="T32" s="12">
        <f t="shared" si="3"/>
        <v>9805.8573800000013</v>
      </c>
      <c r="U32">
        <f>Table2[[#This Row],[UnitCost]]*Table2[[#This Row],[Quantity]]</f>
        <v>8425.0299999999988</v>
      </c>
      <c r="V32" s="13">
        <f t="shared" si="4"/>
        <v>1380.8273800000024</v>
      </c>
      <c r="W32" s="5">
        <f t="shared" si="5"/>
        <v>0.14081658813601899</v>
      </c>
      <c r="X32" s="17" t="str">
        <f t="shared" si="6"/>
        <v>Dec-2024</v>
      </c>
      <c r="Z32" t="str">
        <f t="shared" si="7"/>
        <v>Asia. India. Delhi</v>
      </c>
      <c r="AA32" t="str">
        <f t="shared" si="8"/>
        <v>Low</v>
      </c>
      <c r="AB32" t="str">
        <f t="array" ref="AB32">TEXT(MIN(IF($E$2:$E$633=E32, $B$2:$B$633)), "YYYY-MM")</f>
        <v>2023-01</v>
      </c>
      <c r="AC32" s="13">
        <f>SUM($T$2:T32)</f>
        <v>476840.34335000004</v>
      </c>
    </row>
    <row r="33" spans="1:29" x14ac:dyDescent="0.45">
      <c r="A33" t="s">
        <v>46</v>
      </c>
      <c r="B33" s="2">
        <v>44980</v>
      </c>
      <c r="C33" s="2">
        <v>45010</v>
      </c>
      <c r="D33" t="s">
        <v>648</v>
      </c>
      <c r="E33" t="s">
        <v>653</v>
      </c>
      <c r="F33" t="s">
        <v>681</v>
      </c>
      <c r="G33" t="s">
        <v>706</v>
      </c>
      <c r="H33" s="9" t="s">
        <v>708</v>
      </c>
      <c r="I33" s="9" t="s">
        <v>726</v>
      </c>
      <c r="J33" s="9" t="s">
        <v>730</v>
      </c>
      <c r="K33" t="s">
        <v>765</v>
      </c>
      <c r="L33" s="7">
        <v>1242.6600000000001</v>
      </c>
      <c r="M33" s="7">
        <v>1794.07</v>
      </c>
      <c r="N33" s="5">
        <v>8.8999999999999996E-2</v>
      </c>
      <c r="O33">
        <v>16</v>
      </c>
      <c r="P33" s="2">
        <f t="shared" si="0"/>
        <v>45010</v>
      </c>
      <c r="Q33" t="str">
        <f t="shared" si="1"/>
        <v>Ok</v>
      </c>
      <c r="R33">
        <f>ABS(Table2[[#This Row],[UnitPrice]])</f>
        <v>1794.07</v>
      </c>
      <c r="S33">
        <f t="shared" si="2"/>
        <v>30</v>
      </c>
      <c r="T33" s="12">
        <f t="shared" si="3"/>
        <v>26150.364320000001</v>
      </c>
      <c r="U33">
        <f>Table2[[#This Row],[UnitCost]]*Table2[[#This Row],[Quantity]]</f>
        <v>19882.560000000001</v>
      </c>
      <c r="V33" s="13">
        <f t="shared" si="4"/>
        <v>6267.8043199999993</v>
      </c>
      <c r="W33" s="5">
        <f t="shared" si="5"/>
        <v>0.23968325042440553</v>
      </c>
      <c r="X33" s="17" t="str">
        <f t="shared" si="6"/>
        <v>Feb-2023</v>
      </c>
      <c r="Z33" t="str">
        <f t="shared" si="7"/>
        <v>Americas. Canada. Montreal</v>
      </c>
      <c r="AA33" t="str">
        <f t="shared" si="8"/>
        <v>High</v>
      </c>
      <c r="AB33" t="str">
        <f t="array" ref="AB33">TEXT(MIN(IF($E$2:$E$633=E33, $B$2:$B$633)), "YYYY-MM")</f>
        <v>2023-01</v>
      </c>
      <c r="AC33" s="13">
        <f>SUM($T$2:T33)</f>
        <v>502990.70767000003</v>
      </c>
    </row>
    <row r="34" spans="1:29" x14ac:dyDescent="0.45">
      <c r="A34" t="s">
        <v>47</v>
      </c>
      <c r="B34" s="2">
        <v>45862</v>
      </c>
      <c r="C34" s="2">
        <v>45875</v>
      </c>
      <c r="D34" t="s">
        <v>646</v>
      </c>
      <c r="E34" t="s">
        <v>661</v>
      </c>
      <c r="F34" t="s">
        <v>682</v>
      </c>
      <c r="G34" t="s">
        <v>702</v>
      </c>
      <c r="H34" s="9" t="s">
        <v>709</v>
      </c>
      <c r="I34" s="9" t="s">
        <v>726</v>
      </c>
      <c r="J34" s="9" t="s">
        <v>729</v>
      </c>
      <c r="K34" t="s">
        <v>766</v>
      </c>
      <c r="L34" s="7">
        <v>1463.9</v>
      </c>
      <c r="M34" s="7">
        <v>2633.02</v>
      </c>
      <c r="N34" s="5">
        <v>8.4000000000000005E-2</v>
      </c>
      <c r="O34">
        <v>4</v>
      </c>
      <c r="P34" s="2">
        <f t="shared" si="0"/>
        <v>45875</v>
      </c>
      <c r="Q34" t="str">
        <f t="shared" si="1"/>
        <v>Ok</v>
      </c>
      <c r="R34">
        <f>ABS(Table2[[#This Row],[UnitPrice]])</f>
        <v>2633.02</v>
      </c>
      <c r="S34">
        <f t="shared" si="2"/>
        <v>13</v>
      </c>
      <c r="T34" s="12">
        <f t="shared" si="3"/>
        <v>9647.3852800000004</v>
      </c>
      <c r="U34">
        <f>Table2[[#This Row],[UnitCost]]*Table2[[#This Row],[Quantity]]</f>
        <v>5855.6</v>
      </c>
      <c r="V34" s="13">
        <f t="shared" si="4"/>
        <v>3791.7852800000001</v>
      </c>
      <c r="W34" s="5">
        <f t="shared" si="5"/>
        <v>0.39303761277791527</v>
      </c>
      <c r="X34" s="17" t="str">
        <f t="shared" si="6"/>
        <v>Jul-2025</v>
      </c>
      <c r="Z34" t="str">
        <f t="shared" si="7"/>
        <v>Africa. South Africa. Johannesburg</v>
      </c>
      <c r="AA34" t="str">
        <f t="shared" si="8"/>
        <v>High</v>
      </c>
      <c r="AB34" t="str">
        <f t="array" ref="AB34">TEXT(MIN(IF($E$2:$E$633=E34, $B$2:$B$633)), "YYYY-MM")</f>
        <v>2023-01</v>
      </c>
      <c r="AC34" s="13">
        <f>SUM($T$2:T34)</f>
        <v>512638.09295000002</v>
      </c>
    </row>
    <row r="35" spans="1:29" x14ac:dyDescent="0.45">
      <c r="A35" t="s">
        <v>48</v>
      </c>
      <c r="B35" s="2">
        <v>45400</v>
      </c>
      <c r="C35" s="2">
        <v>45420</v>
      </c>
      <c r="D35" t="s">
        <v>649</v>
      </c>
      <c r="E35" t="s">
        <v>658</v>
      </c>
      <c r="F35" t="s">
        <v>683</v>
      </c>
      <c r="G35" t="s">
        <v>703</v>
      </c>
      <c r="H35" s="9" t="s">
        <v>1422</v>
      </c>
      <c r="I35" s="9" t="s">
        <v>726</v>
      </c>
      <c r="J35" s="9" t="s">
        <v>731</v>
      </c>
      <c r="K35" t="s">
        <v>767</v>
      </c>
      <c r="L35" s="7">
        <v>645.33000000000004</v>
      </c>
      <c r="M35" s="7">
        <v>1321.85</v>
      </c>
      <c r="N35" s="5">
        <v>0</v>
      </c>
      <c r="O35">
        <v>10</v>
      </c>
      <c r="P35" s="2">
        <f t="shared" si="0"/>
        <v>45420</v>
      </c>
      <c r="Q35" t="str">
        <f t="shared" si="1"/>
        <v>Ok</v>
      </c>
      <c r="R35">
        <f>ABS(Table2[[#This Row],[UnitPrice]])</f>
        <v>1321.85</v>
      </c>
      <c r="S35">
        <f t="shared" si="2"/>
        <v>20</v>
      </c>
      <c r="T35" s="12">
        <f t="shared" si="3"/>
        <v>13218.5</v>
      </c>
      <c r="U35">
        <f>Table2[[#This Row],[UnitCost]]*Table2[[#This Row],[Quantity]]</f>
        <v>6453.3</v>
      </c>
      <c r="V35" s="13">
        <f t="shared" si="4"/>
        <v>6765.2</v>
      </c>
      <c r="W35" s="5">
        <f t="shared" si="5"/>
        <v>0.51179785906116426</v>
      </c>
      <c r="X35" s="17" t="str">
        <f t="shared" si="6"/>
        <v>Apr-2024</v>
      </c>
      <c r="Z35" t="str">
        <f t="shared" si="7"/>
        <v>Europe. United Kingdom. London</v>
      </c>
      <c r="AA35" t="str">
        <f t="shared" si="8"/>
        <v>High</v>
      </c>
      <c r="AB35" t="str">
        <f t="array" ref="AB35">TEXT(MIN(IF($E$2:$E$633=E35, $B$2:$B$633)), "YYYY-MM")</f>
        <v>2023-01</v>
      </c>
      <c r="AC35" s="13">
        <f>SUM($T$2:T35)</f>
        <v>525856.59294999996</v>
      </c>
    </row>
    <row r="36" spans="1:29" x14ac:dyDescent="0.45">
      <c r="A36" t="s">
        <v>49</v>
      </c>
      <c r="B36" s="2">
        <v>45527</v>
      </c>
      <c r="C36" s="2">
        <v>45525</v>
      </c>
      <c r="D36" t="s">
        <v>646</v>
      </c>
      <c r="E36" t="s">
        <v>661</v>
      </c>
      <c r="F36" t="s">
        <v>682</v>
      </c>
      <c r="G36" t="s">
        <v>702</v>
      </c>
      <c r="H36" s="9" t="s">
        <v>707</v>
      </c>
      <c r="I36" s="9" t="s">
        <v>718</v>
      </c>
      <c r="J36" s="9" t="s">
        <v>727</v>
      </c>
      <c r="K36" t="s">
        <v>768</v>
      </c>
      <c r="L36" s="7">
        <v>1432.52</v>
      </c>
      <c r="M36" s="7">
        <v>3036.87</v>
      </c>
      <c r="N36" s="5">
        <v>0</v>
      </c>
      <c r="O36">
        <v>9</v>
      </c>
      <c r="P36" s="2">
        <f t="shared" si="0"/>
        <v>45534</v>
      </c>
      <c r="Q36" t="str">
        <f t="shared" si="1"/>
        <v>Ok</v>
      </c>
      <c r="R36">
        <f>ABS(Table2[[#This Row],[UnitPrice]])</f>
        <v>3036.87</v>
      </c>
      <c r="S36">
        <f t="shared" si="2"/>
        <v>7</v>
      </c>
      <c r="T36" s="12">
        <f t="shared" si="3"/>
        <v>27331.829999999998</v>
      </c>
      <c r="U36">
        <f>Table2[[#This Row],[UnitCost]]*Table2[[#This Row],[Quantity]]</f>
        <v>12892.68</v>
      </c>
      <c r="V36" s="13">
        <f t="shared" si="4"/>
        <v>14439.149999999998</v>
      </c>
      <c r="W36" s="5">
        <f t="shared" si="5"/>
        <v>0.52829064135112791</v>
      </c>
      <c r="X36" s="17" t="str">
        <f t="shared" si="6"/>
        <v>Aug-2024</v>
      </c>
      <c r="Z36" t="str">
        <f t="shared" si="7"/>
        <v>Africa. South Africa. Johannesburg</v>
      </c>
      <c r="AA36" t="str">
        <f t="shared" si="8"/>
        <v>High</v>
      </c>
      <c r="AB36" t="str">
        <f t="array" ref="AB36">TEXT(MIN(IF($E$2:$E$633=E36, $B$2:$B$633)), "YYYY-MM")</f>
        <v>2023-01</v>
      </c>
      <c r="AC36" s="13">
        <f>SUM($T$2:T36)</f>
        <v>553188.42294999992</v>
      </c>
    </row>
    <row r="37" spans="1:29" x14ac:dyDescent="0.45">
      <c r="A37" t="s">
        <v>50</v>
      </c>
      <c r="B37" s="2">
        <v>45012</v>
      </c>
      <c r="C37" s="2">
        <v>45038</v>
      </c>
      <c r="D37" t="s">
        <v>647</v>
      </c>
      <c r="E37" t="s">
        <v>654</v>
      </c>
      <c r="F37" t="s">
        <v>680</v>
      </c>
      <c r="G37" t="s">
        <v>703</v>
      </c>
      <c r="H37" s="9" t="s">
        <v>709</v>
      </c>
      <c r="I37" s="9" t="s">
        <v>713</v>
      </c>
      <c r="J37" s="9" t="s">
        <v>728</v>
      </c>
      <c r="K37" t="s">
        <v>769</v>
      </c>
      <c r="L37" s="7">
        <v>178.53</v>
      </c>
      <c r="M37" s="7">
        <v>199.37</v>
      </c>
      <c r="N37" s="5">
        <v>0.10100000000000001</v>
      </c>
      <c r="O37">
        <v>37</v>
      </c>
      <c r="P37" s="2">
        <f t="shared" si="0"/>
        <v>45038</v>
      </c>
      <c r="Q37" t="str">
        <f t="shared" si="1"/>
        <v>Ok</v>
      </c>
      <c r="R37">
        <f>ABS(Table2[[#This Row],[UnitPrice]])</f>
        <v>199.37</v>
      </c>
      <c r="S37">
        <f t="shared" si="2"/>
        <v>26</v>
      </c>
      <c r="T37" s="12">
        <f t="shared" si="3"/>
        <v>6631.6443100000006</v>
      </c>
      <c r="U37">
        <f>Table2[[#This Row],[UnitCost]]*Table2[[#This Row],[Quantity]]</f>
        <v>6605.61</v>
      </c>
      <c r="V37" s="13">
        <f t="shared" si="4"/>
        <v>26.034310000000914</v>
      </c>
      <c r="W37" s="5">
        <f t="shared" si="5"/>
        <v>3.9257699573457538E-3</v>
      </c>
      <c r="X37" s="17" t="str">
        <f t="shared" si="6"/>
        <v>Mar-2023</v>
      </c>
      <c r="Z37" t="str">
        <f t="shared" si="7"/>
        <v>Asia. India. Delhi</v>
      </c>
      <c r="AA37" t="str">
        <f t="shared" si="8"/>
        <v>Low</v>
      </c>
      <c r="AB37" t="str">
        <f t="array" ref="AB37">TEXT(MIN(IF($E$2:$E$633=E37, $B$2:$B$633)), "YYYY-MM")</f>
        <v>2023-01</v>
      </c>
      <c r="AC37" s="13">
        <f>SUM($T$2:T37)</f>
        <v>559820.06725999992</v>
      </c>
    </row>
    <row r="38" spans="1:29" x14ac:dyDescent="0.45">
      <c r="A38" t="s">
        <v>51</v>
      </c>
      <c r="B38" s="2">
        <v>45358</v>
      </c>
      <c r="C38" s="2">
        <v>45376</v>
      </c>
      <c r="D38" t="s">
        <v>649</v>
      </c>
      <c r="E38" t="s">
        <v>656</v>
      </c>
      <c r="F38" t="s">
        <v>684</v>
      </c>
      <c r="G38" t="s">
        <v>701</v>
      </c>
      <c r="H38" s="9" t="s">
        <v>708</v>
      </c>
      <c r="I38" s="9" t="s">
        <v>717</v>
      </c>
      <c r="J38" s="9" t="s">
        <v>727</v>
      </c>
      <c r="K38" t="s">
        <v>770</v>
      </c>
      <c r="L38" s="7">
        <v>712.84</v>
      </c>
      <c r="M38" s="7">
        <v>927.51</v>
      </c>
      <c r="N38" s="5">
        <v>0.24299999999999999</v>
      </c>
      <c r="O38">
        <v>27</v>
      </c>
      <c r="P38" s="2">
        <f t="shared" si="0"/>
        <v>45376</v>
      </c>
      <c r="Q38" t="str">
        <f t="shared" si="1"/>
        <v>Ok</v>
      </c>
      <c r="R38">
        <f>ABS(Table2[[#This Row],[UnitPrice]])</f>
        <v>927.51</v>
      </c>
      <c r="S38">
        <f t="shared" si="2"/>
        <v>18</v>
      </c>
      <c r="T38" s="12">
        <f t="shared" si="3"/>
        <v>18957.37689</v>
      </c>
      <c r="U38">
        <f>Table2[[#This Row],[UnitCost]]*Table2[[#This Row],[Quantity]]</f>
        <v>19246.68</v>
      </c>
      <c r="V38" s="13">
        <f t="shared" si="4"/>
        <v>-289.30311000000074</v>
      </c>
      <c r="W38" s="5">
        <f t="shared" si="5"/>
        <v>-1.5260714163076427E-2</v>
      </c>
      <c r="X38" s="17" t="str">
        <f t="shared" si="6"/>
        <v>Mar-2024</v>
      </c>
      <c r="Z38" t="str">
        <f t="shared" si="7"/>
        <v>Europe. Germany. Munich</v>
      </c>
      <c r="AA38" t="str">
        <f t="shared" si="8"/>
        <v>Low</v>
      </c>
      <c r="AB38" t="str">
        <f t="array" ref="AB38">TEXT(MIN(IF($E$2:$E$633=E38, $B$2:$B$633)), "YYYY-MM")</f>
        <v>2023-01</v>
      </c>
      <c r="AC38" s="13">
        <f>SUM($T$2:T38)</f>
        <v>578777.44414999988</v>
      </c>
    </row>
    <row r="39" spans="1:29" x14ac:dyDescent="0.45">
      <c r="A39" t="s">
        <v>52</v>
      </c>
      <c r="B39" s="2">
        <v>45832</v>
      </c>
      <c r="C39" s="2">
        <v>45848</v>
      </c>
      <c r="D39" t="s">
        <v>647</v>
      </c>
      <c r="E39" t="s">
        <v>659</v>
      </c>
      <c r="F39" t="s">
        <v>685</v>
      </c>
      <c r="G39" t="s">
        <v>706</v>
      </c>
      <c r="H39" s="9" t="s">
        <v>711</v>
      </c>
      <c r="I39" s="9" t="s">
        <v>725</v>
      </c>
      <c r="J39" s="9" t="s">
        <v>727</v>
      </c>
      <c r="K39" t="s">
        <v>771</v>
      </c>
      <c r="L39" s="7">
        <v>757.19</v>
      </c>
      <c r="M39" s="7">
        <v>1735.41</v>
      </c>
      <c r="N39" s="5">
        <v>0.13600000000000001</v>
      </c>
      <c r="O39">
        <v>8</v>
      </c>
      <c r="P39" s="2">
        <f t="shared" si="0"/>
        <v>45848</v>
      </c>
      <c r="Q39" t="str">
        <f t="shared" si="1"/>
        <v>Ok</v>
      </c>
      <c r="R39">
        <f>ABS(Table2[[#This Row],[UnitPrice]])</f>
        <v>1735.41</v>
      </c>
      <c r="S39">
        <f t="shared" si="2"/>
        <v>16</v>
      </c>
      <c r="T39" s="12">
        <f t="shared" si="3"/>
        <v>11995.153920000001</v>
      </c>
      <c r="U39">
        <f>Table2[[#This Row],[UnitCost]]*Table2[[#This Row],[Quantity]]</f>
        <v>6057.52</v>
      </c>
      <c r="V39" s="13">
        <f t="shared" si="4"/>
        <v>5937.6339200000002</v>
      </c>
      <c r="W39" s="5">
        <f t="shared" si="5"/>
        <v>0.4950027285685718</v>
      </c>
      <c r="X39" s="17" t="str">
        <f t="shared" si="6"/>
        <v>Jun-2025</v>
      </c>
      <c r="Z39" t="str">
        <f t="shared" si="7"/>
        <v>Asia. China. Shanghai</v>
      </c>
      <c r="AA39" t="str">
        <f t="shared" si="8"/>
        <v>High</v>
      </c>
      <c r="AB39" t="str">
        <f t="array" ref="AB39">TEXT(MIN(IF($E$2:$E$633=E39, $B$2:$B$633)), "YYYY-MM")</f>
        <v>2023-01</v>
      </c>
      <c r="AC39" s="13">
        <f>SUM($T$2:T39)</f>
        <v>590772.59806999983</v>
      </c>
    </row>
    <row r="40" spans="1:29" x14ac:dyDescent="0.45">
      <c r="A40" t="s">
        <v>53</v>
      </c>
      <c r="B40" s="2">
        <v>45401</v>
      </c>
      <c r="C40" s="2">
        <v>45418</v>
      </c>
      <c r="D40" t="s">
        <v>646</v>
      </c>
      <c r="E40" t="s">
        <v>651</v>
      </c>
      <c r="F40" t="s">
        <v>663</v>
      </c>
      <c r="G40" t="s">
        <v>703</v>
      </c>
      <c r="H40" s="9" t="s">
        <v>708</v>
      </c>
      <c r="I40" s="9" t="s">
        <v>720</v>
      </c>
      <c r="J40" s="9" t="s">
        <v>728</v>
      </c>
      <c r="K40" t="s">
        <v>772</v>
      </c>
      <c r="L40" s="7">
        <v>865.33</v>
      </c>
      <c r="M40" s="7">
        <v>1395.64</v>
      </c>
      <c r="N40" s="5">
        <v>0.17499999999999999</v>
      </c>
      <c r="O40">
        <v>13</v>
      </c>
      <c r="P40" s="2">
        <f t="shared" si="0"/>
        <v>45418</v>
      </c>
      <c r="Q40" t="str">
        <f t="shared" si="1"/>
        <v>Ok</v>
      </c>
      <c r="R40">
        <f>ABS(Table2[[#This Row],[UnitPrice]])</f>
        <v>1395.64</v>
      </c>
      <c r="S40">
        <f t="shared" si="2"/>
        <v>17</v>
      </c>
      <c r="T40" s="12">
        <f t="shared" si="3"/>
        <v>14968.239</v>
      </c>
      <c r="U40">
        <f>Table2[[#This Row],[UnitCost]]*Table2[[#This Row],[Quantity]]</f>
        <v>11249.29</v>
      </c>
      <c r="V40" s="13">
        <f t="shared" si="4"/>
        <v>3718.9489999999987</v>
      </c>
      <c r="W40" s="5">
        <f t="shared" si="5"/>
        <v>0.24845601409758347</v>
      </c>
      <c r="X40" s="17" t="str">
        <f t="shared" si="6"/>
        <v>Apr-2024</v>
      </c>
      <c r="Z40" t="str">
        <f t="shared" si="7"/>
        <v>Africa. Nigeria. Port Harcourt</v>
      </c>
      <c r="AA40" t="str">
        <f t="shared" si="8"/>
        <v>High</v>
      </c>
      <c r="AB40" t="str">
        <f t="array" ref="AB40">TEXT(MIN(IF($E$2:$E$633=E40, $B$2:$B$633)), "YYYY-MM")</f>
        <v>2023-01</v>
      </c>
      <c r="AC40" s="13">
        <f>SUM($T$2:T40)</f>
        <v>605740.83706999978</v>
      </c>
    </row>
    <row r="41" spans="1:29" x14ac:dyDescent="0.45">
      <c r="A41" t="s">
        <v>54</v>
      </c>
      <c r="B41" s="2">
        <v>45094</v>
      </c>
      <c r="C41" s="2">
        <v>45101</v>
      </c>
      <c r="D41" t="s">
        <v>648</v>
      </c>
      <c r="E41" t="s">
        <v>660</v>
      </c>
      <c r="F41" t="s">
        <v>686</v>
      </c>
      <c r="G41" t="s">
        <v>701</v>
      </c>
      <c r="H41" s="9" t="s">
        <v>707</v>
      </c>
      <c r="I41" s="9" t="s">
        <v>714</v>
      </c>
      <c r="J41" s="9" t="s">
        <v>728</v>
      </c>
      <c r="K41" t="s">
        <v>773</v>
      </c>
      <c r="L41" s="7">
        <v>313.99</v>
      </c>
      <c r="M41" s="7">
        <v>454.42</v>
      </c>
      <c r="N41" s="5">
        <v>0.129</v>
      </c>
      <c r="O41">
        <v>9</v>
      </c>
      <c r="P41" s="2">
        <f t="shared" si="0"/>
        <v>45101</v>
      </c>
      <c r="Q41" t="str">
        <f t="shared" si="1"/>
        <v>Ok</v>
      </c>
      <c r="R41">
        <f>ABS(Table2[[#This Row],[UnitPrice]])</f>
        <v>454.42</v>
      </c>
      <c r="S41">
        <f t="shared" si="2"/>
        <v>7</v>
      </c>
      <c r="T41" s="12">
        <f t="shared" si="3"/>
        <v>3562.1983800000003</v>
      </c>
      <c r="U41">
        <f>Table2[[#This Row],[UnitCost]]*Table2[[#This Row],[Quantity]]</f>
        <v>2825.91</v>
      </c>
      <c r="V41" s="13">
        <f t="shared" si="4"/>
        <v>736.28838000000042</v>
      </c>
      <c r="W41" s="5">
        <f t="shared" si="5"/>
        <v>0.20669493988147858</v>
      </c>
      <c r="X41" s="17" t="str">
        <f t="shared" si="6"/>
        <v>Jun-2023</v>
      </c>
      <c r="Z41" t="str">
        <f t="shared" si="7"/>
        <v>Americas. USA. San Francisco</v>
      </c>
      <c r="AA41" t="str">
        <f t="shared" si="8"/>
        <v>Low</v>
      </c>
      <c r="AB41" t="str">
        <f t="array" ref="AB41">TEXT(MIN(IF($E$2:$E$633=E41, $B$2:$B$633)), "YYYY-MM")</f>
        <v>2023-01</v>
      </c>
      <c r="AC41" s="13">
        <f>SUM($T$2:T41)</f>
        <v>609303.03544999973</v>
      </c>
    </row>
    <row r="42" spans="1:29" x14ac:dyDescent="0.45">
      <c r="A42" t="s">
        <v>55</v>
      </c>
      <c r="B42" s="2">
        <v>45531</v>
      </c>
      <c r="C42" s="2">
        <v>45554</v>
      </c>
      <c r="D42" t="s">
        <v>649</v>
      </c>
      <c r="E42" t="s">
        <v>656</v>
      </c>
      <c r="F42" t="s">
        <v>671</v>
      </c>
      <c r="G42" t="s">
        <v>705</v>
      </c>
      <c r="H42" s="9" t="s">
        <v>711</v>
      </c>
      <c r="I42" s="9" t="s">
        <v>726</v>
      </c>
      <c r="J42" s="9" t="s">
        <v>732</v>
      </c>
      <c r="K42" t="s">
        <v>774</v>
      </c>
      <c r="L42" s="7">
        <v>1024.01</v>
      </c>
      <c r="M42" s="7">
        <v>1580.97</v>
      </c>
      <c r="N42" s="5">
        <v>3.6999999999999998E-2</v>
      </c>
      <c r="O42">
        <v>27</v>
      </c>
      <c r="P42" s="2">
        <f t="shared" si="0"/>
        <v>45554</v>
      </c>
      <c r="Q42" t="str">
        <f t="shared" si="1"/>
        <v>Ok</v>
      </c>
      <c r="R42">
        <f>ABS(Table2[[#This Row],[UnitPrice]])</f>
        <v>1580.97</v>
      </c>
      <c r="S42">
        <f t="shared" si="2"/>
        <v>23</v>
      </c>
      <c r="T42" s="12">
        <f t="shared" si="3"/>
        <v>41106.800970000004</v>
      </c>
      <c r="U42">
        <f>Table2[[#This Row],[UnitCost]]*Table2[[#This Row],[Quantity]]</f>
        <v>27648.27</v>
      </c>
      <c r="V42" s="13">
        <f t="shared" si="4"/>
        <v>13458.530970000003</v>
      </c>
      <c r="W42" s="5">
        <f t="shared" si="5"/>
        <v>0.3274039976942531</v>
      </c>
      <c r="X42" s="17" t="str">
        <f t="shared" si="6"/>
        <v>Aug-2024</v>
      </c>
      <c r="Z42" t="str">
        <f t="shared" si="7"/>
        <v>Europe. Germany. Berlin</v>
      </c>
      <c r="AA42" t="str">
        <f t="shared" si="8"/>
        <v>High</v>
      </c>
      <c r="AB42" t="str">
        <f t="array" ref="AB42">TEXT(MIN(IF($E$2:$E$633=E42, $B$2:$B$633)), "YYYY-MM")</f>
        <v>2023-01</v>
      </c>
      <c r="AC42" s="13">
        <f>SUM($T$2:T42)</f>
        <v>650409.83641999972</v>
      </c>
    </row>
    <row r="43" spans="1:29" x14ac:dyDescent="0.45">
      <c r="A43" t="s">
        <v>56</v>
      </c>
      <c r="B43" s="2">
        <v>45302</v>
      </c>
      <c r="C43" s="2">
        <v>45324</v>
      </c>
      <c r="D43" t="s">
        <v>646</v>
      </c>
      <c r="E43" t="s">
        <v>661</v>
      </c>
      <c r="F43" t="s">
        <v>687</v>
      </c>
      <c r="G43" t="s">
        <v>704</v>
      </c>
      <c r="H43" s="9" t="s">
        <v>708</v>
      </c>
      <c r="I43" s="9" t="s">
        <v>723</v>
      </c>
      <c r="J43" s="9" t="s">
        <v>729</v>
      </c>
      <c r="K43" t="s">
        <v>775</v>
      </c>
      <c r="L43" s="7">
        <v>1206.2</v>
      </c>
      <c r="M43" s="7">
        <v>1759.79</v>
      </c>
      <c r="N43" s="5">
        <v>0</v>
      </c>
      <c r="O43">
        <v>6</v>
      </c>
      <c r="P43" s="2">
        <f t="shared" si="0"/>
        <v>45324</v>
      </c>
      <c r="Q43" t="str">
        <f t="shared" si="1"/>
        <v>Ok</v>
      </c>
      <c r="R43">
        <f>ABS(Table2[[#This Row],[UnitPrice]])</f>
        <v>1759.79</v>
      </c>
      <c r="S43">
        <f t="shared" si="2"/>
        <v>22</v>
      </c>
      <c r="T43" s="12">
        <f t="shared" si="3"/>
        <v>10558.74</v>
      </c>
      <c r="U43">
        <f>Table2[[#This Row],[UnitCost]]*Table2[[#This Row],[Quantity]]</f>
        <v>7237.2000000000007</v>
      </c>
      <c r="V43" s="13">
        <f t="shared" si="4"/>
        <v>3321.5399999999991</v>
      </c>
      <c r="W43" s="5">
        <f t="shared" si="5"/>
        <v>0.31457730751964713</v>
      </c>
      <c r="X43" s="17" t="str">
        <f t="shared" si="6"/>
        <v>Jan-2024</v>
      </c>
      <c r="Z43" t="str">
        <f t="shared" si="7"/>
        <v>Africa. South Africa. Durban</v>
      </c>
      <c r="AA43" t="str">
        <f t="shared" si="8"/>
        <v>High</v>
      </c>
      <c r="AB43" t="str">
        <f t="array" ref="AB43">TEXT(MIN(IF($E$2:$E$633=E43, $B$2:$B$633)), "YYYY-MM")</f>
        <v>2023-01</v>
      </c>
      <c r="AC43" s="13">
        <f>SUM($T$2:T43)</f>
        <v>660968.57641999971</v>
      </c>
    </row>
    <row r="44" spans="1:29" x14ac:dyDescent="0.45">
      <c r="A44" t="s">
        <v>57</v>
      </c>
      <c r="B44" s="2">
        <v>45590</v>
      </c>
      <c r="C44" s="2">
        <v>45610</v>
      </c>
      <c r="D44" t="s">
        <v>646</v>
      </c>
      <c r="E44" t="s">
        <v>650</v>
      </c>
      <c r="F44" t="s">
        <v>675</v>
      </c>
      <c r="G44" t="s">
        <v>701</v>
      </c>
      <c r="H44" s="9" t="s">
        <v>711</v>
      </c>
      <c r="I44" s="9" t="s">
        <v>722</v>
      </c>
      <c r="J44" s="9" t="s">
        <v>728</v>
      </c>
      <c r="K44" t="s">
        <v>776</v>
      </c>
      <c r="L44" s="7">
        <v>1396.48</v>
      </c>
      <c r="M44" s="7">
        <v>3204.5</v>
      </c>
      <c r="N44" s="5">
        <v>0.318</v>
      </c>
      <c r="O44">
        <v>14</v>
      </c>
      <c r="P44" s="2">
        <f t="shared" si="0"/>
        <v>45610</v>
      </c>
      <c r="Q44" t="str">
        <f t="shared" si="1"/>
        <v>Ok</v>
      </c>
      <c r="R44">
        <f>ABS(Table2[[#This Row],[UnitPrice]])</f>
        <v>3204.5</v>
      </c>
      <c r="S44">
        <f t="shared" si="2"/>
        <v>20</v>
      </c>
      <c r="T44" s="12">
        <f t="shared" si="3"/>
        <v>30596.565999999999</v>
      </c>
      <c r="U44">
        <f>Table2[[#This Row],[UnitCost]]*Table2[[#This Row],[Quantity]]</f>
        <v>19550.72</v>
      </c>
      <c r="V44" s="13">
        <f t="shared" si="4"/>
        <v>11045.845999999998</v>
      </c>
      <c r="W44" s="5">
        <f t="shared" si="5"/>
        <v>0.36101587348070363</v>
      </c>
      <c r="X44" s="17" t="str">
        <f t="shared" si="6"/>
        <v>Oct-2024</v>
      </c>
      <c r="Z44" t="str">
        <f t="shared" si="7"/>
        <v>Africa. Kenya. Mombasa</v>
      </c>
      <c r="AA44" t="str">
        <f t="shared" si="8"/>
        <v>High</v>
      </c>
      <c r="AB44" t="str">
        <f t="array" ref="AB44">TEXT(MIN(IF($E$2:$E$633=E44, $B$2:$B$633)), "YYYY-MM")</f>
        <v>2023-01</v>
      </c>
      <c r="AC44" s="13">
        <f>SUM($T$2:T44)</f>
        <v>691565.1424199997</v>
      </c>
    </row>
    <row r="45" spans="1:29" x14ac:dyDescent="0.45">
      <c r="A45" t="s">
        <v>58</v>
      </c>
      <c r="B45" s="2">
        <v>45806</v>
      </c>
      <c r="C45" s="2">
        <v>45828</v>
      </c>
      <c r="D45" t="s">
        <v>649</v>
      </c>
      <c r="E45" t="s">
        <v>656</v>
      </c>
      <c r="F45" t="s">
        <v>671</v>
      </c>
      <c r="G45" t="s">
        <v>701</v>
      </c>
      <c r="H45" s="9" t="s">
        <v>711</v>
      </c>
      <c r="I45" s="9" t="s">
        <v>720</v>
      </c>
      <c r="J45" s="9" t="s">
        <v>728</v>
      </c>
      <c r="K45" t="s">
        <v>777</v>
      </c>
      <c r="L45" s="7">
        <v>483.47</v>
      </c>
      <c r="M45" s="7">
        <v>1135.43</v>
      </c>
      <c r="N45" s="5">
        <v>0.14599999999999999</v>
      </c>
      <c r="O45">
        <v>11</v>
      </c>
      <c r="P45" s="2">
        <f t="shared" si="0"/>
        <v>45828</v>
      </c>
      <c r="Q45" t="str">
        <f t="shared" si="1"/>
        <v>Ok</v>
      </c>
      <c r="R45">
        <f>ABS(Table2[[#This Row],[UnitPrice]])</f>
        <v>1135.43</v>
      </c>
      <c r="S45">
        <f t="shared" si="2"/>
        <v>22</v>
      </c>
      <c r="T45" s="12">
        <f t="shared" si="3"/>
        <v>10666.229420000001</v>
      </c>
      <c r="U45">
        <f>Table2[[#This Row],[UnitCost]]*Table2[[#This Row],[Quantity]]</f>
        <v>5318.17</v>
      </c>
      <c r="V45" s="13">
        <f t="shared" si="4"/>
        <v>5348.0594200000014</v>
      </c>
      <c r="W45" s="5">
        <f t="shared" si="5"/>
        <v>0.50140112399719983</v>
      </c>
      <c r="X45" s="17" t="str">
        <f t="shared" si="6"/>
        <v>May-2025</v>
      </c>
      <c r="Z45" t="str">
        <f t="shared" si="7"/>
        <v>Europe. Germany. Berlin</v>
      </c>
      <c r="AA45" t="str">
        <f t="shared" si="8"/>
        <v>Low</v>
      </c>
      <c r="AB45" t="str">
        <f t="array" ref="AB45">TEXT(MIN(IF($E$2:$E$633=E45, $B$2:$B$633)), "YYYY-MM")</f>
        <v>2023-01</v>
      </c>
      <c r="AC45" s="13">
        <f>SUM($T$2:T45)</f>
        <v>702231.37183999969</v>
      </c>
    </row>
    <row r="46" spans="1:29" x14ac:dyDescent="0.45">
      <c r="A46" t="s">
        <v>59</v>
      </c>
      <c r="B46" s="2">
        <v>45432</v>
      </c>
      <c r="C46" s="2">
        <v>45445</v>
      </c>
      <c r="D46" t="s">
        <v>648</v>
      </c>
      <c r="E46" t="s">
        <v>653</v>
      </c>
      <c r="F46" t="s">
        <v>688</v>
      </c>
      <c r="G46" t="s">
        <v>706</v>
      </c>
      <c r="H46" s="9" t="s">
        <v>709</v>
      </c>
      <c r="I46" s="9" t="s">
        <v>723</v>
      </c>
      <c r="J46" s="9" t="s">
        <v>727</v>
      </c>
      <c r="K46" t="s">
        <v>778</v>
      </c>
      <c r="L46" s="7">
        <v>675.43</v>
      </c>
      <c r="M46" s="7">
        <v>996.36</v>
      </c>
      <c r="N46" s="5">
        <v>0.182</v>
      </c>
      <c r="O46">
        <v>22</v>
      </c>
      <c r="P46" s="2">
        <f t="shared" si="0"/>
        <v>45445</v>
      </c>
      <c r="Q46" t="str">
        <f t="shared" si="1"/>
        <v>Ok</v>
      </c>
      <c r="R46">
        <f>ABS(Table2[[#This Row],[UnitPrice]])</f>
        <v>996.36</v>
      </c>
      <c r="S46">
        <f t="shared" si="2"/>
        <v>13</v>
      </c>
      <c r="T46" s="12">
        <f t="shared" si="3"/>
        <v>17930.494560000003</v>
      </c>
      <c r="U46">
        <f>Table2[[#This Row],[UnitCost]]*Table2[[#This Row],[Quantity]]</f>
        <v>14859.46</v>
      </c>
      <c r="V46" s="13">
        <f t="shared" si="4"/>
        <v>3071.0345600000037</v>
      </c>
      <c r="W46" s="5">
        <f t="shared" si="5"/>
        <v>0.17127439233332575</v>
      </c>
      <c r="X46" s="17" t="str">
        <f t="shared" si="6"/>
        <v>May-2024</v>
      </c>
      <c r="Z46" t="str">
        <f t="shared" si="7"/>
        <v>Americas. Canada. Vancouver</v>
      </c>
      <c r="AA46" t="str">
        <f t="shared" si="8"/>
        <v>Low</v>
      </c>
      <c r="AB46" t="str">
        <f t="array" ref="AB46">TEXT(MIN(IF($E$2:$E$633=E46, $B$2:$B$633)), "YYYY-MM")</f>
        <v>2023-01</v>
      </c>
      <c r="AC46" s="13">
        <f>SUM($T$2:T46)</f>
        <v>720161.86639999971</v>
      </c>
    </row>
    <row r="47" spans="1:29" x14ac:dyDescent="0.45">
      <c r="A47" t="s">
        <v>60</v>
      </c>
      <c r="B47" s="2">
        <v>45035</v>
      </c>
      <c r="C47" s="2">
        <v>45046</v>
      </c>
      <c r="D47" t="s">
        <v>647</v>
      </c>
      <c r="E47" t="s">
        <v>654</v>
      </c>
      <c r="F47" t="s">
        <v>680</v>
      </c>
      <c r="G47" t="s">
        <v>705</v>
      </c>
      <c r="H47" s="9" t="s">
        <v>707</v>
      </c>
      <c r="I47" s="9" t="s">
        <v>720</v>
      </c>
      <c r="J47" s="9" t="s">
        <v>729</v>
      </c>
      <c r="K47" t="s">
        <v>779</v>
      </c>
      <c r="L47" s="7">
        <v>826.55</v>
      </c>
      <c r="M47" s="7">
        <v>1397.05</v>
      </c>
      <c r="N47" s="5">
        <v>0.16900000000000001</v>
      </c>
      <c r="O47">
        <v>28</v>
      </c>
      <c r="P47" s="2">
        <f t="shared" si="0"/>
        <v>45046</v>
      </c>
      <c r="Q47" t="str">
        <f t="shared" si="1"/>
        <v>Ok</v>
      </c>
      <c r="R47">
        <f>ABS(Table2[[#This Row],[UnitPrice]])</f>
        <v>1397.05</v>
      </c>
      <c r="S47">
        <f t="shared" si="2"/>
        <v>11</v>
      </c>
      <c r="T47" s="12">
        <f t="shared" si="3"/>
        <v>32506.559399999998</v>
      </c>
      <c r="U47">
        <f>Table2[[#This Row],[UnitCost]]*Table2[[#This Row],[Quantity]]</f>
        <v>23143.399999999998</v>
      </c>
      <c r="V47" s="13">
        <f t="shared" si="4"/>
        <v>9363.1594000000005</v>
      </c>
      <c r="W47" s="5">
        <f t="shared" si="5"/>
        <v>0.28803907804527601</v>
      </c>
      <c r="X47" s="17" t="str">
        <f t="shared" si="6"/>
        <v>Apr-2023</v>
      </c>
      <c r="Z47" t="str">
        <f t="shared" si="7"/>
        <v>Asia. India. Delhi</v>
      </c>
      <c r="AA47" t="str">
        <f t="shared" si="8"/>
        <v>High</v>
      </c>
      <c r="AB47" t="str">
        <f t="array" ref="AB47">TEXT(MIN(IF($E$2:$E$633=E47, $B$2:$B$633)), "YYYY-MM")</f>
        <v>2023-01</v>
      </c>
      <c r="AC47" s="13">
        <f>SUM($T$2:T47)</f>
        <v>752668.42579999974</v>
      </c>
    </row>
    <row r="48" spans="1:29" x14ac:dyDescent="0.45">
      <c r="A48" t="s">
        <v>61</v>
      </c>
      <c r="B48" s="2">
        <v>45100</v>
      </c>
      <c r="C48" s="2">
        <v>45110</v>
      </c>
      <c r="D48" t="s">
        <v>646</v>
      </c>
      <c r="E48" t="s">
        <v>651</v>
      </c>
      <c r="F48" t="s">
        <v>669</v>
      </c>
      <c r="G48" t="s">
        <v>704</v>
      </c>
      <c r="H48" s="9" t="s">
        <v>708</v>
      </c>
      <c r="I48" s="9" t="s">
        <v>713</v>
      </c>
      <c r="J48" s="9" t="s">
        <v>728</v>
      </c>
      <c r="K48" t="s">
        <v>780</v>
      </c>
      <c r="L48" s="7">
        <v>337.75</v>
      </c>
      <c r="M48" s="7">
        <v>548.89</v>
      </c>
      <c r="N48" s="5">
        <v>0</v>
      </c>
      <c r="O48">
        <v>13</v>
      </c>
      <c r="P48" s="2">
        <f t="shared" si="0"/>
        <v>45110</v>
      </c>
      <c r="Q48" t="str">
        <f t="shared" si="1"/>
        <v>Ok</v>
      </c>
      <c r="R48">
        <f>ABS(Table2[[#This Row],[UnitPrice]])</f>
        <v>548.89</v>
      </c>
      <c r="S48">
        <f t="shared" si="2"/>
        <v>10</v>
      </c>
      <c r="T48" s="12">
        <f t="shared" si="3"/>
        <v>7135.57</v>
      </c>
      <c r="U48">
        <f>Table2[[#This Row],[UnitCost]]*Table2[[#This Row],[Quantity]]</f>
        <v>4390.75</v>
      </c>
      <c r="V48" s="13">
        <f t="shared" si="4"/>
        <v>2744.8199999999997</v>
      </c>
      <c r="W48" s="5">
        <f t="shared" si="5"/>
        <v>0.38466723751571352</v>
      </c>
      <c r="X48" s="17" t="str">
        <f t="shared" si="6"/>
        <v>Jun-2023</v>
      </c>
      <c r="Z48" t="str">
        <f t="shared" si="7"/>
        <v>Africa. Nigeria. Abuja</v>
      </c>
      <c r="AA48" t="str">
        <f t="shared" si="8"/>
        <v>Low</v>
      </c>
      <c r="AB48" t="str">
        <f t="array" ref="AB48">TEXT(MIN(IF($E$2:$E$633=E48, $B$2:$B$633)), "YYYY-MM")</f>
        <v>2023-01</v>
      </c>
      <c r="AC48" s="13">
        <f>SUM($T$2:T48)</f>
        <v>759803.99579999968</v>
      </c>
    </row>
    <row r="49" spans="1:29" x14ac:dyDescent="0.45">
      <c r="A49" t="s">
        <v>62</v>
      </c>
      <c r="B49" s="2">
        <v>45426</v>
      </c>
      <c r="C49" s="2">
        <v>45440</v>
      </c>
      <c r="D49" t="s">
        <v>649</v>
      </c>
      <c r="E49" t="s">
        <v>658</v>
      </c>
      <c r="F49" t="s">
        <v>674</v>
      </c>
      <c r="G49" t="s">
        <v>704</v>
      </c>
      <c r="H49" s="9" t="s">
        <v>707</v>
      </c>
      <c r="I49" s="9" t="s">
        <v>717</v>
      </c>
      <c r="J49" s="9" t="s">
        <v>729</v>
      </c>
      <c r="K49" t="s">
        <v>781</v>
      </c>
      <c r="L49" s="7">
        <v>1421.14</v>
      </c>
      <c r="M49" s="7">
        <v>3524</v>
      </c>
      <c r="N49" s="5">
        <v>0</v>
      </c>
      <c r="O49">
        <v>31</v>
      </c>
      <c r="P49" s="2">
        <f t="shared" si="0"/>
        <v>45440</v>
      </c>
      <c r="Q49" t="str">
        <f t="shared" si="1"/>
        <v>Ok</v>
      </c>
      <c r="R49">
        <f>ABS(Table2[[#This Row],[UnitPrice]])</f>
        <v>3524</v>
      </c>
      <c r="S49">
        <f t="shared" si="2"/>
        <v>14</v>
      </c>
      <c r="T49" s="12">
        <f t="shared" si="3"/>
        <v>109244</v>
      </c>
      <c r="U49">
        <f>Table2[[#This Row],[UnitCost]]*Table2[[#This Row],[Quantity]]</f>
        <v>44055.340000000004</v>
      </c>
      <c r="V49" s="13">
        <f t="shared" si="4"/>
        <v>65188.659999999996</v>
      </c>
      <c r="W49" s="5">
        <f t="shared" si="5"/>
        <v>0.59672531214528945</v>
      </c>
      <c r="X49" s="17" t="str">
        <f t="shared" si="6"/>
        <v>May-2024</v>
      </c>
      <c r="Z49" t="str">
        <f t="shared" si="7"/>
        <v>Europe. United Kingdom. Birmingham</v>
      </c>
      <c r="AA49" t="str">
        <f t="shared" si="8"/>
        <v>High</v>
      </c>
      <c r="AB49" t="str">
        <f t="array" ref="AB49">TEXT(MIN(IF($E$2:$E$633=E49, $B$2:$B$633)), "YYYY-MM")</f>
        <v>2023-01</v>
      </c>
      <c r="AC49" s="13">
        <f>SUM($T$2:T49)</f>
        <v>869047.99579999968</v>
      </c>
    </row>
    <row r="50" spans="1:29" x14ac:dyDescent="0.45">
      <c r="A50" t="s">
        <v>63</v>
      </c>
      <c r="B50" s="2">
        <v>45579</v>
      </c>
      <c r="C50" s="2">
        <v>45604</v>
      </c>
      <c r="D50" t="s">
        <v>646</v>
      </c>
      <c r="E50" t="s">
        <v>651</v>
      </c>
      <c r="F50" t="s">
        <v>665</v>
      </c>
      <c r="G50" t="s">
        <v>706</v>
      </c>
      <c r="H50" s="9" t="s">
        <v>708</v>
      </c>
      <c r="I50" s="9" t="s">
        <v>719</v>
      </c>
      <c r="J50" s="9" t="s">
        <v>729</v>
      </c>
      <c r="K50" t="s">
        <v>782</v>
      </c>
      <c r="L50" s="7">
        <v>859.35</v>
      </c>
      <c r="M50" s="7">
        <v>1825.61</v>
      </c>
      <c r="N50" s="5">
        <v>0.187</v>
      </c>
      <c r="O50">
        <v>24</v>
      </c>
      <c r="P50" s="2">
        <f t="shared" si="0"/>
        <v>45604</v>
      </c>
      <c r="Q50" t="str">
        <f t="shared" si="1"/>
        <v>Ok</v>
      </c>
      <c r="R50">
        <f>ABS(Table2[[#This Row],[UnitPrice]])</f>
        <v>1825.61</v>
      </c>
      <c r="S50">
        <f t="shared" si="2"/>
        <v>25</v>
      </c>
      <c r="T50" s="12">
        <f t="shared" si="3"/>
        <v>35621.302319999995</v>
      </c>
      <c r="U50">
        <f>Table2[[#This Row],[UnitCost]]*Table2[[#This Row],[Quantity]]</f>
        <v>20624.400000000001</v>
      </c>
      <c r="V50" s="13">
        <f t="shared" si="4"/>
        <v>14996.902319999994</v>
      </c>
      <c r="W50" s="5">
        <f t="shared" si="5"/>
        <v>0.42100937762681989</v>
      </c>
      <c r="X50" s="17" t="str">
        <f t="shared" si="6"/>
        <v>Oct-2024</v>
      </c>
      <c r="Z50" t="str">
        <f t="shared" si="7"/>
        <v>Africa. Nigeria. Lagos</v>
      </c>
      <c r="AA50" t="str">
        <f t="shared" si="8"/>
        <v>High</v>
      </c>
      <c r="AB50" t="str">
        <f t="array" ref="AB50">TEXT(MIN(IF($E$2:$E$633=E50, $B$2:$B$633)), "YYYY-MM")</f>
        <v>2023-01</v>
      </c>
      <c r="AC50" s="13">
        <f>SUM($T$2:T50)</f>
        <v>904669.2981199997</v>
      </c>
    </row>
    <row r="51" spans="1:29" x14ac:dyDescent="0.45">
      <c r="A51" t="s">
        <v>64</v>
      </c>
      <c r="B51" s="2">
        <v>45117</v>
      </c>
      <c r="C51" s="2">
        <v>45139</v>
      </c>
      <c r="D51" t="s">
        <v>649</v>
      </c>
      <c r="E51" t="s">
        <v>657</v>
      </c>
      <c r="F51" t="s">
        <v>673</v>
      </c>
      <c r="G51" t="s">
        <v>704</v>
      </c>
      <c r="H51" s="9" t="s">
        <v>709</v>
      </c>
      <c r="I51" s="9" t="s">
        <v>717</v>
      </c>
      <c r="J51" s="9" t="s">
        <v>728</v>
      </c>
      <c r="K51" t="s">
        <v>783</v>
      </c>
      <c r="L51" s="7">
        <v>1303.56</v>
      </c>
      <c r="M51" s="7">
        <v>1791.37</v>
      </c>
      <c r="N51" s="5">
        <v>0.126</v>
      </c>
      <c r="O51">
        <v>22</v>
      </c>
      <c r="P51" s="2">
        <f t="shared" si="0"/>
        <v>45139</v>
      </c>
      <c r="Q51" t="str">
        <f t="shared" si="1"/>
        <v>Ok</v>
      </c>
      <c r="R51">
        <f>ABS(Table2[[#This Row],[UnitPrice]])</f>
        <v>1791.37</v>
      </c>
      <c r="S51">
        <f t="shared" si="2"/>
        <v>22</v>
      </c>
      <c r="T51" s="12">
        <f t="shared" si="3"/>
        <v>34444.462359999998</v>
      </c>
      <c r="U51">
        <f>Table2[[#This Row],[UnitCost]]*Table2[[#This Row],[Quantity]]</f>
        <v>28678.32</v>
      </c>
      <c r="V51" s="13">
        <f t="shared" si="4"/>
        <v>5766.142359999998</v>
      </c>
      <c r="W51" s="5">
        <f t="shared" si="5"/>
        <v>0.16740404596055358</v>
      </c>
      <c r="X51" s="17" t="str">
        <f t="shared" si="6"/>
        <v>Jul-2023</v>
      </c>
      <c r="Z51" t="str">
        <f t="shared" si="7"/>
        <v>Europe. France. Marseille</v>
      </c>
      <c r="AA51" t="str">
        <f t="shared" si="8"/>
        <v>High</v>
      </c>
      <c r="AB51" t="str">
        <f t="array" ref="AB51">TEXT(MIN(IF($E$2:$E$633=E51, $B$2:$B$633)), "YYYY-MM")</f>
        <v>2023-01</v>
      </c>
      <c r="AC51" s="13">
        <f>SUM($T$2:T51)</f>
        <v>939113.76047999971</v>
      </c>
    </row>
    <row r="52" spans="1:29" x14ac:dyDescent="0.45">
      <c r="A52" t="s">
        <v>65</v>
      </c>
      <c r="B52" s="2">
        <v>45602</v>
      </c>
      <c r="C52" s="2">
        <v>45618</v>
      </c>
      <c r="D52" t="s">
        <v>648</v>
      </c>
      <c r="E52" t="s">
        <v>653</v>
      </c>
      <c r="F52" t="s">
        <v>667</v>
      </c>
      <c r="G52" t="s">
        <v>703</v>
      </c>
      <c r="H52" s="9" t="s">
        <v>710</v>
      </c>
      <c r="I52" s="9" t="s">
        <v>726</v>
      </c>
      <c r="J52" s="9" t="s">
        <v>733</v>
      </c>
      <c r="K52" t="s">
        <v>784</v>
      </c>
      <c r="L52" s="7">
        <v>1454.11</v>
      </c>
      <c r="M52" s="7">
        <v>2629.75</v>
      </c>
      <c r="N52" s="5">
        <v>0.29199999999999998</v>
      </c>
      <c r="O52">
        <v>8</v>
      </c>
      <c r="P52" s="2">
        <f t="shared" si="0"/>
        <v>45618</v>
      </c>
      <c r="Q52" t="str">
        <f t="shared" si="1"/>
        <v>Ok</v>
      </c>
      <c r="R52">
        <f>ABS(Table2[[#This Row],[UnitPrice]])</f>
        <v>2629.75</v>
      </c>
      <c r="S52">
        <f t="shared" si="2"/>
        <v>16</v>
      </c>
      <c r="T52" s="12">
        <f t="shared" si="3"/>
        <v>14894.903999999999</v>
      </c>
      <c r="U52">
        <f>Table2[[#This Row],[UnitCost]]*Table2[[#This Row],[Quantity]]</f>
        <v>11632.88</v>
      </c>
      <c r="V52" s="13">
        <f t="shared" si="4"/>
        <v>3262.0239999999994</v>
      </c>
      <c r="W52" s="5">
        <f t="shared" si="5"/>
        <v>0.21900268709351867</v>
      </c>
      <c r="X52" s="17" t="str">
        <f t="shared" si="6"/>
        <v>Nov-2024</v>
      </c>
      <c r="Z52" t="str">
        <f t="shared" si="7"/>
        <v>Americas. Canada. Toronto</v>
      </c>
      <c r="AA52" t="str">
        <f t="shared" si="8"/>
        <v>High</v>
      </c>
      <c r="AB52" t="str">
        <f t="array" ref="AB52">TEXT(MIN(IF($E$2:$E$633=E52, $B$2:$B$633)), "YYYY-MM")</f>
        <v>2023-01</v>
      </c>
      <c r="AC52" s="13">
        <f>SUM($T$2:T52)</f>
        <v>954008.66447999969</v>
      </c>
    </row>
    <row r="53" spans="1:29" x14ac:dyDescent="0.45">
      <c r="A53" t="s">
        <v>66</v>
      </c>
      <c r="B53" s="2">
        <v>45582</v>
      </c>
      <c r="C53" s="2">
        <v>45602</v>
      </c>
      <c r="D53" t="s">
        <v>647</v>
      </c>
      <c r="E53" t="s">
        <v>654</v>
      </c>
      <c r="F53" t="s">
        <v>668</v>
      </c>
      <c r="G53" t="s">
        <v>706</v>
      </c>
      <c r="H53" s="9" t="s">
        <v>710</v>
      </c>
      <c r="I53" s="9" t="s">
        <v>719</v>
      </c>
      <c r="J53" s="9" t="s">
        <v>732</v>
      </c>
      <c r="K53" t="s">
        <v>785</v>
      </c>
      <c r="L53" s="7">
        <v>72.94</v>
      </c>
      <c r="M53" s="7">
        <v>106.3</v>
      </c>
      <c r="N53" s="5">
        <v>0.29499999999999998</v>
      </c>
      <c r="O53">
        <v>8</v>
      </c>
      <c r="P53" s="2">
        <f t="shared" si="0"/>
        <v>45602</v>
      </c>
      <c r="Q53" t="str">
        <f t="shared" si="1"/>
        <v>Ok</v>
      </c>
      <c r="R53">
        <f>ABS(Table2[[#This Row],[UnitPrice]])</f>
        <v>106.3</v>
      </c>
      <c r="S53">
        <f t="shared" si="2"/>
        <v>20</v>
      </c>
      <c r="T53" s="12">
        <f t="shared" si="3"/>
        <v>599.53200000000004</v>
      </c>
      <c r="U53">
        <f>Table2[[#This Row],[UnitCost]]*Table2[[#This Row],[Quantity]]</f>
        <v>583.52</v>
      </c>
      <c r="V53" s="13">
        <f t="shared" si="4"/>
        <v>16.012000000000057</v>
      </c>
      <c r="W53" s="5">
        <f t="shared" si="5"/>
        <v>2.6707498515508857E-2</v>
      </c>
      <c r="X53" s="17" t="str">
        <f t="shared" si="6"/>
        <v>Oct-2024</v>
      </c>
      <c r="Z53" t="str">
        <f t="shared" si="7"/>
        <v>Asia. India. Bengaluru</v>
      </c>
      <c r="AA53" t="str">
        <f t="shared" si="8"/>
        <v>Low</v>
      </c>
      <c r="AB53" t="str">
        <f t="array" ref="AB53">TEXT(MIN(IF($E$2:$E$633=E53, $B$2:$B$633)), "YYYY-MM")</f>
        <v>2023-01</v>
      </c>
      <c r="AC53" s="13">
        <f>SUM($T$2:T53)</f>
        <v>954608.19647999969</v>
      </c>
    </row>
    <row r="54" spans="1:29" x14ac:dyDescent="0.45">
      <c r="A54" t="s">
        <v>67</v>
      </c>
      <c r="B54" s="2">
        <v>45016</v>
      </c>
      <c r="C54" s="2">
        <v>45021</v>
      </c>
      <c r="D54" t="s">
        <v>646</v>
      </c>
      <c r="E54" t="s">
        <v>650</v>
      </c>
      <c r="F54" t="s">
        <v>678</v>
      </c>
      <c r="G54" t="s">
        <v>702</v>
      </c>
      <c r="H54" s="9" t="s">
        <v>709</v>
      </c>
      <c r="I54" s="9" t="s">
        <v>717</v>
      </c>
      <c r="J54" s="9" t="s">
        <v>731</v>
      </c>
      <c r="K54" t="s">
        <v>786</v>
      </c>
      <c r="L54" s="7">
        <v>533.26</v>
      </c>
      <c r="M54" s="7">
        <v>385.72</v>
      </c>
      <c r="N54" s="5">
        <v>0</v>
      </c>
      <c r="O54">
        <v>15</v>
      </c>
      <c r="P54" s="2">
        <f t="shared" si="0"/>
        <v>45021</v>
      </c>
      <c r="Q54" t="str">
        <f t="shared" si="1"/>
        <v>Ok</v>
      </c>
      <c r="R54">
        <f>ABS(Table2[[#This Row],[UnitPrice]])</f>
        <v>385.72</v>
      </c>
      <c r="S54">
        <f t="shared" si="2"/>
        <v>5</v>
      </c>
      <c r="T54" s="12">
        <f t="shared" si="3"/>
        <v>5785.8</v>
      </c>
      <c r="U54">
        <f>Table2[[#This Row],[UnitCost]]*Table2[[#This Row],[Quantity]]</f>
        <v>7998.9</v>
      </c>
      <c r="V54" s="13">
        <f t="shared" si="4"/>
        <v>-2213.0999999999995</v>
      </c>
      <c r="W54" s="5">
        <f t="shared" si="5"/>
        <v>-0.38250544436378708</v>
      </c>
      <c r="X54" s="17" t="str">
        <f t="shared" si="6"/>
        <v>Mar-2023</v>
      </c>
      <c r="Z54" t="str">
        <f t="shared" si="7"/>
        <v>Africa. Kenya. Nakuru</v>
      </c>
      <c r="AA54" t="str">
        <f t="shared" si="8"/>
        <v>Low</v>
      </c>
      <c r="AB54" t="str">
        <f t="array" ref="AB54">TEXT(MIN(IF($E$2:$E$633=E54, $B$2:$B$633)), "YYYY-MM")</f>
        <v>2023-01</v>
      </c>
      <c r="AC54" s="13">
        <f>SUM($T$2:T54)</f>
        <v>960393.99647999974</v>
      </c>
    </row>
    <row r="55" spans="1:29" x14ac:dyDescent="0.45">
      <c r="A55" t="s">
        <v>68</v>
      </c>
      <c r="B55" s="2">
        <v>45678</v>
      </c>
      <c r="C55" s="2">
        <v>45704</v>
      </c>
      <c r="D55" t="s">
        <v>649</v>
      </c>
      <c r="E55" t="s">
        <v>657</v>
      </c>
      <c r="F55" t="s">
        <v>679</v>
      </c>
      <c r="G55" t="s">
        <v>701</v>
      </c>
      <c r="H55" s="9" t="s">
        <v>710</v>
      </c>
      <c r="I55" s="9" t="s">
        <v>719</v>
      </c>
      <c r="J55" s="9" t="s">
        <v>731</v>
      </c>
      <c r="K55" t="s">
        <v>787</v>
      </c>
      <c r="L55" s="7">
        <v>204.11</v>
      </c>
      <c r="M55" s="7">
        <v>236.87</v>
      </c>
      <c r="N55" s="5">
        <v>0.182</v>
      </c>
      <c r="O55">
        <v>13</v>
      </c>
      <c r="P55" s="2">
        <f t="shared" si="0"/>
        <v>45704</v>
      </c>
      <c r="Q55" t="str">
        <f t="shared" si="1"/>
        <v>Ok</v>
      </c>
      <c r="R55">
        <f>ABS(Table2[[#This Row],[UnitPrice]])</f>
        <v>236.87</v>
      </c>
      <c r="S55">
        <f t="shared" si="2"/>
        <v>26</v>
      </c>
      <c r="T55" s="12">
        <f t="shared" si="3"/>
        <v>2518.8755800000004</v>
      </c>
      <c r="U55">
        <f>Table2[[#This Row],[UnitCost]]*Table2[[#This Row],[Quantity]]</f>
        <v>2653.4300000000003</v>
      </c>
      <c r="V55" s="13">
        <f t="shared" si="4"/>
        <v>-134.55441999999994</v>
      </c>
      <c r="W55" s="5">
        <f t="shared" si="5"/>
        <v>-5.3418446337075494E-2</v>
      </c>
      <c r="X55" s="17" t="str">
        <f t="shared" si="6"/>
        <v>Jan-2025</v>
      </c>
      <c r="Z55" t="str">
        <f t="shared" si="7"/>
        <v>Europe. France. Lyon</v>
      </c>
      <c r="AA55" t="str">
        <f t="shared" si="8"/>
        <v>Low</v>
      </c>
      <c r="AB55" t="str">
        <f t="array" ref="AB55">TEXT(MIN(IF($E$2:$E$633=E55, $B$2:$B$633)), "YYYY-MM")</f>
        <v>2023-01</v>
      </c>
      <c r="AC55" s="13">
        <f>SUM($T$2:T55)</f>
        <v>962912.87205999973</v>
      </c>
    </row>
    <row r="56" spans="1:29" x14ac:dyDescent="0.45">
      <c r="A56" t="s">
        <v>69</v>
      </c>
      <c r="B56" s="2">
        <v>45168</v>
      </c>
      <c r="C56" s="2">
        <v>45170</v>
      </c>
      <c r="D56" t="s">
        <v>649</v>
      </c>
      <c r="E56" t="s">
        <v>656</v>
      </c>
      <c r="F56" t="s">
        <v>684</v>
      </c>
      <c r="G56" t="s">
        <v>701</v>
      </c>
      <c r="H56" s="9" t="s">
        <v>711</v>
      </c>
      <c r="I56" s="9" t="s">
        <v>725</v>
      </c>
      <c r="J56" s="9" t="s">
        <v>729</v>
      </c>
      <c r="K56" t="s">
        <v>788</v>
      </c>
      <c r="L56" s="7">
        <v>44.42</v>
      </c>
      <c r="M56" s="7">
        <v>41.9</v>
      </c>
      <c r="N56" s="5">
        <v>0.14399999999999999</v>
      </c>
      <c r="O56">
        <v>6</v>
      </c>
      <c r="P56" s="2">
        <f t="shared" si="0"/>
        <v>45170</v>
      </c>
      <c r="Q56" t="str">
        <f t="shared" si="1"/>
        <v>Ok</v>
      </c>
      <c r="R56">
        <f>ABS(Table2[[#This Row],[UnitPrice]])</f>
        <v>41.9</v>
      </c>
      <c r="S56">
        <f t="shared" si="2"/>
        <v>2</v>
      </c>
      <c r="T56" s="12">
        <f t="shared" si="3"/>
        <v>215.19839999999996</v>
      </c>
      <c r="U56">
        <f>Table2[[#This Row],[UnitCost]]*Table2[[#This Row],[Quantity]]</f>
        <v>266.52</v>
      </c>
      <c r="V56" s="13">
        <f t="shared" si="4"/>
        <v>-51.321600000000018</v>
      </c>
      <c r="W56" s="5">
        <f t="shared" si="5"/>
        <v>-0.23848504449847224</v>
      </c>
      <c r="X56" s="17" t="str">
        <f t="shared" si="6"/>
        <v>Aug-2023</v>
      </c>
      <c r="Z56" t="str">
        <f t="shared" si="7"/>
        <v>Europe. Germany. Munich</v>
      </c>
      <c r="AA56" t="str">
        <f t="shared" si="8"/>
        <v>Low</v>
      </c>
      <c r="AB56" t="str">
        <f t="array" ref="AB56">TEXT(MIN(IF($E$2:$E$633=E56, $B$2:$B$633)), "YYYY-MM")</f>
        <v>2023-01</v>
      </c>
      <c r="AC56" s="13">
        <f>SUM($T$2:T56)</f>
        <v>963128.07045999973</v>
      </c>
    </row>
    <row r="57" spans="1:29" x14ac:dyDescent="0.45">
      <c r="A57" t="s">
        <v>70</v>
      </c>
      <c r="B57" s="2">
        <v>45753</v>
      </c>
      <c r="C57" s="2">
        <v>45777</v>
      </c>
      <c r="D57" t="s">
        <v>648</v>
      </c>
      <c r="E57" t="s">
        <v>655</v>
      </c>
      <c r="F57" t="s">
        <v>672</v>
      </c>
      <c r="G57" t="s">
        <v>702</v>
      </c>
      <c r="H57" s="9" t="s">
        <v>708</v>
      </c>
      <c r="I57" s="9" t="s">
        <v>723</v>
      </c>
      <c r="J57" s="9" t="s">
        <v>732</v>
      </c>
      <c r="K57" t="s">
        <v>789</v>
      </c>
      <c r="L57" s="7">
        <v>855.78</v>
      </c>
      <c r="M57" s="7">
        <v>977.38</v>
      </c>
      <c r="N57" s="5">
        <v>0.14699999999999999</v>
      </c>
      <c r="O57">
        <v>38</v>
      </c>
      <c r="P57" s="2">
        <f t="shared" si="0"/>
        <v>45777</v>
      </c>
      <c r="Q57" t="str">
        <f t="shared" si="1"/>
        <v>Ok</v>
      </c>
      <c r="R57">
        <f>ABS(Table2[[#This Row],[UnitPrice]])</f>
        <v>977.38</v>
      </c>
      <c r="S57">
        <f t="shared" si="2"/>
        <v>24</v>
      </c>
      <c r="T57" s="12">
        <f t="shared" si="3"/>
        <v>31680.795320000001</v>
      </c>
      <c r="U57">
        <f>Table2[[#This Row],[UnitCost]]*Table2[[#This Row],[Quantity]]</f>
        <v>32519.64</v>
      </c>
      <c r="V57" s="13">
        <f t="shared" si="4"/>
        <v>-838.84467999999833</v>
      </c>
      <c r="W57" s="5">
        <f t="shared" si="5"/>
        <v>-2.6478018355506307E-2</v>
      </c>
      <c r="X57" s="17" t="str">
        <f t="shared" si="6"/>
        <v>Apr-2025</v>
      </c>
      <c r="Z57" t="str">
        <f t="shared" si="7"/>
        <v>Americas. Brazil. Brasília</v>
      </c>
      <c r="AA57" t="str">
        <f t="shared" si="8"/>
        <v>Low</v>
      </c>
      <c r="AB57" t="str">
        <f t="array" ref="AB57">TEXT(MIN(IF($E$2:$E$633=E57, $B$2:$B$633)), "YYYY-MM")</f>
        <v>2023-01</v>
      </c>
      <c r="AC57" s="13">
        <f>SUM($T$2:T57)</f>
        <v>994808.86577999976</v>
      </c>
    </row>
    <row r="58" spans="1:29" x14ac:dyDescent="0.45">
      <c r="A58" t="s">
        <v>71</v>
      </c>
      <c r="B58" s="2">
        <v>45697</v>
      </c>
      <c r="C58" s="2">
        <v>45717</v>
      </c>
      <c r="D58" t="s">
        <v>648</v>
      </c>
      <c r="E58" t="s">
        <v>655</v>
      </c>
      <c r="F58" t="s">
        <v>670</v>
      </c>
      <c r="G58" t="s">
        <v>701</v>
      </c>
      <c r="H58" s="9" t="s">
        <v>710</v>
      </c>
      <c r="I58" s="9" t="s">
        <v>717</v>
      </c>
      <c r="J58" s="9" t="s">
        <v>731</v>
      </c>
      <c r="K58" t="s">
        <v>790</v>
      </c>
      <c r="L58" s="7">
        <v>1154.6400000000001</v>
      </c>
      <c r="M58" s="7">
        <v>2794.13</v>
      </c>
      <c r="N58" s="5">
        <v>3.5000000000000003E-2</v>
      </c>
      <c r="O58">
        <v>11</v>
      </c>
      <c r="P58" s="2">
        <f t="shared" si="0"/>
        <v>45717</v>
      </c>
      <c r="Q58" t="str">
        <f t="shared" si="1"/>
        <v>Ok</v>
      </c>
      <c r="R58">
        <f>ABS(Table2[[#This Row],[UnitPrice]])</f>
        <v>2794.13</v>
      </c>
      <c r="S58">
        <f t="shared" si="2"/>
        <v>20</v>
      </c>
      <c r="T58" s="12">
        <f t="shared" si="3"/>
        <v>29659.68995</v>
      </c>
      <c r="U58">
        <f>Table2[[#This Row],[UnitCost]]*Table2[[#This Row],[Quantity]]</f>
        <v>12701.04</v>
      </c>
      <c r="V58" s="13">
        <f t="shared" si="4"/>
        <v>16958.649949999999</v>
      </c>
      <c r="W58" s="5">
        <f t="shared" si="5"/>
        <v>0.57177435025749479</v>
      </c>
      <c r="X58" s="17" t="str">
        <f t="shared" si="6"/>
        <v>Feb-2025</v>
      </c>
      <c r="Z58" t="str">
        <f t="shared" si="7"/>
        <v>Americas. Brazil. São Paulo</v>
      </c>
      <c r="AA58" t="str">
        <f t="shared" si="8"/>
        <v>High</v>
      </c>
      <c r="AB58" t="str">
        <f t="array" ref="AB58">TEXT(MIN(IF($E$2:$E$633=E58, $B$2:$B$633)), "YYYY-MM")</f>
        <v>2023-01</v>
      </c>
      <c r="AC58" s="13">
        <f>SUM($T$2:T58)</f>
        <v>1024468.5557299998</v>
      </c>
    </row>
    <row r="59" spans="1:29" x14ac:dyDescent="0.45">
      <c r="A59" t="s">
        <v>72</v>
      </c>
      <c r="B59" s="2">
        <v>45643</v>
      </c>
      <c r="C59" s="2">
        <v>45644</v>
      </c>
      <c r="D59" t="s">
        <v>649</v>
      </c>
      <c r="E59" t="s">
        <v>656</v>
      </c>
      <c r="F59" t="s">
        <v>684</v>
      </c>
      <c r="G59" t="s">
        <v>702</v>
      </c>
      <c r="H59" s="9" t="s">
        <v>707</v>
      </c>
      <c r="I59" s="9" t="s">
        <v>716</v>
      </c>
      <c r="J59" s="9" t="s">
        <v>733</v>
      </c>
      <c r="K59" t="s">
        <v>791</v>
      </c>
      <c r="L59" s="7">
        <v>346.82</v>
      </c>
      <c r="M59" s="7">
        <v>701.95</v>
      </c>
      <c r="N59" s="5">
        <v>0.14699999999999999</v>
      </c>
      <c r="O59">
        <v>8</v>
      </c>
      <c r="P59" s="2">
        <f t="shared" si="0"/>
        <v>45644</v>
      </c>
      <c r="Q59" t="str">
        <f t="shared" si="1"/>
        <v>Ok</v>
      </c>
      <c r="R59">
        <f>ABS(Table2[[#This Row],[UnitPrice]])</f>
        <v>701.95</v>
      </c>
      <c r="S59">
        <f t="shared" si="2"/>
        <v>1</v>
      </c>
      <c r="T59" s="12">
        <f t="shared" si="3"/>
        <v>4790.1068000000005</v>
      </c>
      <c r="U59">
        <f>Table2[[#This Row],[UnitCost]]*Table2[[#This Row],[Quantity]]</f>
        <v>2774.56</v>
      </c>
      <c r="V59" s="13">
        <f t="shared" si="4"/>
        <v>2015.5468000000005</v>
      </c>
      <c r="W59" s="5">
        <f t="shared" si="5"/>
        <v>0.42077283120284509</v>
      </c>
      <c r="X59" s="17" t="str">
        <f t="shared" si="6"/>
        <v>Dec-2024</v>
      </c>
      <c r="Z59" t="str">
        <f t="shared" si="7"/>
        <v>Europe. Germany. Munich</v>
      </c>
      <c r="AA59" t="str">
        <f t="shared" si="8"/>
        <v>Low</v>
      </c>
      <c r="AB59" t="str">
        <f t="array" ref="AB59">TEXT(MIN(IF($E$2:$E$633=E59, $B$2:$B$633)), "YYYY-MM")</f>
        <v>2023-01</v>
      </c>
      <c r="AC59" s="13">
        <f>SUM($T$2:T59)</f>
        <v>1029258.6625299997</v>
      </c>
    </row>
    <row r="60" spans="1:29" x14ac:dyDescent="0.45">
      <c r="A60" t="s">
        <v>73</v>
      </c>
      <c r="B60" s="2">
        <v>45817</v>
      </c>
      <c r="C60" s="2">
        <v>45826</v>
      </c>
      <c r="D60" t="s">
        <v>649</v>
      </c>
      <c r="E60" t="s">
        <v>657</v>
      </c>
      <c r="F60" t="s">
        <v>673</v>
      </c>
      <c r="G60" t="s">
        <v>705</v>
      </c>
      <c r="H60" s="9" t="s">
        <v>709</v>
      </c>
      <c r="I60" s="9" t="s">
        <v>722</v>
      </c>
      <c r="J60" s="9" t="s">
        <v>733</v>
      </c>
      <c r="K60" t="s">
        <v>792</v>
      </c>
      <c r="L60" s="7">
        <v>1225.5</v>
      </c>
      <c r="M60" s="7">
        <v>-5.27</v>
      </c>
      <c r="N60" s="5">
        <v>7.4999999999999997E-2</v>
      </c>
      <c r="O60">
        <v>56</v>
      </c>
      <c r="P60" s="2">
        <f t="shared" si="0"/>
        <v>45826</v>
      </c>
      <c r="Q60" t="str">
        <f t="shared" si="1"/>
        <v>Invalid Price</v>
      </c>
      <c r="R60">
        <f>ABS(Table2[[#This Row],[UnitPrice]])</f>
        <v>5.27</v>
      </c>
      <c r="S60">
        <f t="shared" si="2"/>
        <v>9</v>
      </c>
      <c r="T60" s="12">
        <f t="shared" si="3"/>
        <v>272.98599999999999</v>
      </c>
      <c r="U60">
        <f>Table2[[#This Row],[UnitCost]]*Table2[[#This Row],[Quantity]]</f>
        <v>68628</v>
      </c>
      <c r="V60" s="13">
        <f t="shared" si="4"/>
        <v>-68355.013999999996</v>
      </c>
      <c r="W60" s="5">
        <f t="shared" si="5"/>
        <v>-250.39750756449047</v>
      </c>
      <c r="X60" s="17" t="str">
        <f t="shared" si="6"/>
        <v>Jun-2025</v>
      </c>
      <c r="Z60" t="str">
        <f t="shared" si="7"/>
        <v>Europe. France. Marseille</v>
      </c>
      <c r="AA60" t="str">
        <f t="shared" si="8"/>
        <v>Low</v>
      </c>
      <c r="AB60" t="str">
        <f t="array" ref="AB60">TEXT(MIN(IF($E$2:$E$633=E60, $B$2:$B$633)), "YYYY-MM")</f>
        <v>2023-01</v>
      </c>
      <c r="AC60" s="13">
        <f>SUM($T$2:T60)</f>
        <v>1029531.6485299998</v>
      </c>
    </row>
    <row r="61" spans="1:29" x14ac:dyDescent="0.45">
      <c r="A61" t="s">
        <v>74</v>
      </c>
      <c r="B61" s="2">
        <v>45779</v>
      </c>
      <c r="C61" s="2">
        <v>45790</v>
      </c>
      <c r="D61" t="s">
        <v>646</v>
      </c>
      <c r="E61" t="s">
        <v>650</v>
      </c>
      <c r="F61" t="s">
        <v>678</v>
      </c>
      <c r="G61" t="s">
        <v>705</v>
      </c>
      <c r="H61" s="9" t="s">
        <v>708</v>
      </c>
      <c r="I61" s="9" t="s">
        <v>720</v>
      </c>
      <c r="J61" s="9" t="s">
        <v>733</v>
      </c>
      <c r="K61" t="s">
        <v>793</v>
      </c>
      <c r="L61" s="7">
        <v>1057.5999999999999</v>
      </c>
      <c r="M61" s="7">
        <v>1437.06</v>
      </c>
      <c r="N61" s="5">
        <v>0.20499999999999999</v>
      </c>
      <c r="O61">
        <v>4</v>
      </c>
      <c r="P61" s="2">
        <f t="shared" si="0"/>
        <v>45790</v>
      </c>
      <c r="Q61" t="str">
        <f t="shared" si="1"/>
        <v>Ok</v>
      </c>
      <c r="R61">
        <f>ABS(Table2[[#This Row],[UnitPrice]])</f>
        <v>1437.06</v>
      </c>
      <c r="S61">
        <f t="shared" si="2"/>
        <v>11</v>
      </c>
      <c r="T61" s="12">
        <f t="shared" si="3"/>
        <v>4569.8508000000002</v>
      </c>
      <c r="U61">
        <f>Table2[[#This Row],[UnitCost]]*Table2[[#This Row],[Quantity]]</f>
        <v>4230.3999999999996</v>
      </c>
      <c r="V61" s="13">
        <f t="shared" si="4"/>
        <v>339.45080000000053</v>
      </c>
      <c r="W61" s="5">
        <f t="shared" si="5"/>
        <v>7.4280499485891424E-2</v>
      </c>
      <c r="X61" s="17" t="str">
        <f t="shared" si="6"/>
        <v>May-2025</v>
      </c>
      <c r="Z61" t="str">
        <f t="shared" si="7"/>
        <v>Africa. Kenya. Nakuru</v>
      </c>
      <c r="AA61" t="str">
        <f t="shared" si="8"/>
        <v>High</v>
      </c>
      <c r="AB61" t="str">
        <f t="array" ref="AB61">TEXT(MIN(IF($E$2:$E$633=E61, $B$2:$B$633)), "YYYY-MM")</f>
        <v>2023-01</v>
      </c>
      <c r="AC61" s="13">
        <f>SUM($T$2:T61)</f>
        <v>1034101.4993299998</v>
      </c>
    </row>
    <row r="62" spans="1:29" x14ac:dyDescent="0.45">
      <c r="A62" t="s">
        <v>75</v>
      </c>
      <c r="B62" s="2">
        <v>45361</v>
      </c>
      <c r="C62" s="2">
        <v>45391</v>
      </c>
      <c r="D62" t="s">
        <v>649</v>
      </c>
      <c r="E62" t="s">
        <v>657</v>
      </c>
      <c r="F62" t="s">
        <v>679</v>
      </c>
      <c r="G62" t="s">
        <v>701</v>
      </c>
      <c r="H62" s="9" t="s">
        <v>711</v>
      </c>
      <c r="I62" s="9" t="s">
        <v>714</v>
      </c>
      <c r="J62" s="9" t="s">
        <v>727</v>
      </c>
      <c r="K62" t="s">
        <v>794</v>
      </c>
      <c r="L62" s="7">
        <v>1176.56</v>
      </c>
      <c r="M62" s="7">
        <v>1911.89</v>
      </c>
      <c r="N62" s="5">
        <v>0.11899999999999999</v>
      </c>
      <c r="O62">
        <v>20</v>
      </c>
      <c r="P62" s="2">
        <f t="shared" si="0"/>
        <v>45391</v>
      </c>
      <c r="Q62" t="str">
        <f t="shared" si="1"/>
        <v>Ok</v>
      </c>
      <c r="R62">
        <f>ABS(Table2[[#This Row],[UnitPrice]])</f>
        <v>1911.89</v>
      </c>
      <c r="S62">
        <f t="shared" si="2"/>
        <v>30</v>
      </c>
      <c r="T62" s="12">
        <f t="shared" si="3"/>
        <v>33687.501800000005</v>
      </c>
      <c r="U62">
        <f>Table2[[#This Row],[UnitCost]]*Table2[[#This Row],[Quantity]]</f>
        <v>23531.199999999997</v>
      </c>
      <c r="V62" s="13">
        <f t="shared" si="4"/>
        <v>10156.301800000008</v>
      </c>
      <c r="W62" s="5">
        <f t="shared" si="5"/>
        <v>0.30148575160892477</v>
      </c>
      <c r="X62" s="17" t="str">
        <f t="shared" si="6"/>
        <v>Mar-2024</v>
      </c>
      <c r="Z62" t="str">
        <f t="shared" si="7"/>
        <v>Europe. France. Lyon</v>
      </c>
      <c r="AA62" t="str">
        <f t="shared" si="8"/>
        <v>High</v>
      </c>
      <c r="AB62" t="str">
        <f t="array" ref="AB62">TEXT(MIN(IF($E$2:$E$633=E62, $B$2:$B$633)), "YYYY-MM")</f>
        <v>2023-01</v>
      </c>
      <c r="AC62" s="13">
        <f>SUM($T$2:T62)</f>
        <v>1067789.0011299998</v>
      </c>
    </row>
    <row r="63" spans="1:29" x14ac:dyDescent="0.45">
      <c r="A63" t="s">
        <v>76</v>
      </c>
      <c r="B63" s="2">
        <v>45910</v>
      </c>
      <c r="C63" s="2">
        <v>45912</v>
      </c>
      <c r="D63" t="s">
        <v>647</v>
      </c>
      <c r="E63" t="s">
        <v>652</v>
      </c>
      <c r="F63" t="s">
        <v>689</v>
      </c>
      <c r="G63" t="s">
        <v>704</v>
      </c>
      <c r="H63" s="9" t="s">
        <v>708</v>
      </c>
      <c r="I63" s="9" t="s">
        <v>719</v>
      </c>
      <c r="J63" s="9" t="s">
        <v>727</v>
      </c>
      <c r="K63" t="s">
        <v>795</v>
      </c>
      <c r="L63" s="7">
        <v>1470.15</v>
      </c>
      <c r="M63" s="7">
        <v>2593.7800000000002</v>
      </c>
      <c r="N63" s="5">
        <v>0.11</v>
      </c>
      <c r="O63">
        <v>12</v>
      </c>
      <c r="P63" s="2">
        <f t="shared" si="0"/>
        <v>45912</v>
      </c>
      <c r="Q63" t="str">
        <f t="shared" si="1"/>
        <v>Ok</v>
      </c>
      <c r="R63">
        <f>ABS(Table2[[#This Row],[UnitPrice]])</f>
        <v>2593.7800000000002</v>
      </c>
      <c r="S63">
        <f t="shared" si="2"/>
        <v>2</v>
      </c>
      <c r="T63" s="12">
        <f t="shared" si="3"/>
        <v>27701.570400000001</v>
      </c>
      <c r="U63">
        <f>Table2[[#This Row],[UnitCost]]*Table2[[#This Row],[Quantity]]</f>
        <v>17641.800000000003</v>
      </c>
      <c r="V63" s="13">
        <f t="shared" si="4"/>
        <v>10059.770399999998</v>
      </c>
      <c r="W63" s="5">
        <f t="shared" si="5"/>
        <v>0.36314801849645306</v>
      </c>
      <c r="X63" s="17" t="str">
        <f t="shared" si="6"/>
        <v>Sep-2025</v>
      </c>
      <c r="Z63" t="str">
        <f t="shared" si="7"/>
        <v>Asia. Japan. Tokyo</v>
      </c>
      <c r="AA63" t="str">
        <f t="shared" si="8"/>
        <v>High</v>
      </c>
      <c r="AB63" t="str">
        <f t="array" ref="AB63">TEXT(MIN(IF($E$2:$E$633=E63, $B$2:$B$633)), "YYYY-MM")</f>
        <v>2023-03</v>
      </c>
      <c r="AC63" s="13">
        <f>SUM($T$2:T63)</f>
        <v>1095490.5715299998</v>
      </c>
    </row>
    <row r="64" spans="1:29" x14ac:dyDescent="0.45">
      <c r="A64" t="s">
        <v>77</v>
      </c>
      <c r="B64" s="2">
        <v>45774</v>
      </c>
      <c r="C64" s="2">
        <v>45802</v>
      </c>
      <c r="D64" t="s">
        <v>649</v>
      </c>
      <c r="E64" t="s">
        <v>657</v>
      </c>
      <c r="F64" t="s">
        <v>690</v>
      </c>
      <c r="G64" t="s">
        <v>705</v>
      </c>
      <c r="H64" s="9" t="s">
        <v>709</v>
      </c>
      <c r="I64" s="9" t="s">
        <v>714</v>
      </c>
      <c r="J64" s="9" t="s">
        <v>730</v>
      </c>
      <c r="K64" t="s">
        <v>796</v>
      </c>
      <c r="L64" s="7">
        <v>603.45000000000005</v>
      </c>
      <c r="M64" s="7">
        <v>1244.08</v>
      </c>
      <c r="N64" s="5">
        <v>0.2</v>
      </c>
      <c r="O64">
        <v>11</v>
      </c>
      <c r="P64" s="2">
        <f t="shared" si="0"/>
        <v>45802</v>
      </c>
      <c r="Q64" t="str">
        <f t="shared" si="1"/>
        <v>Ok</v>
      </c>
      <c r="R64">
        <f>ABS(Table2[[#This Row],[UnitPrice]])</f>
        <v>1244.08</v>
      </c>
      <c r="S64">
        <f t="shared" si="2"/>
        <v>28</v>
      </c>
      <c r="T64" s="12">
        <f t="shared" si="3"/>
        <v>10947.904</v>
      </c>
      <c r="U64">
        <f>Table2[[#This Row],[UnitCost]]*Table2[[#This Row],[Quantity]]</f>
        <v>6637.9500000000007</v>
      </c>
      <c r="V64" s="13">
        <f t="shared" si="4"/>
        <v>4309.9539999999997</v>
      </c>
      <c r="W64" s="5">
        <f t="shared" si="5"/>
        <v>0.39367846119220623</v>
      </c>
      <c r="X64" s="17" t="str">
        <f t="shared" si="6"/>
        <v>Apr-2025</v>
      </c>
      <c r="Z64" t="str">
        <f t="shared" si="7"/>
        <v>Europe. France. Paris</v>
      </c>
      <c r="AA64" t="str">
        <f t="shared" si="8"/>
        <v>High</v>
      </c>
      <c r="AB64" t="str">
        <f t="array" ref="AB64">TEXT(MIN(IF($E$2:$E$633=E64, $B$2:$B$633)), "YYYY-MM")</f>
        <v>2023-01</v>
      </c>
      <c r="AC64" s="13">
        <f>SUM($T$2:T64)</f>
        <v>1106438.4755299999</v>
      </c>
    </row>
    <row r="65" spans="1:29" x14ac:dyDescent="0.45">
      <c r="A65" t="s">
        <v>78</v>
      </c>
      <c r="B65" s="2">
        <v>45598</v>
      </c>
      <c r="C65" s="2">
        <v>45614</v>
      </c>
      <c r="D65" t="s">
        <v>647</v>
      </c>
      <c r="E65" t="s">
        <v>654</v>
      </c>
      <c r="F65" t="s">
        <v>691</v>
      </c>
      <c r="G65" t="s">
        <v>705</v>
      </c>
      <c r="H65" s="9" t="s">
        <v>710</v>
      </c>
      <c r="I65" s="9" t="s">
        <v>719</v>
      </c>
      <c r="J65" s="9" t="s">
        <v>732</v>
      </c>
      <c r="K65" t="s">
        <v>797</v>
      </c>
      <c r="L65" s="7">
        <v>1233.58</v>
      </c>
      <c r="M65" s="7">
        <v>1912.51</v>
      </c>
      <c r="N65" s="5">
        <v>0.255</v>
      </c>
      <c r="O65">
        <v>51</v>
      </c>
      <c r="P65" s="2">
        <f t="shared" si="0"/>
        <v>45614</v>
      </c>
      <c r="Q65" t="str">
        <f t="shared" si="1"/>
        <v>Ok</v>
      </c>
      <c r="R65">
        <f>ABS(Table2[[#This Row],[UnitPrice]])</f>
        <v>1912.51</v>
      </c>
      <c r="S65">
        <f t="shared" si="2"/>
        <v>16</v>
      </c>
      <c r="T65" s="12">
        <f t="shared" si="3"/>
        <v>72665.817450000002</v>
      </c>
      <c r="U65">
        <f>Table2[[#This Row],[UnitCost]]*Table2[[#This Row],[Quantity]]</f>
        <v>62912.579999999994</v>
      </c>
      <c r="V65" s="13">
        <f t="shared" si="4"/>
        <v>9753.2374500000078</v>
      </c>
      <c r="W65" s="5">
        <f t="shared" si="5"/>
        <v>0.134220432553601</v>
      </c>
      <c r="X65" s="17" t="str">
        <f t="shared" si="6"/>
        <v>Nov-2024</v>
      </c>
      <c r="Z65" t="str">
        <f t="shared" si="7"/>
        <v>Asia. India. Mumbai</v>
      </c>
      <c r="AA65" t="str">
        <f t="shared" si="8"/>
        <v>High</v>
      </c>
      <c r="AB65" t="str">
        <f t="array" ref="AB65">TEXT(MIN(IF($E$2:$E$633=E65, $B$2:$B$633)), "YYYY-MM")</f>
        <v>2023-01</v>
      </c>
      <c r="AC65" s="13">
        <f>SUM($T$2:T65)</f>
        <v>1179104.2929799999</v>
      </c>
    </row>
    <row r="66" spans="1:29" x14ac:dyDescent="0.45">
      <c r="A66" t="s">
        <v>79</v>
      </c>
      <c r="B66" s="2">
        <v>44972</v>
      </c>
      <c r="C66" s="2">
        <v>44983</v>
      </c>
      <c r="D66" t="s">
        <v>646</v>
      </c>
      <c r="E66" t="s">
        <v>661</v>
      </c>
      <c r="F66" t="s">
        <v>682</v>
      </c>
      <c r="G66" t="s">
        <v>703</v>
      </c>
      <c r="H66" s="9" t="s">
        <v>707</v>
      </c>
      <c r="I66" s="9" t="s">
        <v>723</v>
      </c>
      <c r="J66" s="9" t="s">
        <v>731</v>
      </c>
      <c r="K66" t="s">
        <v>798</v>
      </c>
      <c r="L66" s="7">
        <v>498.5</v>
      </c>
      <c r="M66" s="7">
        <v>755.87</v>
      </c>
      <c r="N66" s="5">
        <v>0.13</v>
      </c>
      <c r="O66">
        <v>40</v>
      </c>
      <c r="P66" s="2">
        <f t="shared" ref="P66:P129" si="9">IF(C66&lt;B66,B66+7,C66)</f>
        <v>44983</v>
      </c>
      <c r="Q66" t="str">
        <f t="shared" ref="Q66:Q129" si="10">IF(M66&lt;0, "Invalid Price","Ok")</f>
        <v>Ok</v>
      </c>
      <c r="R66">
        <f>ABS(Table2[[#This Row],[UnitPrice]])</f>
        <v>755.87</v>
      </c>
      <c r="S66">
        <f t="shared" si="2"/>
        <v>11</v>
      </c>
      <c r="T66" s="12">
        <f t="shared" si="3"/>
        <v>26304.275999999998</v>
      </c>
      <c r="U66">
        <f>Table2[[#This Row],[UnitCost]]*Table2[[#This Row],[Quantity]]</f>
        <v>19940</v>
      </c>
      <c r="V66" s="13">
        <f t="shared" si="4"/>
        <v>6364.275999999998</v>
      </c>
      <c r="W66" s="5">
        <f t="shared" si="5"/>
        <v>0.24194834330357537</v>
      </c>
      <c r="X66" s="17" t="str">
        <f t="shared" si="6"/>
        <v>Feb-2023</v>
      </c>
      <c r="Z66" t="str">
        <f t="shared" si="7"/>
        <v>Africa. South Africa. Johannesburg</v>
      </c>
      <c r="AA66" t="str">
        <f t="shared" si="8"/>
        <v>Low</v>
      </c>
      <c r="AB66" t="str">
        <f t="array" ref="AB66">TEXT(MIN(IF($E$2:$E$633=E66, $B$2:$B$633)), "YYYY-MM")</f>
        <v>2023-01</v>
      </c>
      <c r="AC66" s="13">
        <f>SUM($T$2:T66)</f>
        <v>1205408.56898</v>
      </c>
    </row>
    <row r="67" spans="1:29" x14ac:dyDescent="0.45">
      <c r="A67" t="s">
        <v>80</v>
      </c>
      <c r="B67" s="2">
        <v>45263</v>
      </c>
      <c r="C67" s="2">
        <v>45286</v>
      </c>
      <c r="D67" t="s">
        <v>648</v>
      </c>
      <c r="E67" t="s">
        <v>655</v>
      </c>
      <c r="F67" t="s">
        <v>692</v>
      </c>
      <c r="G67" t="s">
        <v>702</v>
      </c>
      <c r="H67" s="9" t="s">
        <v>707</v>
      </c>
      <c r="I67" s="9" t="s">
        <v>719</v>
      </c>
      <c r="J67" s="9" t="s">
        <v>730</v>
      </c>
      <c r="K67" t="s">
        <v>799</v>
      </c>
      <c r="L67" s="7">
        <v>1303.1099999999999</v>
      </c>
      <c r="M67" s="7">
        <v>1145.67</v>
      </c>
      <c r="N67" s="5">
        <v>0.184</v>
      </c>
      <c r="O67">
        <v>13</v>
      </c>
      <c r="P67" s="2">
        <f t="shared" si="9"/>
        <v>45286</v>
      </c>
      <c r="Q67" t="str">
        <f t="shared" si="10"/>
        <v>Ok</v>
      </c>
      <c r="R67">
        <f>ABS(Table2[[#This Row],[UnitPrice]])</f>
        <v>1145.67</v>
      </c>
      <c r="S67">
        <f t="shared" ref="S67:S130" si="11">P67-B67</f>
        <v>23</v>
      </c>
      <c r="T67" s="12">
        <f t="shared" ref="T67:T130" si="12">R67*O67*(1-N67)</f>
        <v>12153.267360000002</v>
      </c>
      <c r="U67">
        <f>Table2[[#This Row],[UnitCost]]*Table2[[#This Row],[Quantity]]</f>
        <v>16940.43</v>
      </c>
      <c r="V67" s="13">
        <f t="shared" ref="V67:V130" si="13">T67-U67</f>
        <v>-4787.1626399999986</v>
      </c>
      <c r="W67" s="5">
        <f t="shared" ref="W67:W130" si="14">IF(V67=0,0,V67/T67)</f>
        <v>-0.39389922875851208</v>
      </c>
      <c r="X67" s="17" t="str">
        <f t="shared" ref="X67:X130" si="15">TEXT(B67,"mmm-yyyy")</f>
        <v>Dec-2023</v>
      </c>
      <c r="Z67" t="str">
        <f t="shared" ref="Z67:Z130" si="16">CONCATENATE(D67,". ",E67,". ",F67)</f>
        <v>Americas. Brazil. Rio de Janeiro</v>
      </c>
      <c r="AA67" t="str">
        <f t="shared" ref="AA67:AA130" si="17">IF(M67&lt;1193.87, "Low",IF(M67&gt;1193.87,"High","Medium"))</f>
        <v>Low</v>
      </c>
      <c r="AB67" t="str">
        <f t="array" ref="AB67">TEXT(MIN(IF($E$2:$E$633=E67, $B$2:$B$633)), "YYYY-MM")</f>
        <v>2023-01</v>
      </c>
      <c r="AC67" s="13">
        <f>SUM($T$2:T67)</f>
        <v>1217561.8363399999</v>
      </c>
    </row>
    <row r="68" spans="1:29" x14ac:dyDescent="0.45">
      <c r="A68" t="s">
        <v>81</v>
      </c>
      <c r="B68" s="2">
        <v>45004</v>
      </c>
      <c r="C68" s="2">
        <v>45025</v>
      </c>
      <c r="D68" t="s">
        <v>649</v>
      </c>
      <c r="E68" t="s">
        <v>658</v>
      </c>
      <c r="F68" t="s">
        <v>693</v>
      </c>
      <c r="G68" t="s">
        <v>704</v>
      </c>
      <c r="H68" s="9" t="s">
        <v>707</v>
      </c>
      <c r="I68" s="9" t="s">
        <v>716</v>
      </c>
      <c r="J68" s="9" t="s">
        <v>733</v>
      </c>
      <c r="K68" t="s">
        <v>800</v>
      </c>
      <c r="L68" s="7">
        <v>1082.17</v>
      </c>
      <c r="M68" s="7">
        <v>1234.0999999999999</v>
      </c>
      <c r="N68" s="5">
        <v>0.189</v>
      </c>
      <c r="O68">
        <v>16</v>
      </c>
      <c r="P68" s="2">
        <f t="shared" si="9"/>
        <v>45025</v>
      </c>
      <c r="Q68" t="str">
        <f t="shared" si="10"/>
        <v>Ok</v>
      </c>
      <c r="R68">
        <f>ABS(Table2[[#This Row],[UnitPrice]])</f>
        <v>1234.0999999999999</v>
      </c>
      <c r="S68">
        <f t="shared" si="11"/>
        <v>21</v>
      </c>
      <c r="T68" s="12">
        <f t="shared" si="12"/>
        <v>16013.681599999998</v>
      </c>
      <c r="U68">
        <f>Table2[[#This Row],[UnitCost]]*Table2[[#This Row],[Quantity]]</f>
        <v>17314.72</v>
      </c>
      <c r="V68" s="13">
        <f t="shared" si="13"/>
        <v>-1301.0384000000031</v>
      </c>
      <c r="W68" s="5">
        <f t="shared" si="14"/>
        <v>-8.124542703534228E-2</v>
      </c>
      <c r="X68" s="17" t="str">
        <f t="shared" si="15"/>
        <v>Mar-2023</v>
      </c>
      <c r="Z68" t="str">
        <f t="shared" si="16"/>
        <v>Europe. United Kingdom. Manchester</v>
      </c>
      <c r="AA68" t="str">
        <f t="shared" si="17"/>
        <v>High</v>
      </c>
      <c r="AB68" t="str">
        <f t="array" ref="AB68">TEXT(MIN(IF($E$2:$E$633=E68, $B$2:$B$633)), "YYYY-MM")</f>
        <v>2023-01</v>
      </c>
      <c r="AC68" s="13">
        <f>SUM($T$2:T68)</f>
        <v>1233575.5179399999</v>
      </c>
    </row>
    <row r="69" spans="1:29" x14ac:dyDescent="0.45">
      <c r="A69" t="s">
        <v>82</v>
      </c>
      <c r="B69" s="2">
        <v>45434</v>
      </c>
      <c r="C69" s="2">
        <v>45449</v>
      </c>
      <c r="D69" t="s">
        <v>647</v>
      </c>
      <c r="E69" t="s">
        <v>652</v>
      </c>
      <c r="F69" t="s">
        <v>694</v>
      </c>
      <c r="G69" t="s">
        <v>701</v>
      </c>
      <c r="H69" s="9" t="s">
        <v>710</v>
      </c>
      <c r="I69" s="9" t="s">
        <v>712</v>
      </c>
      <c r="J69" s="9" t="s">
        <v>732</v>
      </c>
      <c r="K69" t="s">
        <v>801</v>
      </c>
      <c r="L69" s="7">
        <v>673.88</v>
      </c>
      <c r="M69" s="7">
        <v>1228.01</v>
      </c>
      <c r="N69" s="5">
        <v>0.105</v>
      </c>
      <c r="O69">
        <v>13</v>
      </c>
      <c r="P69" s="2">
        <f t="shared" si="9"/>
        <v>45449</v>
      </c>
      <c r="Q69" t="str">
        <f t="shared" si="10"/>
        <v>Ok</v>
      </c>
      <c r="R69">
        <f>ABS(Table2[[#This Row],[UnitPrice]])</f>
        <v>1228.01</v>
      </c>
      <c r="S69">
        <f t="shared" si="11"/>
        <v>15</v>
      </c>
      <c r="T69" s="12">
        <f t="shared" si="12"/>
        <v>14287.896349999999</v>
      </c>
      <c r="U69">
        <f>Table2[[#This Row],[UnitCost]]*Table2[[#This Row],[Quantity]]</f>
        <v>8760.44</v>
      </c>
      <c r="V69" s="13">
        <f t="shared" si="13"/>
        <v>5527.4563499999986</v>
      </c>
      <c r="W69" s="5">
        <f t="shared" si="14"/>
        <v>0.38686285332689996</v>
      </c>
      <c r="X69" s="17" t="str">
        <f t="shared" si="15"/>
        <v>May-2024</v>
      </c>
      <c r="Z69" t="str">
        <f t="shared" si="16"/>
        <v>Asia. Japan. Nagoya</v>
      </c>
      <c r="AA69" t="str">
        <f t="shared" si="17"/>
        <v>High</v>
      </c>
      <c r="AB69" t="str">
        <f t="array" ref="AB69">TEXT(MIN(IF($E$2:$E$633=E69, $B$2:$B$633)), "YYYY-MM")</f>
        <v>2023-03</v>
      </c>
      <c r="AC69" s="13">
        <f>SUM($T$2:T69)</f>
        <v>1247863.41429</v>
      </c>
    </row>
    <row r="70" spans="1:29" x14ac:dyDescent="0.45">
      <c r="A70" t="s">
        <v>83</v>
      </c>
      <c r="B70" s="2">
        <v>45157</v>
      </c>
      <c r="C70" s="2">
        <v>45176</v>
      </c>
      <c r="D70" t="s">
        <v>646</v>
      </c>
      <c r="E70" t="s">
        <v>661</v>
      </c>
      <c r="F70" t="s">
        <v>682</v>
      </c>
      <c r="G70" t="s">
        <v>706</v>
      </c>
      <c r="H70" s="9" t="s">
        <v>707</v>
      </c>
      <c r="I70" s="9" t="s">
        <v>726</v>
      </c>
      <c r="J70" s="9" t="s">
        <v>732</v>
      </c>
      <c r="K70" t="s">
        <v>802</v>
      </c>
      <c r="L70" s="7">
        <v>494.61</v>
      </c>
      <c r="M70" s="7">
        <v>605.23</v>
      </c>
      <c r="N70" s="5">
        <v>0.20399999999999999</v>
      </c>
      <c r="O70">
        <v>18</v>
      </c>
      <c r="P70" s="2">
        <f t="shared" si="9"/>
        <v>45176</v>
      </c>
      <c r="Q70" t="str">
        <f t="shared" si="10"/>
        <v>Ok</v>
      </c>
      <c r="R70">
        <f>ABS(Table2[[#This Row],[UnitPrice]])</f>
        <v>605.23</v>
      </c>
      <c r="S70">
        <f t="shared" si="11"/>
        <v>19</v>
      </c>
      <c r="T70" s="12">
        <f t="shared" si="12"/>
        <v>8671.7354400000004</v>
      </c>
      <c r="U70">
        <f>Table2[[#This Row],[UnitCost]]*Table2[[#This Row],[Quantity]]</f>
        <v>8902.98</v>
      </c>
      <c r="V70" s="13">
        <f t="shared" si="13"/>
        <v>-231.24455999999918</v>
      </c>
      <c r="W70" s="5">
        <f t="shared" si="14"/>
        <v>-2.6666468505639647E-2</v>
      </c>
      <c r="X70" s="17" t="str">
        <f t="shared" si="15"/>
        <v>Aug-2023</v>
      </c>
      <c r="Z70" t="str">
        <f t="shared" si="16"/>
        <v>Africa. South Africa. Johannesburg</v>
      </c>
      <c r="AA70" t="str">
        <f t="shared" si="17"/>
        <v>Low</v>
      </c>
      <c r="AB70" t="str">
        <f t="array" ref="AB70">TEXT(MIN(IF($E$2:$E$633=E70, $B$2:$B$633)), "YYYY-MM")</f>
        <v>2023-01</v>
      </c>
      <c r="AC70" s="13">
        <f>SUM($T$2:T70)</f>
        <v>1256535.1497299999</v>
      </c>
    </row>
    <row r="71" spans="1:29" x14ac:dyDescent="0.45">
      <c r="A71" t="s">
        <v>84</v>
      </c>
      <c r="B71" s="2">
        <v>45037</v>
      </c>
      <c r="C71" s="2">
        <v>45056</v>
      </c>
      <c r="D71" t="s">
        <v>647</v>
      </c>
      <c r="E71" t="s">
        <v>659</v>
      </c>
      <c r="F71" t="s">
        <v>685</v>
      </c>
      <c r="G71" t="s">
        <v>701</v>
      </c>
      <c r="H71" s="9" t="s">
        <v>707</v>
      </c>
      <c r="I71" s="9" t="s">
        <v>720</v>
      </c>
      <c r="J71" s="9" t="s">
        <v>727</v>
      </c>
      <c r="K71" t="s">
        <v>803</v>
      </c>
      <c r="L71" s="7">
        <v>882.33</v>
      </c>
      <c r="M71" s="7">
        <v>1880.15</v>
      </c>
      <c r="N71" s="5">
        <v>0.05</v>
      </c>
      <c r="O71">
        <v>5</v>
      </c>
      <c r="P71" s="2">
        <f t="shared" si="9"/>
        <v>45056</v>
      </c>
      <c r="Q71" t="str">
        <f t="shared" si="10"/>
        <v>Ok</v>
      </c>
      <c r="R71">
        <f>ABS(Table2[[#This Row],[UnitPrice]])</f>
        <v>1880.15</v>
      </c>
      <c r="S71">
        <f t="shared" si="11"/>
        <v>19</v>
      </c>
      <c r="T71" s="12">
        <f t="shared" si="12"/>
        <v>8930.7124999999996</v>
      </c>
      <c r="U71">
        <f>Table2[[#This Row],[UnitCost]]*Table2[[#This Row],[Quantity]]</f>
        <v>4411.6500000000005</v>
      </c>
      <c r="V71" s="13">
        <f t="shared" si="13"/>
        <v>4519.0624999999991</v>
      </c>
      <c r="W71" s="5">
        <f t="shared" si="14"/>
        <v>0.50601365792482955</v>
      </c>
      <c r="X71" s="17" t="str">
        <f t="shared" si="15"/>
        <v>Apr-2023</v>
      </c>
      <c r="Z71" t="str">
        <f t="shared" si="16"/>
        <v>Asia. China. Shanghai</v>
      </c>
      <c r="AA71" t="str">
        <f t="shared" si="17"/>
        <v>High</v>
      </c>
      <c r="AB71" t="str">
        <f t="array" ref="AB71">TEXT(MIN(IF($E$2:$E$633=E71, $B$2:$B$633)), "YYYY-MM")</f>
        <v>2023-01</v>
      </c>
      <c r="AC71" s="13">
        <f>SUM($T$2:T71)</f>
        <v>1265465.8622299999</v>
      </c>
    </row>
    <row r="72" spans="1:29" x14ac:dyDescent="0.45">
      <c r="A72" t="s">
        <v>85</v>
      </c>
      <c r="B72" s="2">
        <v>45369</v>
      </c>
      <c r="C72" s="2">
        <v>45372</v>
      </c>
      <c r="D72" t="s">
        <v>649</v>
      </c>
      <c r="E72" t="s">
        <v>656</v>
      </c>
      <c r="F72" t="s">
        <v>684</v>
      </c>
      <c r="G72" t="s">
        <v>705</v>
      </c>
      <c r="H72" s="9" t="s">
        <v>708</v>
      </c>
      <c r="I72" s="9" t="s">
        <v>724</v>
      </c>
      <c r="J72" s="9" t="s">
        <v>733</v>
      </c>
      <c r="K72" t="s">
        <v>804</v>
      </c>
      <c r="L72" s="7">
        <v>910.63</v>
      </c>
      <c r="M72" s="7">
        <v>1269.4000000000001</v>
      </c>
      <c r="N72" s="5">
        <v>6.8000000000000005E-2</v>
      </c>
      <c r="O72">
        <v>9</v>
      </c>
      <c r="P72" s="2">
        <f t="shared" si="9"/>
        <v>45372</v>
      </c>
      <c r="Q72" t="str">
        <f t="shared" si="10"/>
        <v>Ok</v>
      </c>
      <c r="R72">
        <f>ABS(Table2[[#This Row],[UnitPrice]])</f>
        <v>1269.4000000000001</v>
      </c>
      <c r="S72">
        <f t="shared" si="11"/>
        <v>3</v>
      </c>
      <c r="T72" s="12">
        <f t="shared" si="12"/>
        <v>10647.727199999999</v>
      </c>
      <c r="U72">
        <f>Table2[[#This Row],[UnitCost]]*Table2[[#This Row],[Quantity]]</f>
        <v>8195.67</v>
      </c>
      <c r="V72" s="13">
        <f t="shared" si="13"/>
        <v>2452.0571999999993</v>
      </c>
      <c r="W72" s="5">
        <f t="shared" si="14"/>
        <v>0.23028925834989455</v>
      </c>
      <c r="X72" s="17" t="str">
        <f t="shared" si="15"/>
        <v>Mar-2024</v>
      </c>
      <c r="Z72" t="str">
        <f t="shared" si="16"/>
        <v>Europe. Germany. Munich</v>
      </c>
      <c r="AA72" t="str">
        <f t="shared" si="17"/>
        <v>High</v>
      </c>
      <c r="AB72" t="str">
        <f t="array" ref="AB72">TEXT(MIN(IF($E$2:$E$633=E72, $B$2:$B$633)), "YYYY-MM")</f>
        <v>2023-01</v>
      </c>
      <c r="AC72" s="13">
        <f>SUM($T$2:T72)</f>
        <v>1276113.5894299999</v>
      </c>
    </row>
    <row r="73" spans="1:29" x14ac:dyDescent="0.45">
      <c r="A73" t="s">
        <v>86</v>
      </c>
      <c r="B73" s="2">
        <v>45756</v>
      </c>
      <c r="C73" s="2">
        <v>45783</v>
      </c>
      <c r="D73" t="s">
        <v>648</v>
      </c>
      <c r="E73" t="s">
        <v>655</v>
      </c>
      <c r="F73" t="s">
        <v>672</v>
      </c>
      <c r="G73" t="s">
        <v>706</v>
      </c>
      <c r="H73" s="9" t="s">
        <v>709</v>
      </c>
      <c r="I73" s="9" t="s">
        <v>721</v>
      </c>
      <c r="J73" s="9" t="s">
        <v>731</v>
      </c>
      <c r="K73" t="s">
        <v>805</v>
      </c>
      <c r="L73" s="7">
        <v>264.19</v>
      </c>
      <c r="M73" s="7">
        <v>620.92999999999995</v>
      </c>
      <c r="N73" s="5">
        <v>0.14199999999999999</v>
      </c>
      <c r="O73">
        <v>12</v>
      </c>
      <c r="P73" s="2">
        <f t="shared" si="9"/>
        <v>45783</v>
      </c>
      <c r="Q73" t="str">
        <f t="shared" si="10"/>
        <v>Ok</v>
      </c>
      <c r="R73">
        <f>ABS(Table2[[#This Row],[UnitPrice]])</f>
        <v>620.92999999999995</v>
      </c>
      <c r="S73">
        <f t="shared" si="11"/>
        <v>27</v>
      </c>
      <c r="T73" s="12">
        <f t="shared" si="12"/>
        <v>6393.0952799999995</v>
      </c>
      <c r="U73">
        <f>Table2[[#This Row],[UnitCost]]*Table2[[#This Row],[Quantity]]</f>
        <v>3170.2799999999997</v>
      </c>
      <c r="V73" s="13">
        <f t="shared" si="13"/>
        <v>3222.8152799999998</v>
      </c>
      <c r="W73" s="5">
        <f t="shared" si="14"/>
        <v>0.50410875152794532</v>
      </c>
      <c r="X73" s="17" t="str">
        <f t="shared" si="15"/>
        <v>Apr-2025</v>
      </c>
      <c r="Z73" t="str">
        <f t="shared" si="16"/>
        <v>Americas. Brazil. Brasília</v>
      </c>
      <c r="AA73" t="str">
        <f t="shared" si="17"/>
        <v>Low</v>
      </c>
      <c r="AB73" t="str">
        <f t="array" ref="AB73">TEXT(MIN(IF($E$2:$E$633=E73, $B$2:$B$633)), "YYYY-MM")</f>
        <v>2023-01</v>
      </c>
      <c r="AC73" s="13">
        <f>SUM($T$2:T73)</f>
        <v>1282506.6847099999</v>
      </c>
    </row>
    <row r="74" spans="1:29" x14ac:dyDescent="0.45">
      <c r="A74" t="s">
        <v>87</v>
      </c>
      <c r="B74" s="2">
        <v>45394</v>
      </c>
      <c r="C74" s="2">
        <v>45419</v>
      </c>
      <c r="D74" t="s">
        <v>646</v>
      </c>
      <c r="E74" t="s">
        <v>661</v>
      </c>
      <c r="F74" t="s">
        <v>682</v>
      </c>
      <c r="G74" t="s">
        <v>702</v>
      </c>
      <c r="H74" s="9" t="s">
        <v>710</v>
      </c>
      <c r="I74" s="9" t="s">
        <v>720</v>
      </c>
      <c r="J74" s="9" t="s">
        <v>731</v>
      </c>
      <c r="K74" t="s">
        <v>806</v>
      </c>
      <c r="L74" s="7">
        <v>1376.51</v>
      </c>
      <c r="M74" s="7">
        <v>1455.91</v>
      </c>
      <c r="N74" s="5">
        <v>0.185</v>
      </c>
      <c r="O74">
        <v>17</v>
      </c>
      <c r="P74" s="2">
        <f t="shared" si="9"/>
        <v>45419</v>
      </c>
      <c r="Q74" t="str">
        <f t="shared" si="10"/>
        <v>Ok</v>
      </c>
      <c r="R74">
        <f>ABS(Table2[[#This Row],[UnitPrice]])</f>
        <v>1455.91</v>
      </c>
      <c r="S74">
        <f t="shared" si="11"/>
        <v>25</v>
      </c>
      <c r="T74" s="12">
        <f t="shared" si="12"/>
        <v>20171.63305</v>
      </c>
      <c r="U74">
        <f>Table2[[#This Row],[UnitCost]]*Table2[[#This Row],[Quantity]]</f>
        <v>23400.67</v>
      </c>
      <c r="V74" s="13">
        <f t="shared" si="13"/>
        <v>-3229.0369499999979</v>
      </c>
      <c r="W74" s="5">
        <f t="shared" si="14"/>
        <v>-0.1600781127634085</v>
      </c>
      <c r="X74" s="17" t="str">
        <f t="shared" si="15"/>
        <v>Apr-2024</v>
      </c>
      <c r="Z74" t="str">
        <f t="shared" si="16"/>
        <v>Africa. South Africa. Johannesburg</v>
      </c>
      <c r="AA74" t="str">
        <f t="shared" si="17"/>
        <v>High</v>
      </c>
      <c r="AB74" t="str">
        <f t="array" ref="AB74">TEXT(MIN(IF($E$2:$E$633=E74, $B$2:$B$633)), "YYYY-MM")</f>
        <v>2023-01</v>
      </c>
      <c r="AC74" s="13">
        <f>SUM($T$2:T74)</f>
        <v>1302678.31776</v>
      </c>
    </row>
    <row r="75" spans="1:29" x14ac:dyDescent="0.45">
      <c r="A75" t="s">
        <v>88</v>
      </c>
      <c r="B75" s="2">
        <v>45641</v>
      </c>
      <c r="C75" s="2">
        <v>45646</v>
      </c>
      <c r="D75" t="s">
        <v>647</v>
      </c>
      <c r="E75" t="s">
        <v>659</v>
      </c>
      <c r="F75" t="s">
        <v>676</v>
      </c>
      <c r="G75" t="s">
        <v>705</v>
      </c>
      <c r="H75" s="9" t="s">
        <v>711</v>
      </c>
      <c r="I75" s="9" t="s">
        <v>713</v>
      </c>
      <c r="J75" s="9" t="s">
        <v>729</v>
      </c>
      <c r="K75" t="s">
        <v>807</v>
      </c>
      <c r="L75" s="7">
        <v>717.55</v>
      </c>
      <c r="M75" s="7">
        <v>546.42999999999995</v>
      </c>
      <c r="N75" s="5">
        <v>4.7E-2</v>
      </c>
      <c r="O75">
        <v>18</v>
      </c>
      <c r="P75" s="2">
        <f t="shared" si="9"/>
        <v>45646</v>
      </c>
      <c r="Q75" t="str">
        <f t="shared" si="10"/>
        <v>Ok</v>
      </c>
      <c r="R75">
        <f>ABS(Table2[[#This Row],[UnitPrice]])</f>
        <v>546.42999999999995</v>
      </c>
      <c r="S75">
        <f t="shared" si="11"/>
        <v>5</v>
      </c>
      <c r="T75" s="12">
        <f t="shared" si="12"/>
        <v>9373.460219999999</v>
      </c>
      <c r="U75">
        <f>Table2[[#This Row],[UnitCost]]*Table2[[#This Row],[Quantity]]</f>
        <v>12915.9</v>
      </c>
      <c r="V75" s="13">
        <f t="shared" si="13"/>
        <v>-3542.4397800000006</v>
      </c>
      <c r="W75" s="5">
        <f t="shared" si="14"/>
        <v>-0.37792231437026369</v>
      </c>
      <c r="X75" s="17" t="str">
        <f t="shared" si="15"/>
        <v>Dec-2024</v>
      </c>
      <c r="Z75" t="str">
        <f t="shared" si="16"/>
        <v>Asia. China. Shenzhen</v>
      </c>
      <c r="AA75" t="str">
        <f t="shared" si="17"/>
        <v>Low</v>
      </c>
      <c r="AB75" t="str">
        <f t="array" ref="AB75">TEXT(MIN(IF($E$2:$E$633=E75, $B$2:$B$633)), "YYYY-MM")</f>
        <v>2023-01</v>
      </c>
      <c r="AC75" s="13">
        <f>SUM($T$2:T75)</f>
        <v>1312051.77798</v>
      </c>
    </row>
    <row r="76" spans="1:29" x14ac:dyDescent="0.45">
      <c r="A76" t="s">
        <v>89</v>
      </c>
      <c r="B76" s="2">
        <v>45066</v>
      </c>
      <c r="C76" s="2">
        <v>45064</v>
      </c>
      <c r="D76" t="s">
        <v>646</v>
      </c>
      <c r="E76" t="s">
        <v>661</v>
      </c>
      <c r="F76" t="s">
        <v>687</v>
      </c>
      <c r="G76" t="s">
        <v>701</v>
      </c>
      <c r="H76" s="9" t="s">
        <v>710</v>
      </c>
      <c r="I76" s="9" t="s">
        <v>720</v>
      </c>
      <c r="J76" s="9" t="s">
        <v>727</v>
      </c>
      <c r="K76" t="s">
        <v>808</v>
      </c>
      <c r="L76" s="7">
        <v>917.88</v>
      </c>
      <c r="M76" s="7">
        <v>1347.92</v>
      </c>
      <c r="N76" s="5">
        <v>0.34300000000000003</v>
      </c>
      <c r="O76">
        <v>5</v>
      </c>
      <c r="P76" s="2">
        <f t="shared" si="9"/>
        <v>45073</v>
      </c>
      <c r="Q76" t="str">
        <f t="shared" si="10"/>
        <v>Ok</v>
      </c>
      <c r="R76">
        <f>ABS(Table2[[#This Row],[UnitPrice]])</f>
        <v>1347.92</v>
      </c>
      <c r="S76">
        <f t="shared" si="11"/>
        <v>7</v>
      </c>
      <c r="T76" s="12">
        <f t="shared" si="12"/>
        <v>4427.9172000000008</v>
      </c>
      <c r="U76">
        <f>Table2[[#This Row],[UnitCost]]*Table2[[#This Row],[Quantity]]</f>
        <v>4589.3999999999996</v>
      </c>
      <c r="V76" s="13">
        <f t="shared" si="13"/>
        <v>-161.48279999999886</v>
      </c>
      <c r="W76" s="5">
        <f t="shared" si="14"/>
        <v>-3.6469245630880096E-2</v>
      </c>
      <c r="X76" s="17" t="str">
        <f t="shared" si="15"/>
        <v>May-2023</v>
      </c>
      <c r="Z76" t="str">
        <f t="shared" si="16"/>
        <v>Africa. South Africa. Durban</v>
      </c>
      <c r="AA76" t="str">
        <f t="shared" si="17"/>
        <v>High</v>
      </c>
      <c r="AB76" t="str">
        <f t="array" ref="AB76">TEXT(MIN(IF($E$2:$E$633=E76, $B$2:$B$633)), "YYYY-MM")</f>
        <v>2023-01</v>
      </c>
      <c r="AC76" s="13">
        <f>SUM($T$2:T76)</f>
        <v>1316479.69518</v>
      </c>
    </row>
    <row r="77" spans="1:29" x14ac:dyDescent="0.45">
      <c r="A77" t="s">
        <v>90</v>
      </c>
      <c r="B77" s="2">
        <v>45187</v>
      </c>
      <c r="C77" s="2">
        <v>45207</v>
      </c>
      <c r="D77" t="s">
        <v>647</v>
      </c>
      <c r="E77" t="s">
        <v>654</v>
      </c>
      <c r="F77" t="s">
        <v>680</v>
      </c>
      <c r="G77" t="s">
        <v>705</v>
      </c>
      <c r="H77" s="9" t="s">
        <v>711</v>
      </c>
      <c r="I77" s="9" t="s">
        <v>717</v>
      </c>
      <c r="J77" s="9" t="s">
        <v>727</v>
      </c>
      <c r="K77" t="s">
        <v>809</v>
      </c>
      <c r="L77" s="7">
        <v>825.64</v>
      </c>
      <c r="M77" s="7">
        <v>1108.43</v>
      </c>
      <c r="N77" s="5">
        <v>0.114</v>
      </c>
      <c r="O77">
        <v>7</v>
      </c>
      <c r="P77" s="2">
        <f t="shared" si="9"/>
        <v>45207</v>
      </c>
      <c r="Q77" t="str">
        <f t="shared" si="10"/>
        <v>Ok</v>
      </c>
      <c r="R77">
        <f>ABS(Table2[[#This Row],[UnitPrice]])</f>
        <v>1108.43</v>
      </c>
      <c r="S77">
        <f t="shared" si="11"/>
        <v>20</v>
      </c>
      <c r="T77" s="12">
        <f t="shared" si="12"/>
        <v>6874.4828600000001</v>
      </c>
      <c r="U77">
        <f>Table2[[#This Row],[UnitCost]]*Table2[[#This Row],[Quantity]]</f>
        <v>5779.48</v>
      </c>
      <c r="V77" s="13">
        <f t="shared" si="13"/>
        <v>1095.0028600000005</v>
      </c>
      <c r="W77" s="5">
        <f t="shared" si="14"/>
        <v>0.15928512475773349</v>
      </c>
      <c r="X77" s="17" t="str">
        <f t="shared" si="15"/>
        <v>Sep-2023</v>
      </c>
      <c r="Z77" t="str">
        <f t="shared" si="16"/>
        <v>Asia. India. Delhi</v>
      </c>
      <c r="AA77" t="str">
        <f t="shared" si="17"/>
        <v>Low</v>
      </c>
      <c r="AB77" t="str">
        <f t="array" ref="AB77">TEXT(MIN(IF($E$2:$E$633=E77, $B$2:$B$633)), "YYYY-MM")</f>
        <v>2023-01</v>
      </c>
      <c r="AC77" s="13">
        <f>SUM($T$2:T77)</f>
        <v>1323354.1780400001</v>
      </c>
    </row>
    <row r="78" spans="1:29" x14ac:dyDescent="0.45">
      <c r="A78" t="s">
        <v>91</v>
      </c>
      <c r="B78" s="2">
        <v>45532</v>
      </c>
      <c r="C78" s="2">
        <v>45560</v>
      </c>
      <c r="D78" t="s">
        <v>648</v>
      </c>
      <c r="E78" t="s">
        <v>655</v>
      </c>
      <c r="F78" t="s">
        <v>692</v>
      </c>
      <c r="G78" t="s">
        <v>703</v>
      </c>
      <c r="H78" s="9" t="s">
        <v>708</v>
      </c>
      <c r="I78" s="9" t="s">
        <v>1422</v>
      </c>
      <c r="J78" s="9" t="s">
        <v>733</v>
      </c>
      <c r="K78" t="s">
        <v>810</v>
      </c>
      <c r="L78" s="7">
        <v>1394.65</v>
      </c>
      <c r="M78" s="7">
        <v>3144.1</v>
      </c>
      <c r="N78" s="5">
        <v>0.13400000000000001</v>
      </c>
      <c r="O78">
        <v>13</v>
      </c>
      <c r="P78" s="2">
        <f t="shared" si="9"/>
        <v>45560</v>
      </c>
      <c r="Q78" t="str">
        <f t="shared" si="10"/>
        <v>Ok</v>
      </c>
      <c r="R78">
        <f>ABS(Table2[[#This Row],[UnitPrice]])</f>
        <v>3144.1</v>
      </c>
      <c r="S78">
        <f t="shared" si="11"/>
        <v>28</v>
      </c>
      <c r="T78" s="12">
        <f t="shared" si="12"/>
        <v>35396.277799999996</v>
      </c>
      <c r="U78">
        <f>Table2[[#This Row],[UnitCost]]*Table2[[#This Row],[Quantity]]</f>
        <v>18130.45</v>
      </c>
      <c r="V78" s="13">
        <f t="shared" si="13"/>
        <v>17265.827799999995</v>
      </c>
      <c r="W78" s="5">
        <f t="shared" si="14"/>
        <v>0.4877865378263021</v>
      </c>
      <c r="X78" s="17" t="str">
        <f t="shared" si="15"/>
        <v>Aug-2024</v>
      </c>
      <c r="Z78" t="str">
        <f t="shared" si="16"/>
        <v>Americas. Brazil. Rio de Janeiro</v>
      </c>
      <c r="AA78" t="str">
        <f t="shared" si="17"/>
        <v>High</v>
      </c>
      <c r="AB78" t="str">
        <f t="array" ref="AB78">TEXT(MIN(IF($E$2:$E$633=E78, $B$2:$B$633)), "YYYY-MM")</f>
        <v>2023-01</v>
      </c>
      <c r="AC78" s="13">
        <f>SUM($T$2:T78)</f>
        <v>1358750.4558400002</v>
      </c>
    </row>
    <row r="79" spans="1:29" x14ac:dyDescent="0.45">
      <c r="A79" t="s">
        <v>92</v>
      </c>
      <c r="B79" s="2">
        <v>45473</v>
      </c>
      <c r="C79" s="2">
        <v>45471</v>
      </c>
      <c r="D79" t="s">
        <v>648</v>
      </c>
      <c r="E79" t="s">
        <v>655</v>
      </c>
      <c r="F79" t="s">
        <v>692</v>
      </c>
      <c r="G79" t="s">
        <v>705</v>
      </c>
      <c r="H79" s="9" t="s">
        <v>711</v>
      </c>
      <c r="I79" s="9" t="s">
        <v>716</v>
      </c>
      <c r="J79" s="9" t="s">
        <v>733</v>
      </c>
      <c r="K79" t="s">
        <v>811</v>
      </c>
      <c r="L79" s="7">
        <v>1112.98</v>
      </c>
      <c r="M79" s="7">
        <v>2095.73</v>
      </c>
      <c r="N79" s="5">
        <v>7.1999999999999995E-2</v>
      </c>
      <c r="O79">
        <v>17</v>
      </c>
      <c r="P79" s="2">
        <f t="shared" si="9"/>
        <v>45480</v>
      </c>
      <c r="Q79" t="str">
        <f t="shared" si="10"/>
        <v>Ok</v>
      </c>
      <c r="R79">
        <f>ABS(Table2[[#This Row],[UnitPrice]])</f>
        <v>2095.73</v>
      </c>
      <c r="S79">
        <f t="shared" si="11"/>
        <v>7</v>
      </c>
      <c r="T79" s="12">
        <f t="shared" si="12"/>
        <v>33062.236480000007</v>
      </c>
      <c r="U79">
        <f>Table2[[#This Row],[UnitCost]]*Table2[[#This Row],[Quantity]]</f>
        <v>18920.66</v>
      </c>
      <c r="V79" s="13">
        <f t="shared" si="13"/>
        <v>14141.576480000007</v>
      </c>
      <c r="W79" s="5">
        <f t="shared" si="14"/>
        <v>0.42772594916724777</v>
      </c>
      <c r="X79" s="17" t="str">
        <f t="shared" si="15"/>
        <v>Jun-2024</v>
      </c>
      <c r="Z79" t="str">
        <f t="shared" si="16"/>
        <v>Americas. Brazil. Rio de Janeiro</v>
      </c>
      <c r="AA79" t="str">
        <f t="shared" si="17"/>
        <v>High</v>
      </c>
      <c r="AB79" t="str">
        <f t="array" ref="AB79">TEXT(MIN(IF($E$2:$E$633=E79, $B$2:$B$633)), "YYYY-MM")</f>
        <v>2023-01</v>
      </c>
      <c r="AC79" s="13">
        <f>SUM($T$2:T79)</f>
        <v>1391812.6923200001</v>
      </c>
    </row>
    <row r="80" spans="1:29" x14ac:dyDescent="0.45">
      <c r="A80" t="s">
        <v>93</v>
      </c>
      <c r="B80" s="2">
        <v>45091</v>
      </c>
      <c r="C80" s="2">
        <v>45093</v>
      </c>
      <c r="D80" t="s">
        <v>649</v>
      </c>
      <c r="E80" t="s">
        <v>658</v>
      </c>
      <c r="F80" t="s">
        <v>693</v>
      </c>
      <c r="G80" t="s">
        <v>703</v>
      </c>
      <c r="H80" s="9" t="s">
        <v>711</v>
      </c>
      <c r="I80" s="9" t="s">
        <v>723</v>
      </c>
      <c r="J80" s="9" t="s">
        <v>727</v>
      </c>
      <c r="K80" t="s">
        <v>812</v>
      </c>
      <c r="L80" s="7">
        <v>357.36</v>
      </c>
      <c r="M80" s="7">
        <v>703.62</v>
      </c>
      <c r="N80" s="5">
        <v>0.25700000000000001</v>
      </c>
      <c r="O80">
        <v>20</v>
      </c>
      <c r="P80" s="2">
        <f t="shared" si="9"/>
        <v>45093</v>
      </c>
      <c r="Q80" t="str">
        <f t="shared" si="10"/>
        <v>Ok</v>
      </c>
      <c r="R80">
        <f>ABS(Table2[[#This Row],[UnitPrice]])</f>
        <v>703.62</v>
      </c>
      <c r="S80">
        <f t="shared" si="11"/>
        <v>2</v>
      </c>
      <c r="T80" s="12">
        <f t="shared" si="12"/>
        <v>10455.7932</v>
      </c>
      <c r="U80">
        <f>Table2[[#This Row],[UnitCost]]*Table2[[#This Row],[Quantity]]</f>
        <v>7147.2000000000007</v>
      </c>
      <c r="V80" s="13">
        <f t="shared" si="13"/>
        <v>3308.5931999999993</v>
      </c>
      <c r="W80" s="5">
        <f t="shared" si="14"/>
        <v>0.31643636563125593</v>
      </c>
      <c r="X80" s="17" t="str">
        <f t="shared" si="15"/>
        <v>Jun-2023</v>
      </c>
      <c r="Z80" t="str">
        <f t="shared" si="16"/>
        <v>Europe. United Kingdom. Manchester</v>
      </c>
      <c r="AA80" t="str">
        <f t="shared" si="17"/>
        <v>Low</v>
      </c>
      <c r="AB80" t="str">
        <f t="array" ref="AB80">TEXT(MIN(IF($E$2:$E$633=E80, $B$2:$B$633)), "YYYY-MM")</f>
        <v>2023-01</v>
      </c>
      <c r="AC80" s="13">
        <f>SUM($T$2:T80)</f>
        <v>1402268.4855200001</v>
      </c>
    </row>
    <row r="81" spans="1:29" x14ac:dyDescent="0.45">
      <c r="A81" t="s">
        <v>94</v>
      </c>
      <c r="B81" s="2">
        <v>45617</v>
      </c>
      <c r="C81" s="2">
        <v>45647</v>
      </c>
      <c r="D81" t="s">
        <v>649</v>
      </c>
      <c r="E81" t="s">
        <v>657</v>
      </c>
      <c r="F81" t="s">
        <v>673</v>
      </c>
      <c r="G81" t="s">
        <v>705</v>
      </c>
      <c r="H81" s="9" t="s">
        <v>711</v>
      </c>
      <c r="I81" s="9" t="s">
        <v>714</v>
      </c>
      <c r="J81" s="9" t="s">
        <v>732</v>
      </c>
      <c r="K81" t="s">
        <v>813</v>
      </c>
      <c r="L81" s="7">
        <v>1122.68</v>
      </c>
      <c r="M81" s="7">
        <v>1997.19</v>
      </c>
      <c r="N81" s="5">
        <v>0.186</v>
      </c>
      <c r="O81">
        <v>3</v>
      </c>
      <c r="P81" s="2">
        <f t="shared" si="9"/>
        <v>45647</v>
      </c>
      <c r="Q81" t="str">
        <f t="shared" si="10"/>
        <v>Ok</v>
      </c>
      <c r="R81">
        <f>ABS(Table2[[#This Row],[UnitPrice]])</f>
        <v>1997.19</v>
      </c>
      <c r="S81">
        <f t="shared" si="11"/>
        <v>30</v>
      </c>
      <c r="T81" s="12">
        <f t="shared" si="12"/>
        <v>4877.1379800000004</v>
      </c>
      <c r="U81">
        <f>Table2[[#This Row],[UnitCost]]*Table2[[#This Row],[Quantity]]</f>
        <v>3368.04</v>
      </c>
      <c r="V81" s="13">
        <f t="shared" si="13"/>
        <v>1509.0979800000005</v>
      </c>
      <c r="W81" s="5">
        <f t="shared" si="14"/>
        <v>0.30942285951073306</v>
      </c>
      <c r="X81" s="17" t="str">
        <f t="shared" si="15"/>
        <v>Nov-2024</v>
      </c>
      <c r="Z81" t="str">
        <f t="shared" si="16"/>
        <v>Europe. France. Marseille</v>
      </c>
      <c r="AA81" t="str">
        <f t="shared" si="17"/>
        <v>High</v>
      </c>
      <c r="AB81" t="str">
        <f t="array" ref="AB81">TEXT(MIN(IF($E$2:$E$633=E81, $B$2:$B$633)), "YYYY-MM")</f>
        <v>2023-01</v>
      </c>
      <c r="AC81" s="13">
        <f>SUM($T$2:T81)</f>
        <v>1407145.6235000002</v>
      </c>
    </row>
    <row r="82" spans="1:29" x14ac:dyDescent="0.45">
      <c r="A82" t="s">
        <v>95</v>
      </c>
      <c r="B82" s="2">
        <v>44965</v>
      </c>
      <c r="C82" s="2">
        <v>44968</v>
      </c>
      <c r="D82" t="s">
        <v>646</v>
      </c>
      <c r="E82" t="s">
        <v>661</v>
      </c>
      <c r="F82" t="s">
        <v>695</v>
      </c>
      <c r="G82" t="s">
        <v>701</v>
      </c>
      <c r="H82" s="9" t="s">
        <v>711</v>
      </c>
      <c r="I82" s="9" t="s">
        <v>724</v>
      </c>
      <c r="J82" s="9" t="s">
        <v>729</v>
      </c>
      <c r="K82" t="s">
        <v>814</v>
      </c>
      <c r="L82" s="7">
        <v>1410.05</v>
      </c>
      <c r="M82" s="7">
        <v>2763.95</v>
      </c>
      <c r="N82" s="5">
        <v>0.161</v>
      </c>
      <c r="O82">
        <v>26</v>
      </c>
      <c r="P82" s="2">
        <f t="shared" si="9"/>
        <v>44968</v>
      </c>
      <c r="Q82" t="str">
        <f t="shared" si="10"/>
        <v>Ok</v>
      </c>
      <c r="R82">
        <f>ABS(Table2[[#This Row],[UnitPrice]])</f>
        <v>2763.95</v>
      </c>
      <c r="S82">
        <f t="shared" si="11"/>
        <v>3</v>
      </c>
      <c r="T82" s="12">
        <f t="shared" si="12"/>
        <v>60292.805299999993</v>
      </c>
      <c r="U82">
        <f>Table2[[#This Row],[UnitCost]]*Table2[[#This Row],[Quantity]]</f>
        <v>36661.299999999996</v>
      </c>
      <c r="V82" s="13">
        <f t="shared" si="13"/>
        <v>23631.505299999997</v>
      </c>
      <c r="W82" s="5">
        <f t="shared" si="14"/>
        <v>0.39194569206750779</v>
      </c>
      <c r="X82" s="17" t="str">
        <f t="shared" si="15"/>
        <v>Feb-2023</v>
      </c>
      <c r="Z82" t="str">
        <f t="shared" si="16"/>
        <v>Africa. South Africa. Cape Town</v>
      </c>
      <c r="AA82" t="str">
        <f t="shared" si="17"/>
        <v>High</v>
      </c>
      <c r="AB82" t="str">
        <f t="array" ref="AB82">TEXT(MIN(IF($E$2:$E$633=E82, $B$2:$B$633)), "YYYY-MM")</f>
        <v>2023-01</v>
      </c>
      <c r="AC82" s="13">
        <f>SUM($T$2:T82)</f>
        <v>1467438.4288000001</v>
      </c>
    </row>
    <row r="83" spans="1:29" x14ac:dyDescent="0.45">
      <c r="A83" t="s">
        <v>96</v>
      </c>
      <c r="B83" s="2">
        <v>45157</v>
      </c>
      <c r="C83" s="2">
        <v>45181</v>
      </c>
      <c r="D83" t="s">
        <v>648</v>
      </c>
      <c r="E83" t="s">
        <v>653</v>
      </c>
      <c r="F83" t="s">
        <v>688</v>
      </c>
      <c r="G83" t="s">
        <v>706</v>
      </c>
      <c r="H83" s="9" t="s">
        <v>707</v>
      </c>
      <c r="I83" s="9" t="s">
        <v>714</v>
      </c>
      <c r="J83" s="9" t="s">
        <v>728</v>
      </c>
      <c r="K83" t="s">
        <v>815</v>
      </c>
      <c r="L83" s="7">
        <v>1183.95</v>
      </c>
      <c r="M83" s="7">
        <v>1503.53</v>
      </c>
      <c r="N83" s="5">
        <v>0.24099999999999999</v>
      </c>
      <c r="O83">
        <v>16</v>
      </c>
      <c r="P83" s="2">
        <f t="shared" si="9"/>
        <v>45181</v>
      </c>
      <c r="Q83" t="str">
        <f t="shared" si="10"/>
        <v>Ok</v>
      </c>
      <c r="R83">
        <f>ABS(Table2[[#This Row],[UnitPrice]])</f>
        <v>1503.53</v>
      </c>
      <c r="S83">
        <f t="shared" si="11"/>
        <v>24</v>
      </c>
      <c r="T83" s="12">
        <f t="shared" si="12"/>
        <v>18258.868320000001</v>
      </c>
      <c r="U83">
        <f>Table2[[#This Row],[UnitCost]]*Table2[[#This Row],[Quantity]]</f>
        <v>18943.2</v>
      </c>
      <c r="V83" s="13">
        <f t="shared" si="13"/>
        <v>-684.33167999999932</v>
      </c>
      <c r="W83" s="5">
        <f t="shared" si="14"/>
        <v>-3.7479413729623705E-2</v>
      </c>
      <c r="X83" s="17" t="str">
        <f t="shared" si="15"/>
        <v>Aug-2023</v>
      </c>
      <c r="Z83" t="str">
        <f t="shared" si="16"/>
        <v>Americas. Canada. Vancouver</v>
      </c>
      <c r="AA83" t="str">
        <f t="shared" si="17"/>
        <v>High</v>
      </c>
      <c r="AB83" t="str">
        <f t="array" ref="AB83">TEXT(MIN(IF($E$2:$E$633=E83, $B$2:$B$633)), "YYYY-MM")</f>
        <v>2023-01</v>
      </c>
      <c r="AC83" s="13">
        <f>SUM($T$2:T83)</f>
        <v>1485697.29712</v>
      </c>
    </row>
    <row r="84" spans="1:29" x14ac:dyDescent="0.45">
      <c r="A84" t="s">
        <v>97</v>
      </c>
      <c r="B84" s="2">
        <v>45791</v>
      </c>
      <c r="C84" s="2">
        <v>45801</v>
      </c>
      <c r="D84" t="s">
        <v>649</v>
      </c>
      <c r="E84" t="s">
        <v>657</v>
      </c>
      <c r="F84" t="s">
        <v>690</v>
      </c>
      <c r="G84" t="s">
        <v>705</v>
      </c>
      <c r="H84" s="9" t="s">
        <v>709</v>
      </c>
      <c r="I84" s="9" t="s">
        <v>723</v>
      </c>
      <c r="J84" s="9" t="s">
        <v>727</v>
      </c>
      <c r="K84" t="s">
        <v>816</v>
      </c>
      <c r="L84" s="7">
        <v>170.39</v>
      </c>
      <c r="M84" s="7">
        <v>388.04</v>
      </c>
      <c r="N84" s="5">
        <v>8.4000000000000005E-2</v>
      </c>
      <c r="O84">
        <v>15</v>
      </c>
      <c r="P84" s="2">
        <f t="shared" si="9"/>
        <v>45801</v>
      </c>
      <c r="Q84" t="str">
        <f t="shared" si="10"/>
        <v>Ok</v>
      </c>
      <c r="R84">
        <f>ABS(Table2[[#This Row],[UnitPrice]])</f>
        <v>388.04</v>
      </c>
      <c r="S84">
        <f t="shared" si="11"/>
        <v>10</v>
      </c>
      <c r="T84" s="12">
        <f t="shared" si="12"/>
        <v>5331.6696000000002</v>
      </c>
      <c r="U84">
        <f>Table2[[#This Row],[UnitCost]]*Table2[[#This Row],[Quantity]]</f>
        <v>2555.85</v>
      </c>
      <c r="V84" s="13">
        <f t="shared" si="13"/>
        <v>2775.8196000000003</v>
      </c>
      <c r="W84" s="5">
        <f t="shared" si="14"/>
        <v>0.52062858508711796</v>
      </c>
      <c r="X84" s="17" t="str">
        <f t="shared" si="15"/>
        <v>May-2025</v>
      </c>
      <c r="Z84" t="str">
        <f t="shared" si="16"/>
        <v>Europe. France. Paris</v>
      </c>
      <c r="AA84" t="str">
        <f t="shared" si="17"/>
        <v>Low</v>
      </c>
      <c r="AB84" t="str">
        <f t="array" ref="AB84">TEXT(MIN(IF($E$2:$E$633=E84, $B$2:$B$633)), "YYYY-MM")</f>
        <v>2023-01</v>
      </c>
      <c r="AC84" s="13">
        <f>SUM($T$2:T84)</f>
        <v>1491028.9667199999</v>
      </c>
    </row>
    <row r="85" spans="1:29" x14ac:dyDescent="0.45">
      <c r="A85" t="s">
        <v>98</v>
      </c>
      <c r="B85" s="2">
        <v>45770</v>
      </c>
      <c r="C85" s="2">
        <v>45769</v>
      </c>
      <c r="D85" t="s">
        <v>648</v>
      </c>
      <c r="E85" t="s">
        <v>660</v>
      </c>
      <c r="F85" t="s">
        <v>686</v>
      </c>
      <c r="G85" t="s">
        <v>703</v>
      </c>
      <c r="H85" s="9" t="s">
        <v>710</v>
      </c>
      <c r="I85" s="9" t="s">
        <v>726</v>
      </c>
      <c r="J85" s="9" t="s">
        <v>732</v>
      </c>
      <c r="K85" t="s">
        <v>817</v>
      </c>
      <c r="L85" s="7">
        <v>23.24</v>
      </c>
      <c r="M85" s="7">
        <v>44.57</v>
      </c>
      <c r="N85" s="5">
        <v>0.215</v>
      </c>
      <c r="O85">
        <v>15</v>
      </c>
      <c r="P85" s="2">
        <f t="shared" si="9"/>
        <v>45777</v>
      </c>
      <c r="Q85" t="str">
        <f t="shared" si="10"/>
        <v>Ok</v>
      </c>
      <c r="R85">
        <f>ABS(Table2[[#This Row],[UnitPrice]])</f>
        <v>44.57</v>
      </c>
      <c r="S85">
        <f t="shared" si="11"/>
        <v>7</v>
      </c>
      <c r="T85" s="12">
        <f t="shared" si="12"/>
        <v>524.81174999999996</v>
      </c>
      <c r="U85">
        <f>Table2[[#This Row],[UnitCost]]*Table2[[#This Row],[Quantity]]</f>
        <v>348.59999999999997</v>
      </c>
      <c r="V85" s="13">
        <f t="shared" si="13"/>
        <v>176.21174999999999</v>
      </c>
      <c r="W85" s="5">
        <f t="shared" si="14"/>
        <v>0.33576182316802167</v>
      </c>
      <c r="X85" s="17" t="str">
        <f t="shared" si="15"/>
        <v>Apr-2025</v>
      </c>
      <c r="Z85" t="str">
        <f t="shared" si="16"/>
        <v>Americas. USA. San Francisco</v>
      </c>
      <c r="AA85" t="str">
        <f t="shared" si="17"/>
        <v>Low</v>
      </c>
      <c r="AB85" t="str">
        <f t="array" ref="AB85">TEXT(MIN(IF($E$2:$E$633=E85, $B$2:$B$633)), "YYYY-MM")</f>
        <v>2023-01</v>
      </c>
      <c r="AC85" s="13">
        <f>SUM($T$2:T85)</f>
        <v>1491553.77847</v>
      </c>
    </row>
    <row r="86" spans="1:29" x14ac:dyDescent="0.45">
      <c r="A86" t="s">
        <v>99</v>
      </c>
      <c r="B86" s="2">
        <v>45741</v>
      </c>
      <c r="C86" s="2">
        <v>45764</v>
      </c>
      <c r="D86" t="s">
        <v>649</v>
      </c>
      <c r="E86" t="s">
        <v>658</v>
      </c>
      <c r="F86" t="s">
        <v>683</v>
      </c>
      <c r="G86" t="s">
        <v>704</v>
      </c>
      <c r="H86" s="9" t="s">
        <v>707</v>
      </c>
      <c r="I86" s="9" t="s">
        <v>722</v>
      </c>
      <c r="J86" s="9" t="s">
        <v>729</v>
      </c>
      <c r="K86" t="s">
        <v>818</v>
      </c>
      <c r="L86" s="7">
        <v>1421.19</v>
      </c>
      <c r="M86" s="7">
        <v>1808.26</v>
      </c>
      <c r="N86" s="5">
        <v>0.104</v>
      </c>
      <c r="O86">
        <v>13</v>
      </c>
      <c r="P86" s="2">
        <f t="shared" si="9"/>
        <v>45764</v>
      </c>
      <c r="Q86" t="str">
        <f t="shared" si="10"/>
        <v>Ok</v>
      </c>
      <c r="R86">
        <f>ABS(Table2[[#This Row],[UnitPrice]])</f>
        <v>1808.26</v>
      </c>
      <c r="S86">
        <f t="shared" si="11"/>
        <v>23</v>
      </c>
      <c r="T86" s="12">
        <f t="shared" si="12"/>
        <v>21062.61248</v>
      </c>
      <c r="U86">
        <f>Table2[[#This Row],[UnitCost]]*Table2[[#This Row],[Quantity]]</f>
        <v>18475.47</v>
      </c>
      <c r="V86" s="13">
        <f t="shared" si="13"/>
        <v>2587.1424799999986</v>
      </c>
      <c r="W86" s="5">
        <f t="shared" si="14"/>
        <v>0.12283103449093123</v>
      </c>
      <c r="X86" s="17" t="str">
        <f t="shared" si="15"/>
        <v>Mar-2025</v>
      </c>
      <c r="Z86" t="str">
        <f t="shared" si="16"/>
        <v>Europe. United Kingdom. London</v>
      </c>
      <c r="AA86" t="str">
        <f t="shared" si="17"/>
        <v>High</v>
      </c>
      <c r="AB86" t="str">
        <f t="array" ref="AB86">TEXT(MIN(IF($E$2:$E$633=E86, $B$2:$B$633)), "YYYY-MM")</f>
        <v>2023-01</v>
      </c>
      <c r="AC86" s="13">
        <f>SUM($T$2:T86)</f>
        <v>1512616.3909499999</v>
      </c>
    </row>
    <row r="87" spans="1:29" x14ac:dyDescent="0.45">
      <c r="A87" t="s">
        <v>100</v>
      </c>
      <c r="B87" s="2">
        <v>45282</v>
      </c>
      <c r="C87" s="2">
        <v>45283</v>
      </c>
      <c r="D87" t="s">
        <v>646</v>
      </c>
      <c r="E87" t="s">
        <v>661</v>
      </c>
      <c r="F87" t="s">
        <v>695</v>
      </c>
      <c r="G87" t="s">
        <v>703</v>
      </c>
      <c r="H87" s="9" t="s">
        <v>709</v>
      </c>
      <c r="I87" s="9" t="s">
        <v>726</v>
      </c>
      <c r="J87" s="9" t="s">
        <v>727</v>
      </c>
      <c r="K87" t="s">
        <v>819</v>
      </c>
      <c r="L87" s="7">
        <v>1186.18</v>
      </c>
      <c r="M87" s="7">
        <v>1285.0899999999999</v>
      </c>
      <c r="N87" s="5">
        <v>7.0000000000000007E-2</v>
      </c>
      <c r="O87">
        <v>11</v>
      </c>
      <c r="P87" s="2">
        <f t="shared" si="9"/>
        <v>45283</v>
      </c>
      <c r="Q87" t="str">
        <f t="shared" si="10"/>
        <v>Ok</v>
      </c>
      <c r="R87">
        <f>ABS(Table2[[#This Row],[UnitPrice]])</f>
        <v>1285.0899999999999</v>
      </c>
      <c r="S87">
        <f t="shared" si="11"/>
        <v>1</v>
      </c>
      <c r="T87" s="12">
        <f t="shared" si="12"/>
        <v>13146.470699999998</v>
      </c>
      <c r="U87">
        <f>Table2[[#This Row],[UnitCost]]*Table2[[#This Row],[Quantity]]</f>
        <v>13047.980000000001</v>
      </c>
      <c r="V87" s="13">
        <f t="shared" si="13"/>
        <v>98.49069999999665</v>
      </c>
      <c r="W87" s="5">
        <f t="shared" si="14"/>
        <v>7.4917977796121861E-3</v>
      </c>
      <c r="X87" s="17" t="str">
        <f t="shared" si="15"/>
        <v>Dec-2023</v>
      </c>
      <c r="Z87" t="str">
        <f t="shared" si="16"/>
        <v>Africa. South Africa. Cape Town</v>
      </c>
      <c r="AA87" t="str">
        <f t="shared" si="17"/>
        <v>High</v>
      </c>
      <c r="AB87" t="str">
        <f t="array" ref="AB87">TEXT(MIN(IF($E$2:$E$633=E87, $B$2:$B$633)), "YYYY-MM")</f>
        <v>2023-01</v>
      </c>
      <c r="AC87" s="13">
        <f>SUM($T$2:T87)</f>
        <v>1525762.8616499999</v>
      </c>
    </row>
    <row r="88" spans="1:29" x14ac:dyDescent="0.45">
      <c r="A88" t="s">
        <v>101</v>
      </c>
      <c r="B88" s="2">
        <v>45388</v>
      </c>
      <c r="C88" s="2">
        <v>45407</v>
      </c>
      <c r="D88" t="s">
        <v>647</v>
      </c>
      <c r="E88" t="s">
        <v>659</v>
      </c>
      <c r="F88" t="s">
        <v>685</v>
      </c>
      <c r="G88" t="s">
        <v>701</v>
      </c>
      <c r="H88" s="9" t="s">
        <v>707</v>
      </c>
      <c r="I88" s="9" t="s">
        <v>723</v>
      </c>
      <c r="J88" s="9" t="s">
        <v>727</v>
      </c>
      <c r="K88" t="s">
        <v>820</v>
      </c>
      <c r="L88" s="7">
        <v>1366.48</v>
      </c>
      <c r="M88" s="7">
        <v>1678.14</v>
      </c>
      <c r="N88" s="5">
        <v>0.154</v>
      </c>
      <c r="O88">
        <v>10</v>
      </c>
      <c r="P88" s="2">
        <f t="shared" si="9"/>
        <v>45407</v>
      </c>
      <c r="Q88" t="str">
        <f t="shared" si="10"/>
        <v>Ok</v>
      </c>
      <c r="R88">
        <f>ABS(Table2[[#This Row],[UnitPrice]])</f>
        <v>1678.14</v>
      </c>
      <c r="S88">
        <f t="shared" si="11"/>
        <v>19</v>
      </c>
      <c r="T88" s="12">
        <f t="shared" si="12"/>
        <v>14197.064400000001</v>
      </c>
      <c r="U88">
        <f>Table2[[#This Row],[UnitCost]]*Table2[[#This Row],[Quantity]]</f>
        <v>13664.8</v>
      </c>
      <c r="V88" s="13">
        <f t="shared" si="13"/>
        <v>532.26440000000184</v>
      </c>
      <c r="W88" s="5">
        <f t="shared" si="14"/>
        <v>3.7491159087790132E-2</v>
      </c>
      <c r="X88" s="17" t="str">
        <f t="shared" si="15"/>
        <v>Apr-2024</v>
      </c>
      <c r="Z88" t="str">
        <f t="shared" si="16"/>
        <v>Asia. China. Shanghai</v>
      </c>
      <c r="AA88" t="str">
        <f t="shared" si="17"/>
        <v>High</v>
      </c>
      <c r="AB88" t="str">
        <f t="array" ref="AB88">TEXT(MIN(IF($E$2:$E$633=E88, $B$2:$B$633)), "YYYY-MM")</f>
        <v>2023-01</v>
      </c>
      <c r="AC88" s="13">
        <f>SUM($T$2:T88)</f>
        <v>1539959.9260499999</v>
      </c>
    </row>
    <row r="89" spans="1:29" x14ac:dyDescent="0.45">
      <c r="A89" t="s">
        <v>102</v>
      </c>
      <c r="B89" s="2">
        <v>45876</v>
      </c>
      <c r="C89" s="2">
        <v>45888</v>
      </c>
      <c r="D89" t="s">
        <v>646</v>
      </c>
      <c r="E89" t="s">
        <v>650</v>
      </c>
      <c r="F89" t="s">
        <v>678</v>
      </c>
      <c r="G89" t="s">
        <v>701</v>
      </c>
      <c r="H89" s="9" t="s">
        <v>1422</v>
      </c>
      <c r="I89" s="9" t="s">
        <v>724</v>
      </c>
      <c r="J89" s="9" t="s">
        <v>727</v>
      </c>
      <c r="K89" t="s">
        <v>821</v>
      </c>
      <c r="L89" s="7">
        <v>601.51</v>
      </c>
      <c r="M89" s="7">
        <v>679.35</v>
      </c>
      <c r="N89" s="5">
        <v>0.188</v>
      </c>
      <c r="O89">
        <v>3</v>
      </c>
      <c r="P89" s="2">
        <f t="shared" si="9"/>
        <v>45888</v>
      </c>
      <c r="Q89" t="str">
        <f t="shared" si="10"/>
        <v>Ok</v>
      </c>
      <c r="R89">
        <f>ABS(Table2[[#This Row],[UnitPrice]])</f>
        <v>679.35</v>
      </c>
      <c r="S89">
        <f t="shared" si="11"/>
        <v>12</v>
      </c>
      <c r="T89" s="12">
        <f t="shared" si="12"/>
        <v>1654.8966000000003</v>
      </c>
      <c r="U89">
        <f>Table2[[#This Row],[UnitCost]]*Table2[[#This Row],[Quantity]]</f>
        <v>1804.53</v>
      </c>
      <c r="V89" s="13">
        <f t="shared" si="13"/>
        <v>-149.63339999999971</v>
      </c>
      <c r="W89" s="5">
        <f t="shared" si="14"/>
        <v>-9.0418579626062243E-2</v>
      </c>
      <c r="X89" s="17" t="str">
        <f t="shared" si="15"/>
        <v>Aug-2025</v>
      </c>
      <c r="Z89" t="str">
        <f t="shared" si="16"/>
        <v>Africa. Kenya. Nakuru</v>
      </c>
      <c r="AA89" t="str">
        <f t="shared" si="17"/>
        <v>Low</v>
      </c>
      <c r="AB89" t="str">
        <f t="array" ref="AB89">TEXT(MIN(IF($E$2:$E$633=E89, $B$2:$B$633)), "YYYY-MM")</f>
        <v>2023-01</v>
      </c>
      <c r="AC89" s="13">
        <f>SUM($T$2:T89)</f>
        <v>1541614.82265</v>
      </c>
    </row>
    <row r="90" spans="1:29" x14ac:dyDescent="0.45">
      <c r="A90" t="s">
        <v>103</v>
      </c>
      <c r="B90" s="2">
        <v>45312</v>
      </c>
      <c r="C90" s="2">
        <v>45316</v>
      </c>
      <c r="D90" t="s">
        <v>647</v>
      </c>
      <c r="E90" t="s">
        <v>654</v>
      </c>
      <c r="F90" t="s">
        <v>680</v>
      </c>
      <c r="G90" t="s">
        <v>704</v>
      </c>
      <c r="H90" s="9" t="s">
        <v>711</v>
      </c>
      <c r="I90" s="9" t="s">
        <v>712</v>
      </c>
      <c r="J90" s="9" t="s">
        <v>732</v>
      </c>
      <c r="K90" t="s">
        <v>822</v>
      </c>
      <c r="L90" s="7">
        <v>523.70000000000005</v>
      </c>
      <c r="M90" s="7">
        <v>1109.92</v>
      </c>
      <c r="N90" s="5">
        <v>0.03</v>
      </c>
      <c r="O90">
        <v>11</v>
      </c>
      <c r="P90" s="2">
        <f t="shared" si="9"/>
        <v>45316</v>
      </c>
      <c r="Q90" t="str">
        <f t="shared" si="10"/>
        <v>Ok</v>
      </c>
      <c r="R90">
        <f>ABS(Table2[[#This Row],[UnitPrice]])</f>
        <v>1109.92</v>
      </c>
      <c r="S90">
        <f t="shared" si="11"/>
        <v>4</v>
      </c>
      <c r="T90" s="12">
        <f t="shared" si="12"/>
        <v>11842.8464</v>
      </c>
      <c r="U90">
        <f>Table2[[#This Row],[UnitCost]]*Table2[[#This Row],[Quantity]]</f>
        <v>5760.7000000000007</v>
      </c>
      <c r="V90" s="13">
        <f t="shared" si="13"/>
        <v>6082.1463999999996</v>
      </c>
      <c r="W90" s="5">
        <f t="shared" si="14"/>
        <v>0.51357133197302973</v>
      </c>
      <c r="X90" s="17" t="str">
        <f t="shared" si="15"/>
        <v>Jan-2024</v>
      </c>
      <c r="Z90" t="str">
        <f t="shared" si="16"/>
        <v>Asia. India. Delhi</v>
      </c>
      <c r="AA90" t="str">
        <f t="shared" si="17"/>
        <v>Low</v>
      </c>
      <c r="AB90" t="str">
        <f t="array" ref="AB90">TEXT(MIN(IF($E$2:$E$633=E90, $B$2:$B$633)), "YYYY-MM")</f>
        <v>2023-01</v>
      </c>
      <c r="AC90" s="13">
        <f>SUM($T$2:T90)</f>
        <v>1553457.6690499999</v>
      </c>
    </row>
    <row r="91" spans="1:29" x14ac:dyDescent="0.45">
      <c r="A91" t="s">
        <v>104</v>
      </c>
      <c r="B91" s="2">
        <v>45106</v>
      </c>
      <c r="C91" s="2">
        <v>45109</v>
      </c>
      <c r="D91" t="s">
        <v>647</v>
      </c>
      <c r="E91" t="s">
        <v>652</v>
      </c>
      <c r="F91" t="s">
        <v>694</v>
      </c>
      <c r="G91" t="s">
        <v>702</v>
      </c>
      <c r="H91" s="9" t="s">
        <v>709</v>
      </c>
      <c r="I91" s="9" t="s">
        <v>721</v>
      </c>
      <c r="J91" s="9" t="s">
        <v>732</v>
      </c>
      <c r="K91" t="s">
        <v>823</v>
      </c>
      <c r="L91" s="7">
        <v>55.65</v>
      </c>
      <c r="M91" s="7">
        <v>83.57</v>
      </c>
      <c r="N91" s="5">
        <v>6.6000000000000003E-2</v>
      </c>
      <c r="O91">
        <v>8</v>
      </c>
      <c r="P91" s="2">
        <f t="shared" si="9"/>
        <v>45109</v>
      </c>
      <c r="Q91" t="str">
        <f t="shared" si="10"/>
        <v>Ok</v>
      </c>
      <c r="R91">
        <f>ABS(Table2[[#This Row],[UnitPrice]])</f>
        <v>83.57</v>
      </c>
      <c r="S91">
        <f t="shared" si="11"/>
        <v>3</v>
      </c>
      <c r="T91" s="12">
        <f t="shared" si="12"/>
        <v>624.43503999999996</v>
      </c>
      <c r="U91">
        <f>Table2[[#This Row],[UnitCost]]*Table2[[#This Row],[Quantity]]</f>
        <v>445.2</v>
      </c>
      <c r="V91" s="13">
        <f t="shared" si="13"/>
        <v>179.23503999999997</v>
      </c>
      <c r="W91" s="5">
        <f t="shared" si="14"/>
        <v>0.2870355257449998</v>
      </c>
      <c r="X91" s="17" t="str">
        <f t="shared" si="15"/>
        <v>Jun-2023</v>
      </c>
      <c r="Z91" t="str">
        <f t="shared" si="16"/>
        <v>Asia. Japan. Nagoya</v>
      </c>
      <c r="AA91" t="str">
        <f t="shared" si="17"/>
        <v>Low</v>
      </c>
      <c r="AB91" t="str">
        <f t="array" ref="AB91">TEXT(MIN(IF($E$2:$E$633=E91, $B$2:$B$633)), "YYYY-MM")</f>
        <v>2023-03</v>
      </c>
      <c r="AC91" s="13">
        <f>SUM($T$2:T91)</f>
        <v>1554082.1040899998</v>
      </c>
    </row>
    <row r="92" spans="1:29" x14ac:dyDescent="0.45">
      <c r="A92" t="s">
        <v>105</v>
      </c>
      <c r="B92" s="2">
        <v>45775</v>
      </c>
      <c r="C92" s="2">
        <v>45792</v>
      </c>
      <c r="D92" t="s">
        <v>647</v>
      </c>
      <c r="E92" t="s">
        <v>652</v>
      </c>
      <c r="F92" t="s">
        <v>694</v>
      </c>
      <c r="G92" t="s">
        <v>702</v>
      </c>
      <c r="H92" s="9" t="s">
        <v>711</v>
      </c>
      <c r="I92" s="9" t="s">
        <v>725</v>
      </c>
      <c r="J92" s="9" t="s">
        <v>729</v>
      </c>
      <c r="K92" t="s">
        <v>824</v>
      </c>
      <c r="L92" s="7">
        <v>691.19</v>
      </c>
      <c r="M92" s="7">
        <v>1284.3</v>
      </c>
      <c r="N92" s="5">
        <v>7.3999999999999996E-2</v>
      </c>
      <c r="O92">
        <v>7</v>
      </c>
      <c r="P92" s="2">
        <f t="shared" si="9"/>
        <v>45792</v>
      </c>
      <c r="Q92" t="str">
        <f t="shared" si="10"/>
        <v>Ok</v>
      </c>
      <c r="R92">
        <f>ABS(Table2[[#This Row],[UnitPrice]])</f>
        <v>1284.3</v>
      </c>
      <c r="S92">
        <f t="shared" si="11"/>
        <v>17</v>
      </c>
      <c r="T92" s="12">
        <f t="shared" si="12"/>
        <v>8324.8326000000015</v>
      </c>
      <c r="U92">
        <f>Table2[[#This Row],[UnitCost]]*Table2[[#This Row],[Quantity]]</f>
        <v>4838.33</v>
      </c>
      <c r="V92" s="13">
        <f t="shared" si="13"/>
        <v>3486.5026000000016</v>
      </c>
      <c r="W92" s="5">
        <f t="shared" si="14"/>
        <v>0.41880753253825198</v>
      </c>
      <c r="X92" s="17" t="str">
        <f t="shared" si="15"/>
        <v>Apr-2025</v>
      </c>
      <c r="Z92" t="str">
        <f t="shared" si="16"/>
        <v>Asia. Japan. Nagoya</v>
      </c>
      <c r="AA92" t="str">
        <f t="shared" si="17"/>
        <v>High</v>
      </c>
      <c r="AB92" t="str">
        <f t="array" ref="AB92">TEXT(MIN(IF($E$2:$E$633=E92, $B$2:$B$633)), "YYYY-MM")</f>
        <v>2023-03</v>
      </c>
      <c r="AC92" s="13">
        <f>SUM($T$2:T92)</f>
        <v>1562406.9366899999</v>
      </c>
    </row>
    <row r="93" spans="1:29" x14ac:dyDescent="0.45">
      <c r="A93" t="s">
        <v>106</v>
      </c>
      <c r="B93" s="2">
        <v>45817</v>
      </c>
      <c r="C93" s="2">
        <v>45833</v>
      </c>
      <c r="D93" t="s">
        <v>647</v>
      </c>
      <c r="E93" t="s">
        <v>654</v>
      </c>
      <c r="F93" t="s">
        <v>696</v>
      </c>
      <c r="G93" t="s">
        <v>706</v>
      </c>
      <c r="H93" s="9" t="s">
        <v>710</v>
      </c>
      <c r="I93" s="9" t="s">
        <v>724</v>
      </c>
      <c r="J93" s="9" t="s">
        <v>730</v>
      </c>
      <c r="K93" t="s">
        <v>825</v>
      </c>
      <c r="L93" s="7">
        <v>527.33000000000004</v>
      </c>
      <c r="M93" s="7">
        <v>911.72</v>
      </c>
      <c r="N93" s="5">
        <v>0.14399999999999999</v>
      </c>
      <c r="O93">
        <v>25</v>
      </c>
      <c r="P93" s="2">
        <f t="shared" si="9"/>
        <v>45833</v>
      </c>
      <c r="Q93" t="str">
        <f t="shared" si="10"/>
        <v>Ok</v>
      </c>
      <c r="R93">
        <f>ABS(Table2[[#This Row],[UnitPrice]])</f>
        <v>911.72</v>
      </c>
      <c r="S93">
        <f t="shared" si="11"/>
        <v>16</v>
      </c>
      <c r="T93" s="12">
        <f t="shared" si="12"/>
        <v>19510.808000000001</v>
      </c>
      <c r="U93">
        <f>Table2[[#This Row],[UnitCost]]*Table2[[#This Row],[Quantity]]</f>
        <v>13183.250000000002</v>
      </c>
      <c r="V93" s="13">
        <f t="shared" si="13"/>
        <v>6327.5579999999991</v>
      </c>
      <c r="W93" s="5">
        <f t="shared" si="14"/>
        <v>0.32431040272652978</v>
      </c>
      <c r="X93" s="17" t="str">
        <f t="shared" si="15"/>
        <v>Jun-2025</v>
      </c>
      <c r="Z93" t="str">
        <f t="shared" si="16"/>
        <v>Asia. India. Hyderabad</v>
      </c>
      <c r="AA93" t="str">
        <f t="shared" si="17"/>
        <v>Low</v>
      </c>
      <c r="AB93" t="str">
        <f t="array" ref="AB93">TEXT(MIN(IF($E$2:$E$633=E93, $B$2:$B$633)), "YYYY-MM")</f>
        <v>2023-01</v>
      </c>
      <c r="AC93" s="13">
        <f>SUM($T$2:T93)</f>
        <v>1581917.7446899998</v>
      </c>
    </row>
    <row r="94" spans="1:29" x14ac:dyDescent="0.45">
      <c r="A94" t="s">
        <v>107</v>
      </c>
      <c r="B94" s="2">
        <v>45101</v>
      </c>
      <c r="C94" s="2">
        <v>45100</v>
      </c>
      <c r="D94" t="s">
        <v>648</v>
      </c>
      <c r="E94" t="s">
        <v>655</v>
      </c>
      <c r="F94" t="s">
        <v>692</v>
      </c>
      <c r="G94" t="s">
        <v>703</v>
      </c>
      <c r="H94" s="9" t="s">
        <v>707</v>
      </c>
      <c r="I94" s="9" t="s">
        <v>718</v>
      </c>
      <c r="J94" s="9" t="s">
        <v>728</v>
      </c>
      <c r="K94" t="s">
        <v>826</v>
      </c>
      <c r="L94" s="7">
        <v>804.01</v>
      </c>
      <c r="M94" s="7">
        <v>1405.07</v>
      </c>
      <c r="N94" s="5">
        <v>9.6000000000000002E-2</v>
      </c>
      <c r="O94">
        <v>8</v>
      </c>
      <c r="P94" s="2">
        <f t="shared" si="9"/>
        <v>45108</v>
      </c>
      <c r="Q94" t="str">
        <f t="shared" si="10"/>
        <v>Ok</v>
      </c>
      <c r="R94">
        <f>ABS(Table2[[#This Row],[UnitPrice]])</f>
        <v>1405.07</v>
      </c>
      <c r="S94">
        <f t="shared" si="11"/>
        <v>7</v>
      </c>
      <c r="T94" s="12">
        <f t="shared" si="12"/>
        <v>10161.46624</v>
      </c>
      <c r="U94">
        <f>Table2[[#This Row],[UnitCost]]*Table2[[#This Row],[Quantity]]</f>
        <v>6432.08</v>
      </c>
      <c r="V94" s="13">
        <f t="shared" si="13"/>
        <v>3729.3862399999998</v>
      </c>
      <c r="W94" s="5">
        <f t="shared" si="14"/>
        <v>0.36701260939287439</v>
      </c>
      <c r="X94" s="17" t="str">
        <f t="shared" si="15"/>
        <v>Jun-2023</v>
      </c>
      <c r="Z94" t="str">
        <f t="shared" si="16"/>
        <v>Americas. Brazil. Rio de Janeiro</v>
      </c>
      <c r="AA94" t="str">
        <f t="shared" si="17"/>
        <v>High</v>
      </c>
      <c r="AB94" t="str">
        <f t="array" ref="AB94">TEXT(MIN(IF($E$2:$E$633=E94, $B$2:$B$633)), "YYYY-MM")</f>
        <v>2023-01</v>
      </c>
      <c r="AC94" s="13">
        <f>SUM($T$2:T94)</f>
        <v>1592079.2109299998</v>
      </c>
    </row>
    <row r="95" spans="1:29" x14ac:dyDescent="0.45">
      <c r="A95" t="s">
        <v>108</v>
      </c>
      <c r="B95" s="2">
        <v>45569</v>
      </c>
      <c r="C95" s="2">
        <v>45598</v>
      </c>
      <c r="D95" t="s">
        <v>646</v>
      </c>
      <c r="E95" t="s">
        <v>651</v>
      </c>
      <c r="F95" t="s">
        <v>669</v>
      </c>
      <c r="G95" t="s">
        <v>701</v>
      </c>
      <c r="H95" s="9" t="s">
        <v>710</v>
      </c>
      <c r="I95" s="9" t="s">
        <v>721</v>
      </c>
      <c r="J95" s="9" t="s">
        <v>733</v>
      </c>
      <c r="K95" t="s">
        <v>827</v>
      </c>
      <c r="L95" s="7">
        <v>412.09</v>
      </c>
      <c r="M95" s="7">
        <v>968.94</v>
      </c>
      <c r="N95" s="5">
        <v>9.9000000000000005E-2</v>
      </c>
      <c r="O95">
        <v>23</v>
      </c>
      <c r="P95" s="2">
        <f t="shared" si="9"/>
        <v>45598</v>
      </c>
      <c r="Q95" t="str">
        <f t="shared" si="10"/>
        <v>Ok</v>
      </c>
      <c r="R95">
        <f>ABS(Table2[[#This Row],[UnitPrice]])</f>
        <v>968.94</v>
      </c>
      <c r="S95">
        <f t="shared" si="11"/>
        <v>29</v>
      </c>
      <c r="T95" s="12">
        <f t="shared" si="12"/>
        <v>20079.343620000003</v>
      </c>
      <c r="U95">
        <f>Table2[[#This Row],[UnitCost]]*Table2[[#This Row],[Quantity]]</f>
        <v>9478.07</v>
      </c>
      <c r="V95" s="13">
        <f t="shared" si="13"/>
        <v>10601.273620000004</v>
      </c>
      <c r="W95" s="5">
        <f t="shared" si="14"/>
        <v>0.52796913189137418</v>
      </c>
      <c r="X95" s="17" t="str">
        <f t="shared" si="15"/>
        <v>Oct-2024</v>
      </c>
      <c r="Z95" t="str">
        <f t="shared" si="16"/>
        <v>Africa. Nigeria. Abuja</v>
      </c>
      <c r="AA95" t="str">
        <f t="shared" si="17"/>
        <v>Low</v>
      </c>
      <c r="AB95" t="str">
        <f t="array" ref="AB95">TEXT(MIN(IF($E$2:$E$633=E95, $B$2:$B$633)), "YYYY-MM")</f>
        <v>2023-01</v>
      </c>
      <c r="AC95" s="13">
        <f>SUM($T$2:T95)</f>
        <v>1612158.5545499998</v>
      </c>
    </row>
    <row r="96" spans="1:29" x14ac:dyDescent="0.45">
      <c r="A96" t="s">
        <v>109</v>
      </c>
      <c r="B96" s="2">
        <v>45910</v>
      </c>
      <c r="C96" s="2">
        <v>45930</v>
      </c>
      <c r="D96" t="s">
        <v>646</v>
      </c>
      <c r="E96" t="s">
        <v>650</v>
      </c>
      <c r="F96" t="s">
        <v>675</v>
      </c>
      <c r="G96" t="s">
        <v>701</v>
      </c>
      <c r="H96" s="9" t="s">
        <v>711</v>
      </c>
      <c r="I96" s="9" t="s">
        <v>716</v>
      </c>
      <c r="J96" s="9" t="s">
        <v>730</v>
      </c>
      <c r="K96" t="s">
        <v>828</v>
      </c>
      <c r="L96" s="7">
        <v>1009.48</v>
      </c>
      <c r="M96" s="7">
        <v>1088.81</v>
      </c>
      <c r="N96" s="5">
        <v>0.16</v>
      </c>
      <c r="O96">
        <v>6</v>
      </c>
      <c r="P96" s="2">
        <f t="shared" si="9"/>
        <v>45930</v>
      </c>
      <c r="Q96" t="str">
        <f t="shared" si="10"/>
        <v>Ok</v>
      </c>
      <c r="R96">
        <f>ABS(Table2[[#This Row],[UnitPrice]])</f>
        <v>1088.81</v>
      </c>
      <c r="S96">
        <f t="shared" si="11"/>
        <v>20</v>
      </c>
      <c r="T96" s="12">
        <f t="shared" si="12"/>
        <v>5487.6023999999998</v>
      </c>
      <c r="U96">
        <f>Table2[[#This Row],[UnitCost]]*Table2[[#This Row],[Quantity]]</f>
        <v>6056.88</v>
      </c>
      <c r="V96" s="13">
        <f t="shared" si="13"/>
        <v>-569.27760000000035</v>
      </c>
      <c r="W96" s="5">
        <f t="shared" si="14"/>
        <v>-0.10373885688219693</v>
      </c>
      <c r="X96" s="17" t="str">
        <f t="shared" si="15"/>
        <v>Sep-2025</v>
      </c>
      <c r="Z96" t="str">
        <f t="shared" si="16"/>
        <v>Africa. Kenya. Mombasa</v>
      </c>
      <c r="AA96" t="str">
        <f t="shared" si="17"/>
        <v>Low</v>
      </c>
      <c r="AB96" t="str">
        <f t="array" ref="AB96">TEXT(MIN(IF($E$2:$E$633=E96, $B$2:$B$633)), "YYYY-MM")</f>
        <v>2023-01</v>
      </c>
      <c r="AC96" s="13">
        <f>SUM($T$2:T96)</f>
        <v>1617646.1569499997</v>
      </c>
    </row>
    <row r="97" spans="1:29" x14ac:dyDescent="0.45">
      <c r="A97" t="s">
        <v>110</v>
      </c>
      <c r="B97" s="2">
        <v>45022</v>
      </c>
      <c r="C97" s="2">
        <v>45043</v>
      </c>
      <c r="D97" t="s">
        <v>649</v>
      </c>
      <c r="E97" t="s">
        <v>658</v>
      </c>
      <c r="F97" t="s">
        <v>693</v>
      </c>
      <c r="G97" t="s">
        <v>706</v>
      </c>
      <c r="H97" s="9" t="s">
        <v>710</v>
      </c>
      <c r="I97" s="9" t="s">
        <v>714</v>
      </c>
      <c r="J97" s="9" t="s">
        <v>728</v>
      </c>
      <c r="K97" t="s">
        <v>829</v>
      </c>
      <c r="L97" s="7">
        <v>1084.79</v>
      </c>
      <c r="M97" s="7">
        <v>2484.9899999999998</v>
      </c>
      <c r="N97" s="5">
        <v>3.4000000000000002E-2</v>
      </c>
      <c r="O97">
        <v>18</v>
      </c>
      <c r="P97" s="2">
        <f t="shared" si="9"/>
        <v>45043</v>
      </c>
      <c r="Q97" t="str">
        <f t="shared" si="10"/>
        <v>Ok</v>
      </c>
      <c r="R97">
        <f>ABS(Table2[[#This Row],[UnitPrice]])</f>
        <v>2484.9899999999998</v>
      </c>
      <c r="S97">
        <f t="shared" si="11"/>
        <v>21</v>
      </c>
      <c r="T97" s="12">
        <f t="shared" si="12"/>
        <v>43209.006119999991</v>
      </c>
      <c r="U97">
        <f>Table2[[#This Row],[UnitCost]]*Table2[[#This Row],[Quantity]]</f>
        <v>19526.22</v>
      </c>
      <c r="V97" s="13">
        <f t="shared" si="13"/>
        <v>23682.78611999999</v>
      </c>
      <c r="W97" s="5">
        <f t="shared" si="14"/>
        <v>0.54809837685755114</v>
      </c>
      <c r="X97" s="17" t="str">
        <f t="shared" si="15"/>
        <v>Apr-2023</v>
      </c>
      <c r="Z97" t="str">
        <f t="shared" si="16"/>
        <v>Europe. United Kingdom. Manchester</v>
      </c>
      <c r="AA97" t="str">
        <f t="shared" si="17"/>
        <v>High</v>
      </c>
      <c r="AB97" t="str">
        <f t="array" ref="AB97">TEXT(MIN(IF($E$2:$E$633=E97, $B$2:$B$633)), "YYYY-MM")</f>
        <v>2023-01</v>
      </c>
      <c r="AC97" s="13">
        <f>SUM($T$2:T97)</f>
        <v>1660855.1630699998</v>
      </c>
    </row>
    <row r="98" spans="1:29" x14ac:dyDescent="0.45">
      <c r="A98" t="s">
        <v>111</v>
      </c>
      <c r="B98" s="2">
        <v>45870</v>
      </c>
      <c r="C98" s="2">
        <v>45885</v>
      </c>
      <c r="D98" t="s">
        <v>647</v>
      </c>
      <c r="E98" t="s">
        <v>654</v>
      </c>
      <c r="F98" t="s">
        <v>1422</v>
      </c>
      <c r="G98" t="s">
        <v>706</v>
      </c>
      <c r="H98" s="9" t="s">
        <v>711</v>
      </c>
      <c r="I98" s="9" t="s">
        <v>719</v>
      </c>
      <c r="J98" s="9" t="s">
        <v>732</v>
      </c>
      <c r="K98" t="s">
        <v>830</v>
      </c>
      <c r="L98" s="7">
        <v>24.44</v>
      </c>
      <c r="M98" s="7">
        <v>28.69</v>
      </c>
      <c r="N98" s="5">
        <v>0.14599999999999999</v>
      </c>
      <c r="O98">
        <v>6</v>
      </c>
      <c r="P98" s="2">
        <f t="shared" si="9"/>
        <v>45885</v>
      </c>
      <c r="Q98" t="str">
        <f t="shared" si="10"/>
        <v>Ok</v>
      </c>
      <c r="R98">
        <f>ABS(Table2[[#This Row],[UnitPrice]])</f>
        <v>28.69</v>
      </c>
      <c r="S98">
        <f t="shared" si="11"/>
        <v>15</v>
      </c>
      <c r="T98" s="12">
        <f t="shared" si="12"/>
        <v>147.00756000000001</v>
      </c>
      <c r="U98">
        <f>Table2[[#This Row],[UnitCost]]*Table2[[#This Row],[Quantity]]</f>
        <v>146.64000000000001</v>
      </c>
      <c r="V98" s="13">
        <f t="shared" si="13"/>
        <v>0.36755999999999744</v>
      </c>
      <c r="W98" s="5">
        <f t="shared" si="14"/>
        <v>2.5002795774584476E-3</v>
      </c>
      <c r="X98" s="17" t="str">
        <f t="shared" si="15"/>
        <v>Aug-2025</v>
      </c>
      <c r="Z98" t="str">
        <f t="shared" si="16"/>
        <v>Asia. India. Unknown</v>
      </c>
      <c r="AA98" t="str">
        <f t="shared" si="17"/>
        <v>Low</v>
      </c>
      <c r="AB98" t="str">
        <f t="array" ref="AB98">TEXT(MIN(IF($E$2:$E$633=E98, $B$2:$B$633)), "YYYY-MM")</f>
        <v>2023-01</v>
      </c>
      <c r="AC98" s="13">
        <f>SUM($T$2:T98)</f>
        <v>1661002.1706299998</v>
      </c>
    </row>
    <row r="99" spans="1:29" x14ac:dyDescent="0.45">
      <c r="A99" t="s">
        <v>112</v>
      </c>
      <c r="B99" s="2">
        <v>45440</v>
      </c>
      <c r="C99" s="2">
        <v>45438</v>
      </c>
      <c r="D99" t="s">
        <v>646</v>
      </c>
      <c r="E99" t="s">
        <v>651</v>
      </c>
      <c r="F99" t="s">
        <v>669</v>
      </c>
      <c r="G99" t="s">
        <v>706</v>
      </c>
      <c r="H99" s="9" t="s">
        <v>708</v>
      </c>
      <c r="I99" s="9" t="s">
        <v>721</v>
      </c>
      <c r="J99" s="9" t="s">
        <v>733</v>
      </c>
      <c r="K99" t="s">
        <v>831</v>
      </c>
      <c r="L99" s="7">
        <v>1227.08</v>
      </c>
      <c r="M99" s="7">
        <v>1896.62</v>
      </c>
      <c r="N99" s="5">
        <v>0</v>
      </c>
      <c r="O99">
        <v>18</v>
      </c>
      <c r="P99" s="2">
        <f t="shared" si="9"/>
        <v>45447</v>
      </c>
      <c r="Q99" t="str">
        <f t="shared" si="10"/>
        <v>Ok</v>
      </c>
      <c r="R99">
        <f>ABS(Table2[[#This Row],[UnitPrice]])</f>
        <v>1896.62</v>
      </c>
      <c r="S99">
        <f t="shared" si="11"/>
        <v>7</v>
      </c>
      <c r="T99" s="12">
        <f t="shared" si="12"/>
        <v>34139.159999999996</v>
      </c>
      <c r="U99">
        <f>Table2[[#This Row],[UnitCost]]*Table2[[#This Row],[Quantity]]</f>
        <v>22087.439999999999</v>
      </c>
      <c r="V99" s="13">
        <f t="shared" si="13"/>
        <v>12051.719999999998</v>
      </c>
      <c r="W99" s="5">
        <f t="shared" si="14"/>
        <v>0.353017473189147</v>
      </c>
      <c r="X99" s="17" t="str">
        <f t="shared" si="15"/>
        <v>May-2024</v>
      </c>
      <c r="Z99" t="str">
        <f t="shared" si="16"/>
        <v>Africa. Nigeria. Abuja</v>
      </c>
      <c r="AA99" t="str">
        <f t="shared" si="17"/>
        <v>High</v>
      </c>
      <c r="AB99" t="str">
        <f t="array" ref="AB99">TEXT(MIN(IF($E$2:$E$633=E99, $B$2:$B$633)), "YYYY-MM")</f>
        <v>2023-01</v>
      </c>
      <c r="AC99" s="13">
        <f>SUM($T$2:T99)</f>
        <v>1695141.3306299997</v>
      </c>
    </row>
    <row r="100" spans="1:29" x14ac:dyDescent="0.45">
      <c r="A100" t="s">
        <v>113</v>
      </c>
      <c r="B100" s="2">
        <v>45860</v>
      </c>
      <c r="C100" s="2">
        <v>45887</v>
      </c>
      <c r="D100" t="s">
        <v>647</v>
      </c>
      <c r="E100" t="s">
        <v>659</v>
      </c>
      <c r="F100" t="s">
        <v>676</v>
      </c>
      <c r="G100" t="s">
        <v>703</v>
      </c>
      <c r="H100" s="9" t="s">
        <v>709</v>
      </c>
      <c r="I100" s="9" t="s">
        <v>724</v>
      </c>
      <c r="J100" s="9" t="s">
        <v>729</v>
      </c>
      <c r="K100" t="s">
        <v>832</v>
      </c>
      <c r="L100" s="7">
        <v>547.32000000000005</v>
      </c>
      <c r="M100" s="7">
        <v>419.17</v>
      </c>
      <c r="N100" s="5">
        <v>9.1999999999999998E-2</v>
      </c>
      <c r="O100">
        <v>14</v>
      </c>
      <c r="P100" s="2">
        <f t="shared" si="9"/>
        <v>45887</v>
      </c>
      <c r="Q100" t="str">
        <f t="shared" si="10"/>
        <v>Ok</v>
      </c>
      <c r="R100">
        <f>ABS(Table2[[#This Row],[UnitPrice]])</f>
        <v>419.17</v>
      </c>
      <c r="S100">
        <f t="shared" si="11"/>
        <v>27</v>
      </c>
      <c r="T100" s="12">
        <f t="shared" si="12"/>
        <v>5328.4890400000004</v>
      </c>
      <c r="U100">
        <f>Table2[[#This Row],[UnitCost]]*Table2[[#This Row],[Quantity]]</f>
        <v>7662.4800000000005</v>
      </c>
      <c r="V100" s="13">
        <f t="shared" si="13"/>
        <v>-2333.9909600000001</v>
      </c>
      <c r="W100" s="5">
        <f t="shared" si="14"/>
        <v>-0.43802116181137907</v>
      </c>
      <c r="X100" s="17" t="str">
        <f t="shared" si="15"/>
        <v>Jul-2025</v>
      </c>
      <c r="Z100" t="str">
        <f t="shared" si="16"/>
        <v>Asia. China. Shenzhen</v>
      </c>
      <c r="AA100" t="str">
        <f t="shared" si="17"/>
        <v>Low</v>
      </c>
      <c r="AB100" t="str">
        <f t="array" ref="AB100">TEXT(MIN(IF($E$2:$E$633=E100, $B$2:$B$633)), "YYYY-MM")</f>
        <v>2023-01</v>
      </c>
      <c r="AC100" s="13">
        <f>SUM($T$2:T100)</f>
        <v>1700469.8196699996</v>
      </c>
    </row>
    <row r="101" spans="1:29" x14ac:dyDescent="0.45">
      <c r="A101" t="s">
        <v>114</v>
      </c>
      <c r="B101" s="2">
        <v>44985</v>
      </c>
      <c r="C101" s="2">
        <v>45005</v>
      </c>
      <c r="D101" t="s">
        <v>649</v>
      </c>
      <c r="E101" t="s">
        <v>656</v>
      </c>
      <c r="F101" t="s">
        <v>671</v>
      </c>
      <c r="G101" t="s">
        <v>705</v>
      </c>
      <c r="H101" s="9" t="s">
        <v>711</v>
      </c>
      <c r="I101" s="9" t="s">
        <v>722</v>
      </c>
      <c r="J101" s="9" t="s">
        <v>731</v>
      </c>
      <c r="K101" t="s">
        <v>833</v>
      </c>
      <c r="L101" s="7">
        <v>1200.78</v>
      </c>
      <c r="M101" s="7">
        <v>2001.17</v>
      </c>
      <c r="N101" s="5">
        <v>0.29199999999999998</v>
      </c>
      <c r="O101">
        <v>18</v>
      </c>
      <c r="P101" s="2">
        <f t="shared" si="9"/>
        <v>45005</v>
      </c>
      <c r="Q101" t="str">
        <f t="shared" si="10"/>
        <v>Ok</v>
      </c>
      <c r="R101">
        <f>ABS(Table2[[#This Row],[UnitPrice]])</f>
        <v>2001.17</v>
      </c>
      <c r="S101">
        <f t="shared" si="11"/>
        <v>20</v>
      </c>
      <c r="T101" s="12">
        <f t="shared" si="12"/>
        <v>25502.910479999999</v>
      </c>
      <c r="U101">
        <f>Table2[[#This Row],[UnitCost]]*Table2[[#This Row],[Quantity]]</f>
        <v>21614.04</v>
      </c>
      <c r="V101" s="13">
        <f t="shared" si="13"/>
        <v>3888.8704799999978</v>
      </c>
      <c r="W101" s="5">
        <f t="shared" si="14"/>
        <v>0.15248732034132906</v>
      </c>
      <c r="X101" s="17" t="str">
        <f t="shared" si="15"/>
        <v>Feb-2023</v>
      </c>
      <c r="Z101" t="str">
        <f t="shared" si="16"/>
        <v>Europe. Germany. Berlin</v>
      </c>
      <c r="AA101" t="str">
        <f t="shared" si="17"/>
        <v>High</v>
      </c>
      <c r="AB101" t="str">
        <f t="array" ref="AB101">TEXT(MIN(IF($E$2:$E$633=E101, $B$2:$B$633)), "YYYY-MM")</f>
        <v>2023-01</v>
      </c>
      <c r="AC101" s="13">
        <f>SUM($T$2:T101)</f>
        <v>1725972.7301499997</v>
      </c>
    </row>
    <row r="102" spans="1:29" x14ac:dyDescent="0.45">
      <c r="A102" t="s">
        <v>115</v>
      </c>
      <c r="B102" s="2">
        <v>45684</v>
      </c>
      <c r="C102" s="2">
        <v>45703</v>
      </c>
      <c r="D102" t="s">
        <v>647</v>
      </c>
      <c r="E102" t="s">
        <v>659</v>
      </c>
      <c r="F102" t="s">
        <v>676</v>
      </c>
      <c r="G102" t="s">
        <v>703</v>
      </c>
      <c r="H102" s="9" t="s">
        <v>711</v>
      </c>
      <c r="I102" s="9" t="s">
        <v>716</v>
      </c>
      <c r="J102" s="9" t="s">
        <v>730</v>
      </c>
      <c r="K102" t="s">
        <v>834</v>
      </c>
      <c r="L102" s="7">
        <v>1253.22</v>
      </c>
      <c r="M102" s="7">
        <v>3104.71</v>
      </c>
      <c r="N102" s="5">
        <v>0</v>
      </c>
      <c r="O102">
        <v>17</v>
      </c>
      <c r="P102" s="2">
        <f t="shared" si="9"/>
        <v>45703</v>
      </c>
      <c r="Q102" t="str">
        <f t="shared" si="10"/>
        <v>Ok</v>
      </c>
      <c r="R102">
        <f>ABS(Table2[[#This Row],[UnitPrice]])</f>
        <v>3104.71</v>
      </c>
      <c r="S102">
        <f t="shared" si="11"/>
        <v>19</v>
      </c>
      <c r="T102" s="12">
        <f t="shared" si="12"/>
        <v>52780.07</v>
      </c>
      <c r="U102">
        <f>Table2[[#This Row],[UnitCost]]*Table2[[#This Row],[Quantity]]</f>
        <v>21304.74</v>
      </c>
      <c r="V102" s="13">
        <f t="shared" si="13"/>
        <v>31475.329999999998</v>
      </c>
      <c r="W102" s="5">
        <f t="shared" si="14"/>
        <v>0.59634877331538205</v>
      </c>
      <c r="X102" s="17" t="str">
        <f t="shared" si="15"/>
        <v>Jan-2025</v>
      </c>
      <c r="Z102" t="str">
        <f t="shared" si="16"/>
        <v>Asia. China. Shenzhen</v>
      </c>
      <c r="AA102" t="str">
        <f t="shared" si="17"/>
        <v>High</v>
      </c>
      <c r="AB102" t="str">
        <f t="array" ref="AB102">TEXT(MIN(IF($E$2:$E$633=E102, $B$2:$B$633)), "YYYY-MM")</f>
        <v>2023-01</v>
      </c>
      <c r="AC102" s="13">
        <f>SUM($T$2:T102)</f>
        <v>1778752.8001499998</v>
      </c>
    </row>
    <row r="103" spans="1:29" x14ac:dyDescent="0.45">
      <c r="A103" t="s">
        <v>116</v>
      </c>
      <c r="B103" s="2">
        <v>45304</v>
      </c>
      <c r="C103" s="2">
        <v>45313</v>
      </c>
      <c r="D103" t="s">
        <v>647</v>
      </c>
      <c r="E103" t="s">
        <v>654</v>
      </c>
      <c r="F103" t="s">
        <v>691</v>
      </c>
      <c r="G103" t="s">
        <v>706</v>
      </c>
      <c r="H103" s="9" t="s">
        <v>709</v>
      </c>
      <c r="I103" s="9" t="s">
        <v>713</v>
      </c>
      <c r="J103" s="9" t="s">
        <v>727</v>
      </c>
      <c r="K103" t="s">
        <v>835</v>
      </c>
      <c r="L103" s="7">
        <v>313.60000000000002</v>
      </c>
      <c r="M103" s="7">
        <v>334.28</v>
      </c>
      <c r="N103" s="5">
        <v>0.14000000000000001</v>
      </c>
      <c r="O103">
        <v>22</v>
      </c>
      <c r="P103" s="2">
        <f t="shared" si="9"/>
        <v>45313</v>
      </c>
      <c r="Q103" t="str">
        <f t="shared" si="10"/>
        <v>Ok</v>
      </c>
      <c r="R103">
        <f>ABS(Table2[[#This Row],[UnitPrice]])</f>
        <v>334.28</v>
      </c>
      <c r="S103">
        <f t="shared" si="11"/>
        <v>9</v>
      </c>
      <c r="T103" s="12">
        <f t="shared" si="12"/>
        <v>6324.5775999999996</v>
      </c>
      <c r="U103">
        <f>Table2[[#This Row],[UnitCost]]*Table2[[#This Row],[Quantity]]</f>
        <v>6899.2000000000007</v>
      </c>
      <c r="V103" s="13">
        <f t="shared" si="13"/>
        <v>-574.62240000000111</v>
      </c>
      <c r="W103" s="5">
        <f t="shared" si="14"/>
        <v>-9.0855458868905517E-2</v>
      </c>
      <c r="X103" s="17" t="str">
        <f t="shared" si="15"/>
        <v>Jan-2024</v>
      </c>
      <c r="Z103" t="str">
        <f t="shared" si="16"/>
        <v>Asia. India. Mumbai</v>
      </c>
      <c r="AA103" t="str">
        <f t="shared" si="17"/>
        <v>Low</v>
      </c>
      <c r="AB103" t="str">
        <f t="array" ref="AB103">TEXT(MIN(IF($E$2:$E$633=E103, $B$2:$B$633)), "YYYY-MM")</f>
        <v>2023-01</v>
      </c>
      <c r="AC103" s="13">
        <f>SUM($T$2:T103)</f>
        <v>1785077.3777499998</v>
      </c>
    </row>
    <row r="104" spans="1:29" x14ac:dyDescent="0.45">
      <c r="A104" t="s">
        <v>117</v>
      </c>
      <c r="B104" s="2">
        <v>45747</v>
      </c>
      <c r="C104" s="2">
        <v>45751</v>
      </c>
      <c r="D104" t="s">
        <v>646</v>
      </c>
      <c r="E104" t="s">
        <v>650</v>
      </c>
      <c r="F104" t="s">
        <v>678</v>
      </c>
      <c r="G104" t="s">
        <v>701</v>
      </c>
      <c r="H104" s="9" t="s">
        <v>711</v>
      </c>
      <c r="I104" s="9" t="s">
        <v>712</v>
      </c>
      <c r="J104" s="9" t="s">
        <v>731</v>
      </c>
      <c r="K104" t="s">
        <v>836</v>
      </c>
      <c r="L104" s="7">
        <v>862.08</v>
      </c>
      <c r="M104" s="7">
        <v>1952.83</v>
      </c>
      <c r="N104" s="5">
        <v>0</v>
      </c>
      <c r="O104">
        <v>7</v>
      </c>
      <c r="P104" s="2">
        <f t="shared" si="9"/>
        <v>45751</v>
      </c>
      <c r="Q104" t="str">
        <f t="shared" si="10"/>
        <v>Ok</v>
      </c>
      <c r="R104">
        <f>ABS(Table2[[#This Row],[UnitPrice]])</f>
        <v>1952.83</v>
      </c>
      <c r="S104">
        <f t="shared" si="11"/>
        <v>4</v>
      </c>
      <c r="T104" s="12">
        <f t="shared" si="12"/>
        <v>13669.81</v>
      </c>
      <c r="U104">
        <f>Table2[[#This Row],[UnitCost]]*Table2[[#This Row],[Quantity]]</f>
        <v>6034.56</v>
      </c>
      <c r="V104" s="13">
        <f t="shared" si="13"/>
        <v>7635.2499999999991</v>
      </c>
      <c r="W104" s="5">
        <f t="shared" si="14"/>
        <v>0.5585483631447693</v>
      </c>
      <c r="X104" s="17" t="str">
        <f t="shared" si="15"/>
        <v>Mar-2025</v>
      </c>
      <c r="Z104" t="str">
        <f t="shared" si="16"/>
        <v>Africa. Kenya. Nakuru</v>
      </c>
      <c r="AA104" t="str">
        <f t="shared" si="17"/>
        <v>High</v>
      </c>
      <c r="AB104" t="str">
        <f t="array" ref="AB104">TEXT(MIN(IF($E$2:$E$633=E104, $B$2:$B$633)), "YYYY-MM")</f>
        <v>2023-01</v>
      </c>
      <c r="AC104" s="13">
        <f>SUM($T$2:T104)</f>
        <v>1798747.1877499998</v>
      </c>
    </row>
    <row r="105" spans="1:29" x14ac:dyDescent="0.45">
      <c r="A105" t="s">
        <v>118</v>
      </c>
      <c r="B105" s="2">
        <v>45631</v>
      </c>
      <c r="C105" s="2">
        <v>45654</v>
      </c>
      <c r="D105" t="s">
        <v>648</v>
      </c>
      <c r="E105" t="s">
        <v>653</v>
      </c>
      <c r="F105" t="s">
        <v>688</v>
      </c>
      <c r="G105" t="s">
        <v>701</v>
      </c>
      <c r="H105" s="9" t="s">
        <v>711</v>
      </c>
      <c r="I105" s="9" t="s">
        <v>721</v>
      </c>
      <c r="J105" s="9" t="s">
        <v>733</v>
      </c>
      <c r="K105" t="s">
        <v>837</v>
      </c>
      <c r="L105" s="7">
        <v>107.03</v>
      </c>
      <c r="M105" s="7">
        <v>242.29</v>
      </c>
      <c r="N105" s="5">
        <v>0.18</v>
      </c>
      <c r="O105">
        <v>30</v>
      </c>
      <c r="P105" s="2">
        <f t="shared" si="9"/>
        <v>45654</v>
      </c>
      <c r="Q105" t="str">
        <f t="shared" si="10"/>
        <v>Ok</v>
      </c>
      <c r="R105">
        <f>ABS(Table2[[#This Row],[UnitPrice]])</f>
        <v>242.29</v>
      </c>
      <c r="S105">
        <f t="shared" si="11"/>
        <v>23</v>
      </c>
      <c r="T105" s="12">
        <f t="shared" si="12"/>
        <v>5960.3340000000007</v>
      </c>
      <c r="U105">
        <f>Table2[[#This Row],[UnitCost]]*Table2[[#This Row],[Quantity]]</f>
        <v>3210.9</v>
      </c>
      <c r="V105" s="13">
        <f t="shared" si="13"/>
        <v>2749.4340000000007</v>
      </c>
      <c r="W105" s="5">
        <f t="shared" si="14"/>
        <v>0.46128857879440988</v>
      </c>
      <c r="X105" s="17" t="str">
        <f t="shared" si="15"/>
        <v>Dec-2024</v>
      </c>
      <c r="Z105" t="str">
        <f t="shared" si="16"/>
        <v>Americas. Canada. Vancouver</v>
      </c>
      <c r="AA105" t="str">
        <f t="shared" si="17"/>
        <v>Low</v>
      </c>
      <c r="AB105" t="str">
        <f t="array" ref="AB105">TEXT(MIN(IF($E$2:$E$633=E105, $B$2:$B$633)), "YYYY-MM")</f>
        <v>2023-01</v>
      </c>
      <c r="AC105" s="13">
        <f>SUM($T$2:T105)</f>
        <v>1804707.5217499998</v>
      </c>
    </row>
    <row r="106" spans="1:29" x14ac:dyDescent="0.45">
      <c r="A106" t="s">
        <v>119</v>
      </c>
      <c r="B106" s="2">
        <v>45549</v>
      </c>
      <c r="C106" s="2">
        <v>45570</v>
      </c>
      <c r="D106" t="s">
        <v>647</v>
      </c>
      <c r="E106" t="s">
        <v>659</v>
      </c>
      <c r="F106" t="s">
        <v>685</v>
      </c>
      <c r="G106" t="s">
        <v>705</v>
      </c>
      <c r="H106" s="9" t="s">
        <v>708</v>
      </c>
      <c r="I106" s="9" t="s">
        <v>722</v>
      </c>
      <c r="J106" s="9" t="s">
        <v>731</v>
      </c>
      <c r="K106" t="s">
        <v>838</v>
      </c>
      <c r="L106" s="7">
        <v>1405.56</v>
      </c>
      <c r="M106" s="7">
        <v>2968.87</v>
      </c>
      <c r="N106" s="5">
        <v>0.16900000000000001</v>
      </c>
      <c r="O106">
        <v>5</v>
      </c>
      <c r="P106" s="2">
        <f t="shared" si="9"/>
        <v>45570</v>
      </c>
      <c r="Q106" t="str">
        <f t="shared" si="10"/>
        <v>Ok</v>
      </c>
      <c r="R106">
        <f>ABS(Table2[[#This Row],[UnitPrice]])</f>
        <v>2968.87</v>
      </c>
      <c r="S106">
        <f t="shared" si="11"/>
        <v>21</v>
      </c>
      <c r="T106" s="12">
        <f t="shared" si="12"/>
        <v>12335.654849999999</v>
      </c>
      <c r="U106">
        <f>Table2[[#This Row],[UnitCost]]*Table2[[#This Row],[Quantity]]</f>
        <v>7027.7999999999993</v>
      </c>
      <c r="V106" s="13">
        <f t="shared" si="13"/>
        <v>5307.8548499999997</v>
      </c>
      <c r="W106" s="5">
        <f t="shared" si="14"/>
        <v>0.4302856163327235</v>
      </c>
      <c r="X106" s="17" t="str">
        <f t="shared" si="15"/>
        <v>Sep-2024</v>
      </c>
      <c r="Z106" t="str">
        <f t="shared" si="16"/>
        <v>Asia. China. Shanghai</v>
      </c>
      <c r="AA106" t="str">
        <f t="shared" si="17"/>
        <v>High</v>
      </c>
      <c r="AB106" t="str">
        <f t="array" ref="AB106">TEXT(MIN(IF($E$2:$E$633=E106, $B$2:$B$633)), "YYYY-MM")</f>
        <v>2023-01</v>
      </c>
      <c r="AC106" s="13">
        <f>SUM($T$2:T106)</f>
        <v>1817043.1765999999</v>
      </c>
    </row>
    <row r="107" spans="1:29" x14ac:dyDescent="0.45">
      <c r="A107" t="s">
        <v>120</v>
      </c>
      <c r="B107" s="2">
        <v>45433</v>
      </c>
      <c r="C107" s="2">
        <v>45439</v>
      </c>
      <c r="D107" t="s">
        <v>646</v>
      </c>
      <c r="E107" t="s">
        <v>661</v>
      </c>
      <c r="F107" t="s">
        <v>682</v>
      </c>
      <c r="G107" t="s">
        <v>703</v>
      </c>
      <c r="H107" s="9" t="s">
        <v>708</v>
      </c>
      <c r="I107" s="9" t="s">
        <v>724</v>
      </c>
      <c r="J107" s="9" t="s">
        <v>727</v>
      </c>
      <c r="K107" t="s">
        <v>839</v>
      </c>
      <c r="L107" s="7">
        <v>1157.51</v>
      </c>
      <c r="M107" s="7">
        <v>1394.3</v>
      </c>
      <c r="N107" s="5">
        <v>0.27800000000000002</v>
      </c>
      <c r="O107">
        <v>12</v>
      </c>
      <c r="P107" s="2">
        <f t="shared" si="9"/>
        <v>45439</v>
      </c>
      <c r="Q107" t="str">
        <f t="shared" si="10"/>
        <v>Ok</v>
      </c>
      <c r="R107">
        <f>ABS(Table2[[#This Row],[UnitPrice]])</f>
        <v>1394.3</v>
      </c>
      <c r="S107">
        <f t="shared" si="11"/>
        <v>6</v>
      </c>
      <c r="T107" s="12">
        <f t="shared" si="12"/>
        <v>12080.215199999999</v>
      </c>
      <c r="U107">
        <f>Table2[[#This Row],[UnitCost]]*Table2[[#This Row],[Quantity]]</f>
        <v>13890.119999999999</v>
      </c>
      <c r="V107" s="13">
        <f t="shared" si="13"/>
        <v>-1809.9048000000003</v>
      </c>
      <c r="W107" s="5">
        <f t="shared" si="14"/>
        <v>-0.14982388724333326</v>
      </c>
      <c r="X107" s="17" t="str">
        <f t="shared" si="15"/>
        <v>May-2024</v>
      </c>
      <c r="Z107" t="str">
        <f t="shared" si="16"/>
        <v>Africa. South Africa. Johannesburg</v>
      </c>
      <c r="AA107" t="str">
        <f t="shared" si="17"/>
        <v>High</v>
      </c>
      <c r="AB107" t="str">
        <f t="array" ref="AB107">TEXT(MIN(IF($E$2:$E$633=E107, $B$2:$B$633)), "YYYY-MM")</f>
        <v>2023-01</v>
      </c>
      <c r="AC107" s="13">
        <f>SUM($T$2:T107)</f>
        <v>1829123.3917999999</v>
      </c>
    </row>
    <row r="108" spans="1:29" x14ac:dyDescent="0.45">
      <c r="A108" t="s">
        <v>121</v>
      </c>
      <c r="B108" s="2">
        <v>45057</v>
      </c>
      <c r="C108" s="2">
        <v>45084</v>
      </c>
      <c r="D108" t="s">
        <v>646</v>
      </c>
      <c r="E108" t="s">
        <v>650</v>
      </c>
      <c r="F108" t="s">
        <v>675</v>
      </c>
      <c r="G108" t="s">
        <v>701</v>
      </c>
      <c r="H108" s="9" t="s">
        <v>708</v>
      </c>
      <c r="I108" s="9" t="s">
        <v>713</v>
      </c>
      <c r="J108" s="9" t="s">
        <v>730</v>
      </c>
      <c r="K108" t="s">
        <v>840</v>
      </c>
      <c r="L108" s="7">
        <v>12.85</v>
      </c>
      <c r="M108" s="7">
        <v>15.41</v>
      </c>
      <c r="N108" s="5">
        <v>0.13700000000000001</v>
      </c>
      <c r="O108">
        <v>39</v>
      </c>
      <c r="P108" s="2">
        <f t="shared" si="9"/>
        <v>45084</v>
      </c>
      <c r="Q108" t="str">
        <f t="shared" si="10"/>
        <v>Ok</v>
      </c>
      <c r="R108">
        <f>ABS(Table2[[#This Row],[UnitPrice]])</f>
        <v>15.41</v>
      </c>
      <c r="S108">
        <f t="shared" si="11"/>
        <v>27</v>
      </c>
      <c r="T108" s="12">
        <f t="shared" si="12"/>
        <v>518.65436999999997</v>
      </c>
      <c r="U108">
        <f>Table2[[#This Row],[UnitCost]]*Table2[[#This Row],[Quantity]]</f>
        <v>501.15</v>
      </c>
      <c r="V108" s="13">
        <f t="shared" si="13"/>
        <v>17.504369999999994</v>
      </c>
      <c r="W108" s="5">
        <f t="shared" si="14"/>
        <v>3.3749585489851353E-2</v>
      </c>
      <c r="X108" s="17" t="str">
        <f t="shared" si="15"/>
        <v>May-2023</v>
      </c>
      <c r="Z108" t="str">
        <f t="shared" si="16"/>
        <v>Africa. Kenya. Mombasa</v>
      </c>
      <c r="AA108" t="str">
        <f t="shared" si="17"/>
        <v>Low</v>
      </c>
      <c r="AB108" t="str">
        <f t="array" ref="AB108">TEXT(MIN(IF($E$2:$E$633=E108, $B$2:$B$633)), "YYYY-MM")</f>
        <v>2023-01</v>
      </c>
      <c r="AC108" s="13">
        <f>SUM($T$2:T108)</f>
        <v>1829642.0461699998</v>
      </c>
    </row>
    <row r="109" spans="1:29" x14ac:dyDescent="0.45">
      <c r="A109" t="s">
        <v>122</v>
      </c>
      <c r="B109" s="2">
        <v>45518</v>
      </c>
      <c r="C109" s="2">
        <v>45539</v>
      </c>
      <c r="D109" t="s">
        <v>649</v>
      </c>
      <c r="E109" t="s">
        <v>658</v>
      </c>
      <c r="F109" t="s">
        <v>693</v>
      </c>
      <c r="G109" t="s">
        <v>703</v>
      </c>
      <c r="H109" s="9" t="s">
        <v>708</v>
      </c>
      <c r="I109" s="9" t="s">
        <v>713</v>
      </c>
      <c r="J109" s="9" t="s">
        <v>730</v>
      </c>
      <c r="K109" t="s">
        <v>841</v>
      </c>
      <c r="L109" s="7">
        <v>1138.8</v>
      </c>
      <c r="M109" s="7">
        <v>2250.81</v>
      </c>
      <c r="N109" s="5">
        <v>0.123</v>
      </c>
      <c r="O109">
        <v>12</v>
      </c>
      <c r="P109" s="2">
        <f t="shared" si="9"/>
        <v>45539</v>
      </c>
      <c r="Q109" t="str">
        <f t="shared" si="10"/>
        <v>Ok</v>
      </c>
      <c r="R109">
        <f>ABS(Table2[[#This Row],[UnitPrice]])</f>
        <v>2250.81</v>
      </c>
      <c r="S109">
        <f t="shared" si="11"/>
        <v>21</v>
      </c>
      <c r="T109" s="12">
        <f t="shared" si="12"/>
        <v>23687.524440000001</v>
      </c>
      <c r="U109">
        <f>Table2[[#This Row],[UnitCost]]*Table2[[#This Row],[Quantity]]</f>
        <v>13665.599999999999</v>
      </c>
      <c r="V109" s="13">
        <f t="shared" si="13"/>
        <v>10021.924440000003</v>
      </c>
      <c r="W109" s="5">
        <f t="shared" si="14"/>
        <v>0.42308872188756258</v>
      </c>
      <c r="X109" s="17" t="str">
        <f t="shared" si="15"/>
        <v>Aug-2024</v>
      </c>
      <c r="Z109" t="str">
        <f t="shared" si="16"/>
        <v>Europe. United Kingdom. Manchester</v>
      </c>
      <c r="AA109" t="str">
        <f t="shared" si="17"/>
        <v>High</v>
      </c>
      <c r="AB109" t="str">
        <f t="array" ref="AB109">TEXT(MIN(IF($E$2:$E$633=E109, $B$2:$B$633)), "YYYY-MM")</f>
        <v>2023-01</v>
      </c>
      <c r="AC109" s="13">
        <f>SUM($T$2:T109)</f>
        <v>1853329.5706099998</v>
      </c>
    </row>
    <row r="110" spans="1:29" x14ac:dyDescent="0.45">
      <c r="A110" t="s">
        <v>123</v>
      </c>
      <c r="B110" s="2">
        <v>45581</v>
      </c>
      <c r="C110" s="2">
        <v>45604</v>
      </c>
      <c r="D110" t="s">
        <v>647</v>
      </c>
      <c r="E110" t="s">
        <v>652</v>
      </c>
      <c r="F110" t="s">
        <v>666</v>
      </c>
      <c r="G110" t="s">
        <v>705</v>
      </c>
      <c r="H110" s="9" t="s">
        <v>707</v>
      </c>
      <c r="I110" s="9" t="s">
        <v>713</v>
      </c>
      <c r="J110" s="9" t="s">
        <v>729</v>
      </c>
      <c r="K110" t="s">
        <v>842</v>
      </c>
      <c r="L110" s="7">
        <v>82.14</v>
      </c>
      <c r="M110" s="7">
        <v>166.04</v>
      </c>
      <c r="N110" s="5">
        <v>0</v>
      </c>
      <c r="O110">
        <v>10</v>
      </c>
      <c r="P110" s="2">
        <f t="shared" si="9"/>
        <v>45604</v>
      </c>
      <c r="Q110" t="str">
        <f t="shared" si="10"/>
        <v>Ok</v>
      </c>
      <c r="R110">
        <f>ABS(Table2[[#This Row],[UnitPrice]])</f>
        <v>166.04</v>
      </c>
      <c r="S110">
        <f t="shared" si="11"/>
        <v>23</v>
      </c>
      <c r="T110" s="12">
        <f t="shared" si="12"/>
        <v>1660.3999999999999</v>
      </c>
      <c r="U110">
        <f>Table2[[#This Row],[UnitCost]]*Table2[[#This Row],[Quantity]]</f>
        <v>821.4</v>
      </c>
      <c r="V110" s="13">
        <f t="shared" si="13"/>
        <v>838.99999999999989</v>
      </c>
      <c r="W110" s="5">
        <f t="shared" si="14"/>
        <v>0.50529992772825827</v>
      </c>
      <c r="X110" s="17" t="str">
        <f t="shared" si="15"/>
        <v>Oct-2024</v>
      </c>
      <c r="Z110" t="str">
        <f t="shared" si="16"/>
        <v>Asia. Japan. Osaka</v>
      </c>
      <c r="AA110" t="str">
        <f t="shared" si="17"/>
        <v>Low</v>
      </c>
      <c r="AB110" t="str">
        <f t="array" ref="AB110">TEXT(MIN(IF($E$2:$E$633=E110, $B$2:$B$633)), "YYYY-MM")</f>
        <v>2023-03</v>
      </c>
      <c r="AC110" s="13">
        <f>SUM($T$2:T110)</f>
        <v>1854989.9706099997</v>
      </c>
    </row>
    <row r="111" spans="1:29" x14ac:dyDescent="0.45">
      <c r="A111" t="s">
        <v>124</v>
      </c>
      <c r="B111" s="2">
        <v>45445</v>
      </c>
      <c r="C111" s="2">
        <v>45451</v>
      </c>
      <c r="D111" t="s">
        <v>646</v>
      </c>
      <c r="E111" t="s">
        <v>650</v>
      </c>
      <c r="F111" t="s">
        <v>662</v>
      </c>
      <c r="G111" t="s">
        <v>704</v>
      </c>
      <c r="H111" s="9" t="s">
        <v>709</v>
      </c>
      <c r="I111" s="9" t="s">
        <v>720</v>
      </c>
      <c r="J111" s="9" t="s">
        <v>733</v>
      </c>
      <c r="K111" t="s">
        <v>843</v>
      </c>
      <c r="L111" s="7">
        <v>292.94</v>
      </c>
      <c r="M111" s="7">
        <v>356.55</v>
      </c>
      <c r="N111" s="5">
        <v>0.22900000000000001</v>
      </c>
      <c r="O111">
        <v>2</v>
      </c>
      <c r="P111" s="2">
        <f t="shared" si="9"/>
        <v>45451</v>
      </c>
      <c r="Q111" t="str">
        <f t="shared" si="10"/>
        <v>Ok</v>
      </c>
      <c r="R111">
        <f>ABS(Table2[[#This Row],[UnitPrice]])</f>
        <v>356.55</v>
      </c>
      <c r="S111">
        <f t="shared" si="11"/>
        <v>6</v>
      </c>
      <c r="T111" s="12">
        <f t="shared" si="12"/>
        <v>549.80010000000004</v>
      </c>
      <c r="U111">
        <f>Table2[[#This Row],[UnitCost]]*Table2[[#This Row],[Quantity]]</f>
        <v>585.88</v>
      </c>
      <c r="V111" s="13">
        <f t="shared" si="13"/>
        <v>-36.079899999999952</v>
      </c>
      <c r="W111" s="5">
        <f t="shared" si="14"/>
        <v>-6.5623669402751925E-2</v>
      </c>
      <c r="X111" s="17" t="str">
        <f t="shared" si="15"/>
        <v>Jun-2024</v>
      </c>
      <c r="Z111" t="str">
        <f t="shared" si="16"/>
        <v>Africa. Kenya. Kisumu</v>
      </c>
      <c r="AA111" t="str">
        <f t="shared" si="17"/>
        <v>Low</v>
      </c>
      <c r="AB111" t="str">
        <f t="array" ref="AB111">TEXT(MIN(IF($E$2:$E$633=E111, $B$2:$B$633)), "YYYY-MM")</f>
        <v>2023-01</v>
      </c>
      <c r="AC111" s="13">
        <f>SUM($T$2:T111)</f>
        <v>1855539.7707099998</v>
      </c>
    </row>
    <row r="112" spans="1:29" x14ac:dyDescent="0.45">
      <c r="A112" t="s">
        <v>125</v>
      </c>
      <c r="B112" s="2">
        <v>45452</v>
      </c>
      <c r="C112" s="2">
        <v>45480</v>
      </c>
      <c r="D112" t="s">
        <v>647</v>
      </c>
      <c r="E112" t="s">
        <v>659</v>
      </c>
      <c r="F112" t="s">
        <v>676</v>
      </c>
      <c r="G112" t="s">
        <v>701</v>
      </c>
      <c r="H112" s="9" t="s">
        <v>708</v>
      </c>
      <c r="I112" s="9" t="s">
        <v>713</v>
      </c>
      <c r="J112" s="9" t="s">
        <v>727</v>
      </c>
      <c r="K112" t="s">
        <v>844</v>
      </c>
      <c r="L112" s="7">
        <v>550.22</v>
      </c>
      <c r="M112" s="7">
        <v>1025.05</v>
      </c>
      <c r="N112" s="5">
        <v>0</v>
      </c>
      <c r="O112">
        <v>27</v>
      </c>
      <c r="P112" s="2">
        <f t="shared" si="9"/>
        <v>45480</v>
      </c>
      <c r="Q112" t="str">
        <f t="shared" si="10"/>
        <v>Ok</v>
      </c>
      <c r="R112">
        <f>ABS(Table2[[#This Row],[UnitPrice]])</f>
        <v>1025.05</v>
      </c>
      <c r="S112">
        <f t="shared" si="11"/>
        <v>28</v>
      </c>
      <c r="T112" s="12">
        <f t="shared" si="12"/>
        <v>27676.35</v>
      </c>
      <c r="U112">
        <f>Table2[[#This Row],[UnitCost]]*Table2[[#This Row],[Quantity]]</f>
        <v>14855.94</v>
      </c>
      <c r="V112" s="13">
        <f t="shared" si="13"/>
        <v>12820.409999999998</v>
      </c>
      <c r="W112" s="5">
        <f t="shared" si="14"/>
        <v>0.46322618408858102</v>
      </c>
      <c r="X112" s="17" t="str">
        <f t="shared" si="15"/>
        <v>Jun-2024</v>
      </c>
      <c r="Z112" t="str">
        <f t="shared" si="16"/>
        <v>Asia. China. Shenzhen</v>
      </c>
      <c r="AA112" t="str">
        <f t="shared" si="17"/>
        <v>Low</v>
      </c>
      <c r="AB112" t="str">
        <f t="array" ref="AB112">TEXT(MIN(IF($E$2:$E$633=E112, $B$2:$B$633)), "YYYY-MM")</f>
        <v>2023-01</v>
      </c>
      <c r="AC112" s="13">
        <f>SUM($T$2:T112)</f>
        <v>1883216.1207099999</v>
      </c>
    </row>
    <row r="113" spans="1:29" x14ac:dyDescent="0.45">
      <c r="A113" t="s">
        <v>126</v>
      </c>
      <c r="B113" s="2">
        <v>45453</v>
      </c>
      <c r="C113" s="2">
        <v>45454</v>
      </c>
      <c r="D113" t="s">
        <v>649</v>
      </c>
      <c r="E113" t="s">
        <v>658</v>
      </c>
      <c r="F113" t="s">
        <v>674</v>
      </c>
      <c r="G113" t="s">
        <v>705</v>
      </c>
      <c r="H113" s="9" t="s">
        <v>709</v>
      </c>
      <c r="I113" s="9" t="s">
        <v>724</v>
      </c>
      <c r="J113" s="9" t="s">
        <v>731</v>
      </c>
      <c r="K113" t="s">
        <v>845</v>
      </c>
      <c r="L113" s="7">
        <v>1187.1300000000001</v>
      </c>
      <c r="M113" s="7">
        <v>1795.17</v>
      </c>
      <c r="N113" s="5">
        <v>1.2E-2</v>
      </c>
      <c r="O113">
        <v>17</v>
      </c>
      <c r="P113" s="2">
        <f t="shared" si="9"/>
        <v>45454</v>
      </c>
      <c r="Q113" t="str">
        <f t="shared" si="10"/>
        <v>Ok</v>
      </c>
      <c r="R113">
        <f>ABS(Table2[[#This Row],[UnitPrice]])</f>
        <v>1795.17</v>
      </c>
      <c r="S113">
        <f t="shared" si="11"/>
        <v>1</v>
      </c>
      <c r="T113" s="12">
        <f t="shared" si="12"/>
        <v>30151.675319999998</v>
      </c>
      <c r="U113">
        <f>Table2[[#This Row],[UnitCost]]*Table2[[#This Row],[Quantity]]</f>
        <v>20181.210000000003</v>
      </c>
      <c r="V113" s="13">
        <f t="shared" si="13"/>
        <v>9970.4653199999957</v>
      </c>
      <c r="W113" s="5">
        <f t="shared" si="14"/>
        <v>0.33067699271046663</v>
      </c>
      <c r="X113" s="17" t="str">
        <f t="shared" si="15"/>
        <v>Jun-2024</v>
      </c>
      <c r="Z113" t="str">
        <f t="shared" si="16"/>
        <v>Europe. United Kingdom. Birmingham</v>
      </c>
      <c r="AA113" t="str">
        <f t="shared" si="17"/>
        <v>High</v>
      </c>
      <c r="AB113" t="str">
        <f t="array" ref="AB113">TEXT(MIN(IF($E$2:$E$633=E113, $B$2:$B$633)), "YYYY-MM")</f>
        <v>2023-01</v>
      </c>
      <c r="AC113" s="13">
        <f>SUM($T$2:T113)</f>
        <v>1913367.7960299999</v>
      </c>
    </row>
    <row r="114" spans="1:29" x14ac:dyDescent="0.45">
      <c r="A114" t="s">
        <v>127</v>
      </c>
      <c r="B114" s="2">
        <v>45472</v>
      </c>
      <c r="C114" s="2">
        <v>45499</v>
      </c>
      <c r="D114" t="s">
        <v>646</v>
      </c>
      <c r="E114" t="s">
        <v>661</v>
      </c>
      <c r="F114" t="s">
        <v>687</v>
      </c>
      <c r="G114" t="s">
        <v>706</v>
      </c>
      <c r="H114" s="9" t="s">
        <v>710</v>
      </c>
      <c r="I114" s="9" t="s">
        <v>717</v>
      </c>
      <c r="J114" s="9" t="s">
        <v>729</v>
      </c>
      <c r="K114" t="s">
        <v>846</v>
      </c>
      <c r="L114" s="7">
        <v>5.36</v>
      </c>
      <c r="M114" s="7">
        <v>4.37</v>
      </c>
      <c r="N114" s="5">
        <v>0.11799999999999999</v>
      </c>
      <c r="O114">
        <v>9</v>
      </c>
      <c r="P114" s="2">
        <f t="shared" si="9"/>
        <v>45499</v>
      </c>
      <c r="Q114" t="str">
        <f t="shared" si="10"/>
        <v>Ok</v>
      </c>
      <c r="R114">
        <f>ABS(Table2[[#This Row],[UnitPrice]])</f>
        <v>4.37</v>
      </c>
      <c r="S114">
        <f t="shared" si="11"/>
        <v>27</v>
      </c>
      <c r="T114" s="12">
        <f t="shared" si="12"/>
        <v>34.689059999999998</v>
      </c>
      <c r="U114">
        <f>Table2[[#This Row],[UnitCost]]*Table2[[#This Row],[Quantity]]</f>
        <v>48.24</v>
      </c>
      <c r="V114" s="13">
        <f t="shared" si="13"/>
        <v>-13.550940000000004</v>
      </c>
      <c r="W114" s="5">
        <f t="shared" si="14"/>
        <v>-0.39064016148030545</v>
      </c>
      <c r="X114" s="17" t="str">
        <f t="shared" si="15"/>
        <v>Jun-2024</v>
      </c>
      <c r="Z114" t="str">
        <f t="shared" si="16"/>
        <v>Africa. South Africa. Durban</v>
      </c>
      <c r="AA114" t="str">
        <f t="shared" si="17"/>
        <v>Low</v>
      </c>
      <c r="AB114" t="str">
        <f t="array" ref="AB114">TEXT(MIN(IF($E$2:$E$633=E114, $B$2:$B$633)), "YYYY-MM")</f>
        <v>2023-01</v>
      </c>
      <c r="AC114" s="13">
        <f>SUM($T$2:T114)</f>
        <v>1913402.4850899999</v>
      </c>
    </row>
    <row r="115" spans="1:29" x14ac:dyDescent="0.45">
      <c r="A115" t="s">
        <v>128</v>
      </c>
      <c r="B115" s="2">
        <v>45674</v>
      </c>
      <c r="C115" s="2">
        <v>45681</v>
      </c>
      <c r="D115" t="s">
        <v>648</v>
      </c>
      <c r="E115" t="s">
        <v>660</v>
      </c>
      <c r="F115" t="s">
        <v>697</v>
      </c>
      <c r="G115" t="s">
        <v>706</v>
      </c>
      <c r="H115" s="9" t="s">
        <v>708</v>
      </c>
      <c r="I115" s="9" t="s">
        <v>715</v>
      </c>
      <c r="J115" s="9" t="s">
        <v>733</v>
      </c>
      <c r="K115" t="s">
        <v>847</v>
      </c>
      <c r="L115" s="7">
        <v>142.09</v>
      </c>
      <c r="M115" s="7">
        <v>218.5</v>
      </c>
      <c r="N115" s="5">
        <v>0.11899999999999999</v>
      </c>
      <c r="O115">
        <v>11</v>
      </c>
      <c r="P115" s="2">
        <f t="shared" si="9"/>
        <v>45681</v>
      </c>
      <c r="Q115" t="str">
        <f t="shared" si="10"/>
        <v>Ok</v>
      </c>
      <c r="R115">
        <f>ABS(Table2[[#This Row],[UnitPrice]])</f>
        <v>218.5</v>
      </c>
      <c r="S115">
        <f t="shared" si="11"/>
        <v>7</v>
      </c>
      <c r="T115" s="12">
        <f t="shared" si="12"/>
        <v>2117.4834999999998</v>
      </c>
      <c r="U115">
        <f>Table2[[#This Row],[UnitCost]]*Table2[[#This Row],[Quantity]]</f>
        <v>1562.99</v>
      </c>
      <c r="V115" s="13">
        <f t="shared" si="13"/>
        <v>554.49349999999981</v>
      </c>
      <c r="W115" s="5">
        <f t="shared" si="14"/>
        <v>0.26186437816398561</v>
      </c>
      <c r="X115" s="17" t="str">
        <f t="shared" si="15"/>
        <v>Jan-2025</v>
      </c>
      <c r="Z115" t="str">
        <f t="shared" si="16"/>
        <v>Americas. USA. Austin</v>
      </c>
      <c r="AA115" t="str">
        <f t="shared" si="17"/>
        <v>Low</v>
      </c>
      <c r="AB115" t="str">
        <f t="array" ref="AB115">TEXT(MIN(IF($E$2:$E$633=E115, $B$2:$B$633)), "YYYY-MM")</f>
        <v>2023-01</v>
      </c>
      <c r="AC115" s="13">
        <f>SUM($T$2:T115)</f>
        <v>1915519.9685899999</v>
      </c>
    </row>
    <row r="116" spans="1:29" x14ac:dyDescent="0.45">
      <c r="A116" t="s">
        <v>129</v>
      </c>
      <c r="B116" s="2">
        <v>45250</v>
      </c>
      <c r="C116" s="2">
        <v>45265</v>
      </c>
      <c r="D116" t="s">
        <v>647</v>
      </c>
      <c r="E116" t="s">
        <v>652</v>
      </c>
      <c r="F116" t="s">
        <v>689</v>
      </c>
      <c r="G116" t="s">
        <v>706</v>
      </c>
      <c r="H116" s="9" t="s">
        <v>707</v>
      </c>
      <c r="I116" s="9" t="s">
        <v>716</v>
      </c>
      <c r="J116" s="9" t="s">
        <v>729</v>
      </c>
      <c r="K116" t="s">
        <v>848</v>
      </c>
      <c r="L116" s="7">
        <v>354.24</v>
      </c>
      <c r="M116" s="7">
        <v>249.87</v>
      </c>
      <c r="N116" s="5">
        <v>0</v>
      </c>
      <c r="O116">
        <v>6</v>
      </c>
      <c r="P116" s="2">
        <f t="shared" si="9"/>
        <v>45265</v>
      </c>
      <c r="Q116" t="str">
        <f t="shared" si="10"/>
        <v>Ok</v>
      </c>
      <c r="R116">
        <f>ABS(Table2[[#This Row],[UnitPrice]])</f>
        <v>249.87</v>
      </c>
      <c r="S116">
        <f t="shared" si="11"/>
        <v>15</v>
      </c>
      <c r="T116" s="12">
        <f t="shared" si="12"/>
        <v>1499.22</v>
      </c>
      <c r="U116">
        <f>Table2[[#This Row],[UnitCost]]*Table2[[#This Row],[Quantity]]</f>
        <v>2125.44</v>
      </c>
      <c r="V116" s="13">
        <f t="shared" si="13"/>
        <v>-626.22</v>
      </c>
      <c r="W116" s="5">
        <f t="shared" si="14"/>
        <v>-0.41769720254532355</v>
      </c>
      <c r="X116" s="17" t="str">
        <f t="shared" si="15"/>
        <v>Nov-2023</v>
      </c>
      <c r="Z116" t="str">
        <f t="shared" si="16"/>
        <v>Asia. Japan. Tokyo</v>
      </c>
      <c r="AA116" t="str">
        <f t="shared" si="17"/>
        <v>Low</v>
      </c>
      <c r="AB116" t="str">
        <f t="array" ref="AB116">TEXT(MIN(IF($E$2:$E$633=E116, $B$2:$B$633)), "YYYY-MM")</f>
        <v>2023-03</v>
      </c>
      <c r="AC116" s="13">
        <f>SUM($T$2:T116)</f>
        <v>1917019.1885899999</v>
      </c>
    </row>
    <row r="117" spans="1:29" x14ac:dyDescent="0.45">
      <c r="A117" t="s">
        <v>130</v>
      </c>
      <c r="B117" s="2">
        <v>44987</v>
      </c>
      <c r="C117" s="2">
        <v>44990</v>
      </c>
      <c r="D117" t="s">
        <v>648</v>
      </c>
      <c r="E117" t="s">
        <v>655</v>
      </c>
      <c r="F117" t="s">
        <v>672</v>
      </c>
      <c r="G117" t="s">
        <v>706</v>
      </c>
      <c r="H117" s="9" t="s">
        <v>711</v>
      </c>
      <c r="I117" s="9" t="s">
        <v>715</v>
      </c>
      <c r="J117" s="9" t="s">
        <v>732</v>
      </c>
      <c r="K117" t="s">
        <v>849</v>
      </c>
      <c r="L117" s="7">
        <v>1473.58</v>
      </c>
      <c r="M117" s="7">
        <v>3436.52</v>
      </c>
      <c r="N117" s="5">
        <v>0.108</v>
      </c>
      <c r="O117">
        <v>8</v>
      </c>
      <c r="P117" s="2">
        <f t="shared" si="9"/>
        <v>44990</v>
      </c>
      <c r="Q117" t="str">
        <f t="shared" si="10"/>
        <v>Ok</v>
      </c>
      <c r="R117">
        <f>ABS(Table2[[#This Row],[UnitPrice]])</f>
        <v>3436.52</v>
      </c>
      <c r="S117">
        <f t="shared" si="11"/>
        <v>3</v>
      </c>
      <c r="T117" s="12">
        <f t="shared" si="12"/>
        <v>24523.006720000001</v>
      </c>
      <c r="U117">
        <f>Table2[[#This Row],[UnitCost]]*Table2[[#This Row],[Quantity]]</f>
        <v>11788.64</v>
      </c>
      <c r="V117" s="13">
        <f t="shared" si="13"/>
        <v>12734.366720000002</v>
      </c>
      <c r="W117" s="5">
        <f t="shared" si="14"/>
        <v>0.51928243813652564</v>
      </c>
      <c r="X117" s="17" t="str">
        <f t="shared" si="15"/>
        <v>Mar-2023</v>
      </c>
      <c r="Z117" t="str">
        <f t="shared" si="16"/>
        <v>Americas. Brazil. Brasília</v>
      </c>
      <c r="AA117" t="str">
        <f t="shared" si="17"/>
        <v>High</v>
      </c>
      <c r="AB117" t="str">
        <f t="array" ref="AB117">TEXT(MIN(IF($E$2:$E$633=E117, $B$2:$B$633)), "YYYY-MM")</f>
        <v>2023-01</v>
      </c>
      <c r="AC117" s="13">
        <f>SUM($T$2:T117)</f>
        <v>1941542.1953099999</v>
      </c>
    </row>
    <row r="118" spans="1:29" x14ac:dyDescent="0.45">
      <c r="A118" t="s">
        <v>131</v>
      </c>
      <c r="B118" s="2">
        <v>45811</v>
      </c>
      <c r="C118" s="2">
        <v>45818</v>
      </c>
      <c r="D118" t="s">
        <v>648</v>
      </c>
      <c r="E118" t="s">
        <v>653</v>
      </c>
      <c r="F118" t="s">
        <v>667</v>
      </c>
      <c r="G118" t="s">
        <v>704</v>
      </c>
      <c r="H118" s="9" t="s">
        <v>710</v>
      </c>
      <c r="I118" s="9" t="s">
        <v>719</v>
      </c>
      <c r="J118" s="9" t="s">
        <v>728</v>
      </c>
      <c r="K118" t="s">
        <v>850</v>
      </c>
      <c r="L118" s="7">
        <v>75.180000000000007</v>
      </c>
      <c r="M118" s="7">
        <v>53.45</v>
      </c>
      <c r="N118" s="5">
        <v>0.157</v>
      </c>
      <c r="O118">
        <v>17</v>
      </c>
      <c r="P118" s="2">
        <f t="shared" si="9"/>
        <v>45818</v>
      </c>
      <c r="Q118" t="str">
        <f t="shared" si="10"/>
        <v>Ok</v>
      </c>
      <c r="R118">
        <f>ABS(Table2[[#This Row],[UnitPrice]])</f>
        <v>53.45</v>
      </c>
      <c r="S118">
        <f t="shared" si="11"/>
        <v>7</v>
      </c>
      <c r="T118" s="12">
        <f t="shared" si="12"/>
        <v>765.99195000000009</v>
      </c>
      <c r="U118">
        <f>Table2[[#This Row],[UnitCost]]*Table2[[#This Row],[Quantity]]</f>
        <v>1278.0600000000002</v>
      </c>
      <c r="V118" s="13">
        <f t="shared" si="13"/>
        <v>-512.06805000000008</v>
      </c>
      <c r="W118" s="5">
        <f t="shared" si="14"/>
        <v>-0.66850317421743144</v>
      </c>
      <c r="X118" s="17" t="str">
        <f t="shared" si="15"/>
        <v>Jun-2025</v>
      </c>
      <c r="Z118" t="str">
        <f t="shared" si="16"/>
        <v>Americas. Canada. Toronto</v>
      </c>
      <c r="AA118" t="str">
        <f t="shared" si="17"/>
        <v>Low</v>
      </c>
      <c r="AB118" t="str">
        <f t="array" ref="AB118">TEXT(MIN(IF($E$2:$E$633=E118, $B$2:$B$633)), "YYYY-MM")</f>
        <v>2023-01</v>
      </c>
      <c r="AC118" s="13">
        <f>SUM($T$2:T118)</f>
        <v>1942308.1872599998</v>
      </c>
    </row>
    <row r="119" spans="1:29" x14ac:dyDescent="0.45">
      <c r="A119" t="s">
        <v>132</v>
      </c>
      <c r="B119" s="2">
        <v>45653</v>
      </c>
      <c r="C119" s="2">
        <v>45659</v>
      </c>
      <c r="D119" t="s">
        <v>649</v>
      </c>
      <c r="E119" t="s">
        <v>656</v>
      </c>
      <c r="F119" t="s">
        <v>698</v>
      </c>
      <c r="G119" t="s">
        <v>702</v>
      </c>
      <c r="H119" s="9" t="s">
        <v>711</v>
      </c>
      <c r="I119" s="9" t="s">
        <v>721</v>
      </c>
      <c r="J119" s="9" t="s">
        <v>731</v>
      </c>
      <c r="K119" t="s">
        <v>851</v>
      </c>
      <c r="L119" s="7">
        <v>1391.99</v>
      </c>
      <c r="M119" s="7">
        <v>3469.7</v>
      </c>
      <c r="N119" s="5">
        <v>0.184</v>
      </c>
      <c r="O119">
        <v>23</v>
      </c>
      <c r="P119" s="2">
        <f t="shared" si="9"/>
        <v>45659</v>
      </c>
      <c r="Q119" t="str">
        <f t="shared" si="10"/>
        <v>Ok</v>
      </c>
      <c r="R119">
        <f>ABS(Table2[[#This Row],[UnitPrice]])</f>
        <v>3469.7</v>
      </c>
      <c r="S119">
        <f t="shared" si="11"/>
        <v>6</v>
      </c>
      <c r="T119" s="12">
        <f t="shared" si="12"/>
        <v>65119.329599999997</v>
      </c>
      <c r="U119">
        <f>Table2[[#This Row],[UnitCost]]*Table2[[#This Row],[Quantity]]</f>
        <v>32015.77</v>
      </c>
      <c r="V119" s="13">
        <f t="shared" si="13"/>
        <v>33103.559599999993</v>
      </c>
      <c r="W119" s="5">
        <f t="shared" si="14"/>
        <v>0.50835227886006973</v>
      </c>
      <c r="X119" s="17" t="str">
        <f t="shared" si="15"/>
        <v>Dec-2024</v>
      </c>
      <c r="Z119" t="str">
        <f t="shared" si="16"/>
        <v>Europe. Germany. Frankfurt</v>
      </c>
      <c r="AA119" t="str">
        <f t="shared" si="17"/>
        <v>High</v>
      </c>
      <c r="AB119" t="str">
        <f t="array" ref="AB119">TEXT(MIN(IF($E$2:$E$633=E119, $B$2:$B$633)), "YYYY-MM")</f>
        <v>2023-01</v>
      </c>
      <c r="AC119" s="13">
        <f>SUM($T$2:T119)</f>
        <v>2007427.5168599999</v>
      </c>
    </row>
    <row r="120" spans="1:29" x14ac:dyDescent="0.45">
      <c r="A120" t="s">
        <v>133</v>
      </c>
      <c r="B120" s="2">
        <v>45086</v>
      </c>
      <c r="C120" s="2">
        <v>45096</v>
      </c>
      <c r="D120" t="s">
        <v>647</v>
      </c>
      <c r="E120" t="s">
        <v>659</v>
      </c>
      <c r="F120" t="s">
        <v>699</v>
      </c>
      <c r="G120" t="s">
        <v>706</v>
      </c>
      <c r="H120" s="9" t="s">
        <v>707</v>
      </c>
      <c r="I120" s="9" t="s">
        <v>721</v>
      </c>
      <c r="J120" s="9" t="s">
        <v>732</v>
      </c>
      <c r="K120" t="s">
        <v>852</v>
      </c>
      <c r="L120" s="7">
        <v>339.61</v>
      </c>
      <c r="M120" s="7">
        <v>621.02</v>
      </c>
      <c r="N120" s="5">
        <v>7.0999999999999994E-2</v>
      </c>
      <c r="O120">
        <v>10</v>
      </c>
      <c r="P120" s="2">
        <f t="shared" si="9"/>
        <v>45096</v>
      </c>
      <c r="Q120" t="str">
        <f t="shared" si="10"/>
        <v>Ok</v>
      </c>
      <c r="R120">
        <f>ABS(Table2[[#This Row],[UnitPrice]])</f>
        <v>621.02</v>
      </c>
      <c r="S120">
        <f t="shared" si="11"/>
        <v>10</v>
      </c>
      <c r="T120" s="12">
        <f t="shared" si="12"/>
        <v>5769.2758000000003</v>
      </c>
      <c r="U120">
        <f>Table2[[#This Row],[UnitCost]]*Table2[[#This Row],[Quantity]]</f>
        <v>3396.1000000000004</v>
      </c>
      <c r="V120" s="13">
        <f t="shared" si="13"/>
        <v>2373.1758</v>
      </c>
      <c r="W120" s="5">
        <f t="shared" si="14"/>
        <v>0.41134726129750981</v>
      </c>
      <c r="X120" s="17" t="str">
        <f t="shared" si="15"/>
        <v>Jun-2023</v>
      </c>
      <c r="Z120" t="str">
        <f t="shared" si="16"/>
        <v>Asia. China. Beijing</v>
      </c>
      <c r="AA120" t="str">
        <f t="shared" si="17"/>
        <v>Low</v>
      </c>
      <c r="AB120" t="str">
        <f t="array" ref="AB120">TEXT(MIN(IF($E$2:$E$633=E120, $B$2:$B$633)), "YYYY-MM")</f>
        <v>2023-01</v>
      </c>
      <c r="AC120" s="13">
        <f>SUM($T$2:T120)</f>
        <v>2013196.7926599998</v>
      </c>
    </row>
    <row r="121" spans="1:29" x14ac:dyDescent="0.45">
      <c r="A121" t="s">
        <v>134</v>
      </c>
      <c r="B121" s="2">
        <v>45847</v>
      </c>
      <c r="C121" s="2">
        <v>45856</v>
      </c>
      <c r="D121" t="s">
        <v>648</v>
      </c>
      <c r="E121" t="s">
        <v>653</v>
      </c>
      <c r="F121" t="s">
        <v>688</v>
      </c>
      <c r="G121" t="s">
        <v>702</v>
      </c>
      <c r="H121" s="9" t="s">
        <v>710</v>
      </c>
      <c r="I121" s="9" t="s">
        <v>714</v>
      </c>
      <c r="J121" s="9" t="s">
        <v>731</v>
      </c>
      <c r="K121" t="s">
        <v>853</v>
      </c>
      <c r="L121" s="7">
        <v>57.96</v>
      </c>
      <c r="M121" s="7">
        <v>88.51</v>
      </c>
      <c r="N121" s="5">
        <v>4.2999999999999997E-2</v>
      </c>
      <c r="O121">
        <v>7</v>
      </c>
      <c r="P121" s="2">
        <f t="shared" si="9"/>
        <v>45856</v>
      </c>
      <c r="Q121" t="str">
        <f t="shared" si="10"/>
        <v>Ok</v>
      </c>
      <c r="R121">
        <f>ABS(Table2[[#This Row],[UnitPrice]])</f>
        <v>88.51</v>
      </c>
      <c r="S121">
        <f t="shared" si="11"/>
        <v>9</v>
      </c>
      <c r="T121" s="12">
        <f t="shared" si="12"/>
        <v>592.92849000000001</v>
      </c>
      <c r="U121">
        <f>Table2[[#This Row],[UnitCost]]*Table2[[#This Row],[Quantity]]</f>
        <v>405.72</v>
      </c>
      <c r="V121" s="13">
        <f t="shared" si="13"/>
        <v>187.20848999999998</v>
      </c>
      <c r="W121" s="5">
        <f t="shared" si="14"/>
        <v>0.3157353595877978</v>
      </c>
      <c r="X121" s="17" t="str">
        <f t="shared" si="15"/>
        <v>Jul-2025</v>
      </c>
      <c r="Z121" t="str">
        <f t="shared" si="16"/>
        <v>Americas. Canada. Vancouver</v>
      </c>
      <c r="AA121" t="str">
        <f t="shared" si="17"/>
        <v>Low</v>
      </c>
      <c r="AB121" t="str">
        <f t="array" ref="AB121">TEXT(MIN(IF($E$2:$E$633=E121, $B$2:$B$633)), "YYYY-MM")</f>
        <v>2023-01</v>
      </c>
      <c r="AC121" s="13">
        <f>SUM($T$2:T121)</f>
        <v>2013789.7211499999</v>
      </c>
    </row>
    <row r="122" spans="1:29" x14ac:dyDescent="0.45">
      <c r="A122" t="s">
        <v>135</v>
      </c>
      <c r="B122" s="2">
        <v>45827</v>
      </c>
      <c r="C122" s="2">
        <v>45850</v>
      </c>
      <c r="D122" t="s">
        <v>649</v>
      </c>
      <c r="E122" t="s">
        <v>658</v>
      </c>
      <c r="F122" t="s">
        <v>1422</v>
      </c>
      <c r="G122" t="s">
        <v>703</v>
      </c>
      <c r="H122" s="9" t="s">
        <v>711</v>
      </c>
      <c r="I122" s="9" t="s">
        <v>1422</v>
      </c>
      <c r="J122" s="9" t="s">
        <v>729</v>
      </c>
      <c r="K122" t="s">
        <v>854</v>
      </c>
      <c r="L122" s="7">
        <v>801.24</v>
      </c>
      <c r="M122" s="7">
        <v>1959.09</v>
      </c>
      <c r="N122" s="5">
        <v>0.123</v>
      </c>
      <c r="O122">
        <v>23</v>
      </c>
      <c r="P122" s="2">
        <f t="shared" si="9"/>
        <v>45850</v>
      </c>
      <c r="Q122" t="str">
        <f t="shared" si="10"/>
        <v>Ok</v>
      </c>
      <c r="R122">
        <f>ABS(Table2[[#This Row],[UnitPrice]])</f>
        <v>1959.09</v>
      </c>
      <c r="S122">
        <f t="shared" si="11"/>
        <v>23</v>
      </c>
      <c r="T122" s="12">
        <f t="shared" si="12"/>
        <v>39516.804389999998</v>
      </c>
      <c r="U122">
        <f>Table2[[#This Row],[UnitCost]]*Table2[[#This Row],[Quantity]]</f>
        <v>18428.52</v>
      </c>
      <c r="V122" s="13">
        <f t="shared" si="13"/>
        <v>21088.284389999997</v>
      </c>
      <c r="W122" s="5">
        <f t="shared" si="14"/>
        <v>0.53365358650651762</v>
      </c>
      <c r="X122" s="17" t="str">
        <f t="shared" si="15"/>
        <v>Jun-2025</v>
      </c>
      <c r="Z122" t="str">
        <f t="shared" si="16"/>
        <v>Europe. United Kingdom. Unknown</v>
      </c>
      <c r="AA122" t="str">
        <f t="shared" si="17"/>
        <v>High</v>
      </c>
      <c r="AB122" t="str">
        <f t="array" ref="AB122">TEXT(MIN(IF($E$2:$E$633=E122, $B$2:$B$633)), "YYYY-MM")</f>
        <v>2023-01</v>
      </c>
      <c r="AC122" s="13">
        <f>SUM($T$2:T122)</f>
        <v>2053306.5255399998</v>
      </c>
    </row>
    <row r="123" spans="1:29" x14ac:dyDescent="0.45">
      <c r="A123" t="s">
        <v>136</v>
      </c>
      <c r="B123" s="2">
        <v>45249</v>
      </c>
      <c r="C123" s="2">
        <v>45273</v>
      </c>
      <c r="D123" t="s">
        <v>649</v>
      </c>
      <c r="E123" t="s">
        <v>657</v>
      </c>
      <c r="F123" t="s">
        <v>679</v>
      </c>
      <c r="G123" t="s">
        <v>703</v>
      </c>
      <c r="H123" s="9" t="s">
        <v>711</v>
      </c>
      <c r="I123" s="9" t="s">
        <v>722</v>
      </c>
      <c r="J123" s="9" t="s">
        <v>732</v>
      </c>
      <c r="K123" t="s">
        <v>855</v>
      </c>
      <c r="L123" s="7">
        <v>1297.42</v>
      </c>
      <c r="M123" s="7">
        <v>2742.97</v>
      </c>
      <c r="N123" s="5">
        <v>6.9000000000000006E-2</v>
      </c>
      <c r="O123">
        <v>9</v>
      </c>
      <c r="P123" s="2">
        <f t="shared" si="9"/>
        <v>45273</v>
      </c>
      <c r="Q123" t="str">
        <f t="shared" si="10"/>
        <v>Ok</v>
      </c>
      <c r="R123">
        <f>ABS(Table2[[#This Row],[UnitPrice]])</f>
        <v>2742.97</v>
      </c>
      <c r="S123">
        <f t="shared" si="11"/>
        <v>24</v>
      </c>
      <c r="T123" s="12">
        <f t="shared" si="12"/>
        <v>22983.34563</v>
      </c>
      <c r="U123">
        <f>Table2[[#This Row],[UnitCost]]*Table2[[#This Row],[Quantity]]</f>
        <v>11676.78</v>
      </c>
      <c r="V123" s="13">
        <f t="shared" si="13"/>
        <v>11306.565629999999</v>
      </c>
      <c r="W123" s="5">
        <f t="shared" si="14"/>
        <v>0.49194602961727291</v>
      </c>
      <c r="X123" s="17" t="str">
        <f t="shared" si="15"/>
        <v>Nov-2023</v>
      </c>
      <c r="Z123" t="str">
        <f t="shared" si="16"/>
        <v>Europe. France. Lyon</v>
      </c>
      <c r="AA123" t="str">
        <f t="shared" si="17"/>
        <v>High</v>
      </c>
      <c r="AB123" t="str">
        <f t="array" ref="AB123">TEXT(MIN(IF($E$2:$E$633=E123, $B$2:$B$633)), "YYYY-MM")</f>
        <v>2023-01</v>
      </c>
      <c r="AC123" s="13">
        <f>SUM($T$2:T123)</f>
        <v>2076289.8711699999</v>
      </c>
    </row>
    <row r="124" spans="1:29" x14ac:dyDescent="0.45">
      <c r="A124" t="s">
        <v>137</v>
      </c>
      <c r="B124" s="2">
        <v>45289</v>
      </c>
      <c r="C124" s="2">
        <v>45311</v>
      </c>
      <c r="D124" t="s">
        <v>646</v>
      </c>
      <c r="E124" t="s">
        <v>650</v>
      </c>
      <c r="F124" t="s">
        <v>662</v>
      </c>
      <c r="G124" t="s">
        <v>701</v>
      </c>
      <c r="H124" s="9" t="s">
        <v>711</v>
      </c>
      <c r="I124" s="9" t="s">
        <v>716</v>
      </c>
      <c r="J124" s="9" t="s">
        <v>730</v>
      </c>
      <c r="K124" t="s">
        <v>856</v>
      </c>
      <c r="L124" s="7">
        <v>1395.49</v>
      </c>
      <c r="M124" s="7">
        <v>1679.42</v>
      </c>
      <c r="N124" s="5">
        <v>0.20300000000000001</v>
      </c>
      <c r="O124">
        <v>12</v>
      </c>
      <c r="P124" s="2">
        <f t="shared" si="9"/>
        <v>45311</v>
      </c>
      <c r="Q124" t="str">
        <f t="shared" si="10"/>
        <v>Ok</v>
      </c>
      <c r="R124">
        <f>ABS(Table2[[#This Row],[UnitPrice]])</f>
        <v>1679.42</v>
      </c>
      <c r="S124">
        <f t="shared" si="11"/>
        <v>22</v>
      </c>
      <c r="T124" s="12">
        <f t="shared" si="12"/>
        <v>16061.972879999999</v>
      </c>
      <c r="U124">
        <f>Table2[[#This Row],[UnitCost]]*Table2[[#This Row],[Quantity]]</f>
        <v>16745.88</v>
      </c>
      <c r="V124" s="13">
        <f t="shared" si="13"/>
        <v>-683.90712000000167</v>
      </c>
      <c r="W124" s="5">
        <f t="shared" si="14"/>
        <v>-4.2579272490964493E-2</v>
      </c>
      <c r="X124" s="17" t="str">
        <f t="shared" si="15"/>
        <v>Dec-2023</v>
      </c>
      <c r="Z124" t="str">
        <f t="shared" si="16"/>
        <v>Africa. Kenya. Kisumu</v>
      </c>
      <c r="AA124" t="str">
        <f t="shared" si="17"/>
        <v>High</v>
      </c>
      <c r="AB124" t="str">
        <f t="array" ref="AB124">TEXT(MIN(IF($E$2:$E$633=E124, $B$2:$B$633)), "YYYY-MM")</f>
        <v>2023-01</v>
      </c>
      <c r="AC124" s="13">
        <f>SUM($T$2:T124)</f>
        <v>2092351.84405</v>
      </c>
    </row>
    <row r="125" spans="1:29" x14ac:dyDescent="0.45">
      <c r="A125" t="s">
        <v>138</v>
      </c>
      <c r="B125" s="2">
        <v>45598</v>
      </c>
      <c r="C125" s="2">
        <v>45625</v>
      </c>
      <c r="D125" t="s">
        <v>648</v>
      </c>
      <c r="E125" t="s">
        <v>655</v>
      </c>
      <c r="F125" t="s">
        <v>672</v>
      </c>
      <c r="G125" t="s">
        <v>705</v>
      </c>
      <c r="H125" s="9" t="s">
        <v>711</v>
      </c>
      <c r="I125" s="9" t="s">
        <v>714</v>
      </c>
      <c r="J125" s="9" t="s">
        <v>729</v>
      </c>
      <c r="K125" t="s">
        <v>857</v>
      </c>
      <c r="L125" s="7">
        <v>1363.51</v>
      </c>
      <c r="M125" s="7">
        <v>1433.9</v>
      </c>
      <c r="N125" s="5">
        <v>5.7000000000000002E-2</v>
      </c>
      <c r="O125">
        <v>8</v>
      </c>
      <c r="P125" s="2">
        <f t="shared" si="9"/>
        <v>45625</v>
      </c>
      <c r="Q125" t="str">
        <f t="shared" si="10"/>
        <v>Ok</v>
      </c>
      <c r="R125">
        <f>ABS(Table2[[#This Row],[UnitPrice]])</f>
        <v>1433.9</v>
      </c>
      <c r="S125">
        <f t="shared" si="11"/>
        <v>27</v>
      </c>
      <c r="T125" s="12">
        <f t="shared" si="12"/>
        <v>10817.3416</v>
      </c>
      <c r="U125">
        <f>Table2[[#This Row],[UnitCost]]*Table2[[#This Row],[Quantity]]</f>
        <v>10908.08</v>
      </c>
      <c r="V125" s="13">
        <f t="shared" si="13"/>
        <v>-90.738400000000183</v>
      </c>
      <c r="W125" s="5">
        <f t="shared" si="14"/>
        <v>-8.3882346842037592E-3</v>
      </c>
      <c r="X125" s="17" t="str">
        <f t="shared" si="15"/>
        <v>Nov-2024</v>
      </c>
      <c r="Z125" t="str">
        <f t="shared" si="16"/>
        <v>Americas. Brazil. Brasília</v>
      </c>
      <c r="AA125" t="str">
        <f t="shared" si="17"/>
        <v>High</v>
      </c>
      <c r="AB125" t="str">
        <f t="array" ref="AB125">TEXT(MIN(IF($E$2:$E$633=E125, $B$2:$B$633)), "YYYY-MM")</f>
        <v>2023-01</v>
      </c>
      <c r="AC125" s="13">
        <f>SUM($T$2:T125)</f>
        <v>2103169.1856499999</v>
      </c>
    </row>
    <row r="126" spans="1:29" x14ac:dyDescent="0.45">
      <c r="A126" t="s">
        <v>139</v>
      </c>
      <c r="B126" s="2">
        <v>45159</v>
      </c>
      <c r="C126" s="2">
        <v>45173</v>
      </c>
      <c r="D126" t="s">
        <v>648</v>
      </c>
      <c r="E126" t="s">
        <v>653</v>
      </c>
      <c r="F126" t="s">
        <v>681</v>
      </c>
      <c r="G126" t="s">
        <v>702</v>
      </c>
      <c r="H126" s="9" t="s">
        <v>710</v>
      </c>
      <c r="I126" s="9" t="s">
        <v>721</v>
      </c>
      <c r="J126" s="9" t="s">
        <v>727</v>
      </c>
      <c r="K126" t="s">
        <v>858</v>
      </c>
      <c r="L126" s="7">
        <v>178.19</v>
      </c>
      <c r="M126" s="7">
        <v>284.43</v>
      </c>
      <c r="N126" s="5">
        <v>8.8999999999999996E-2</v>
      </c>
      <c r="O126">
        <v>8</v>
      </c>
      <c r="P126" s="2">
        <f t="shared" si="9"/>
        <v>45173</v>
      </c>
      <c r="Q126" t="str">
        <f t="shared" si="10"/>
        <v>Ok</v>
      </c>
      <c r="R126">
        <f>ABS(Table2[[#This Row],[UnitPrice]])</f>
        <v>284.43</v>
      </c>
      <c r="S126">
        <f t="shared" si="11"/>
        <v>14</v>
      </c>
      <c r="T126" s="12">
        <f t="shared" si="12"/>
        <v>2072.9258400000003</v>
      </c>
      <c r="U126">
        <f>Table2[[#This Row],[UnitCost]]*Table2[[#This Row],[Quantity]]</f>
        <v>1425.52</v>
      </c>
      <c r="V126" s="13">
        <f t="shared" si="13"/>
        <v>647.40584000000035</v>
      </c>
      <c r="W126" s="5">
        <f t="shared" si="14"/>
        <v>0.31231500302972742</v>
      </c>
      <c r="X126" s="17" t="str">
        <f t="shared" si="15"/>
        <v>Aug-2023</v>
      </c>
      <c r="Z126" t="str">
        <f t="shared" si="16"/>
        <v>Americas. Canada. Montreal</v>
      </c>
      <c r="AA126" t="str">
        <f t="shared" si="17"/>
        <v>Low</v>
      </c>
      <c r="AB126" t="str">
        <f t="array" ref="AB126">TEXT(MIN(IF($E$2:$E$633=E126, $B$2:$B$633)), "YYYY-MM")</f>
        <v>2023-01</v>
      </c>
      <c r="AC126" s="13">
        <f>SUM($T$2:T126)</f>
        <v>2105242.11149</v>
      </c>
    </row>
    <row r="127" spans="1:29" x14ac:dyDescent="0.45">
      <c r="A127" t="s">
        <v>140</v>
      </c>
      <c r="B127" s="2">
        <v>45150</v>
      </c>
      <c r="C127" s="2">
        <v>45175</v>
      </c>
      <c r="D127" t="s">
        <v>647</v>
      </c>
      <c r="E127" t="s">
        <v>659</v>
      </c>
      <c r="F127" t="s">
        <v>685</v>
      </c>
      <c r="G127" t="s">
        <v>705</v>
      </c>
      <c r="H127" s="9" t="s">
        <v>707</v>
      </c>
      <c r="I127" s="9" t="s">
        <v>717</v>
      </c>
      <c r="J127" s="9" t="s">
        <v>727</v>
      </c>
      <c r="K127" t="s">
        <v>859</v>
      </c>
      <c r="L127" s="7">
        <v>950.77</v>
      </c>
      <c r="M127" s="7">
        <v>694.78</v>
      </c>
      <c r="N127" s="5">
        <v>8.4000000000000005E-2</v>
      </c>
      <c r="O127">
        <v>14</v>
      </c>
      <c r="P127" s="2">
        <f t="shared" si="9"/>
        <v>45175</v>
      </c>
      <c r="Q127" t="str">
        <f t="shared" si="10"/>
        <v>Ok</v>
      </c>
      <c r="R127">
        <f>ABS(Table2[[#This Row],[UnitPrice]])</f>
        <v>694.78</v>
      </c>
      <c r="S127">
        <f t="shared" si="11"/>
        <v>25</v>
      </c>
      <c r="T127" s="12">
        <f t="shared" si="12"/>
        <v>8909.8587200000002</v>
      </c>
      <c r="U127">
        <f>Table2[[#This Row],[UnitCost]]*Table2[[#This Row],[Quantity]]</f>
        <v>13310.779999999999</v>
      </c>
      <c r="V127" s="13">
        <f t="shared" si="13"/>
        <v>-4400.9212799999987</v>
      </c>
      <c r="W127" s="5">
        <f t="shared" si="14"/>
        <v>-0.49393839097821279</v>
      </c>
      <c r="X127" s="17" t="str">
        <f t="shared" si="15"/>
        <v>Aug-2023</v>
      </c>
      <c r="Z127" t="str">
        <f t="shared" si="16"/>
        <v>Asia. China. Shanghai</v>
      </c>
      <c r="AA127" t="str">
        <f t="shared" si="17"/>
        <v>Low</v>
      </c>
      <c r="AB127" t="str">
        <f t="array" ref="AB127">TEXT(MIN(IF($E$2:$E$633=E127, $B$2:$B$633)), "YYYY-MM")</f>
        <v>2023-01</v>
      </c>
      <c r="AC127" s="13">
        <f>SUM($T$2:T127)</f>
        <v>2114151.9702099999</v>
      </c>
    </row>
    <row r="128" spans="1:29" x14ac:dyDescent="0.45">
      <c r="A128" t="s">
        <v>141</v>
      </c>
      <c r="B128" s="2">
        <v>45450</v>
      </c>
      <c r="C128" s="2">
        <v>45469</v>
      </c>
      <c r="D128" t="s">
        <v>649</v>
      </c>
      <c r="E128" t="s">
        <v>656</v>
      </c>
      <c r="F128" t="s">
        <v>671</v>
      </c>
      <c r="G128" t="s">
        <v>703</v>
      </c>
      <c r="H128" s="9" t="s">
        <v>709</v>
      </c>
      <c r="I128" s="9" t="s">
        <v>724</v>
      </c>
      <c r="J128" s="9" t="s">
        <v>727</v>
      </c>
      <c r="K128" t="s">
        <v>860</v>
      </c>
      <c r="L128" s="7">
        <v>1064.32</v>
      </c>
      <c r="M128" s="7">
        <v>1848.39</v>
      </c>
      <c r="N128" s="5">
        <v>7.2999999999999995E-2</v>
      </c>
      <c r="O128">
        <v>38</v>
      </c>
      <c r="P128" s="2">
        <f t="shared" si="9"/>
        <v>45469</v>
      </c>
      <c r="Q128" t="str">
        <f t="shared" si="10"/>
        <v>Ok</v>
      </c>
      <c r="R128">
        <f>ABS(Table2[[#This Row],[UnitPrice]])</f>
        <v>1848.39</v>
      </c>
      <c r="S128">
        <f t="shared" si="11"/>
        <v>19</v>
      </c>
      <c r="T128" s="12">
        <f t="shared" si="12"/>
        <v>65111.38614000001</v>
      </c>
      <c r="U128">
        <f>Table2[[#This Row],[UnitCost]]*Table2[[#This Row],[Quantity]]</f>
        <v>40444.159999999996</v>
      </c>
      <c r="V128" s="13">
        <f t="shared" si="13"/>
        <v>24667.226140000013</v>
      </c>
      <c r="W128" s="5">
        <f t="shared" si="14"/>
        <v>0.3788465827921631</v>
      </c>
      <c r="X128" s="17" t="str">
        <f t="shared" si="15"/>
        <v>Jun-2024</v>
      </c>
      <c r="Z128" t="str">
        <f t="shared" si="16"/>
        <v>Europe. Germany. Berlin</v>
      </c>
      <c r="AA128" t="str">
        <f t="shared" si="17"/>
        <v>High</v>
      </c>
      <c r="AB128" t="str">
        <f t="array" ref="AB128">TEXT(MIN(IF($E$2:$E$633=E128, $B$2:$B$633)), "YYYY-MM")</f>
        <v>2023-01</v>
      </c>
      <c r="AC128" s="13">
        <f>SUM($T$2:T128)</f>
        <v>2179263.35635</v>
      </c>
    </row>
    <row r="129" spans="1:29" x14ac:dyDescent="0.45">
      <c r="A129" t="s">
        <v>142</v>
      </c>
      <c r="B129" s="2">
        <v>45874</v>
      </c>
      <c r="C129" s="2">
        <v>45883</v>
      </c>
      <c r="D129" t="s">
        <v>649</v>
      </c>
      <c r="E129" t="s">
        <v>658</v>
      </c>
      <c r="F129" t="s">
        <v>683</v>
      </c>
      <c r="G129" t="s">
        <v>703</v>
      </c>
      <c r="H129" s="9" t="s">
        <v>711</v>
      </c>
      <c r="I129" s="9" t="s">
        <v>718</v>
      </c>
      <c r="J129" s="9" t="s">
        <v>727</v>
      </c>
      <c r="K129" t="s">
        <v>861</v>
      </c>
      <c r="L129" s="7">
        <v>41.76</v>
      </c>
      <c r="M129" s="7">
        <v>45.19</v>
      </c>
      <c r="N129" s="5">
        <v>0.17899999999999999</v>
      </c>
      <c r="O129">
        <v>23</v>
      </c>
      <c r="P129" s="2">
        <f t="shared" si="9"/>
        <v>45883</v>
      </c>
      <c r="Q129" t="str">
        <f t="shared" si="10"/>
        <v>Ok</v>
      </c>
      <c r="R129">
        <f>ABS(Table2[[#This Row],[UnitPrice]])</f>
        <v>45.19</v>
      </c>
      <c r="S129">
        <f t="shared" si="11"/>
        <v>9</v>
      </c>
      <c r="T129" s="12">
        <f t="shared" si="12"/>
        <v>853.32276999999988</v>
      </c>
      <c r="U129">
        <f>Table2[[#This Row],[UnitCost]]*Table2[[#This Row],[Quantity]]</f>
        <v>960.4799999999999</v>
      </c>
      <c r="V129" s="13">
        <f t="shared" si="13"/>
        <v>-107.15723000000003</v>
      </c>
      <c r="W129" s="5">
        <f t="shared" si="14"/>
        <v>-0.12557643340514638</v>
      </c>
      <c r="X129" s="17" t="str">
        <f t="shared" si="15"/>
        <v>Aug-2025</v>
      </c>
      <c r="Z129" t="str">
        <f t="shared" si="16"/>
        <v>Europe. United Kingdom. London</v>
      </c>
      <c r="AA129" t="str">
        <f t="shared" si="17"/>
        <v>Low</v>
      </c>
      <c r="AB129" t="str">
        <f t="array" ref="AB129">TEXT(MIN(IF($E$2:$E$633=E129, $B$2:$B$633)), "YYYY-MM")</f>
        <v>2023-01</v>
      </c>
      <c r="AC129" s="13">
        <f>SUM($T$2:T129)</f>
        <v>2180116.67912</v>
      </c>
    </row>
    <row r="130" spans="1:29" x14ac:dyDescent="0.45">
      <c r="A130" t="s">
        <v>143</v>
      </c>
      <c r="B130" s="2">
        <v>45442</v>
      </c>
      <c r="C130" s="2">
        <v>45456</v>
      </c>
      <c r="D130" t="s">
        <v>648</v>
      </c>
      <c r="E130" t="s">
        <v>660</v>
      </c>
      <c r="F130" t="s">
        <v>686</v>
      </c>
      <c r="G130" t="s">
        <v>705</v>
      </c>
      <c r="H130" s="9" t="s">
        <v>707</v>
      </c>
      <c r="I130" s="9" t="s">
        <v>721</v>
      </c>
      <c r="J130" s="9" t="s">
        <v>730</v>
      </c>
      <c r="K130" t="s">
        <v>862</v>
      </c>
      <c r="L130" s="7">
        <v>157.78</v>
      </c>
      <c r="M130" s="7">
        <v>361.1</v>
      </c>
      <c r="N130" s="5">
        <v>0.187</v>
      </c>
      <c r="O130">
        <v>9</v>
      </c>
      <c r="P130" s="2">
        <f t="shared" ref="P130:P193" si="18">IF(C130&lt;B130,B130+7,C130)</f>
        <v>45456</v>
      </c>
      <c r="Q130" t="str">
        <f t="shared" ref="Q130:Q193" si="19">IF(M130&lt;0, "Invalid Price","Ok")</f>
        <v>Ok</v>
      </c>
      <c r="R130">
        <f>ABS(Table2[[#This Row],[UnitPrice]])</f>
        <v>361.1</v>
      </c>
      <c r="S130">
        <f t="shared" si="11"/>
        <v>14</v>
      </c>
      <c r="T130" s="12">
        <f t="shared" si="12"/>
        <v>2642.1686999999997</v>
      </c>
      <c r="U130">
        <f>Table2[[#This Row],[UnitCost]]*Table2[[#This Row],[Quantity]]</f>
        <v>1420.02</v>
      </c>
      <c r="V130" s="13">
        <f t="shared" si="13"/>
        <v>1222.1486999999997</v>
      </c>
      <c r="W130" s="5">
        <f t="shared" si="14"/>
        <v>0.46255513510549112</v>
      </c>
      <c r="X130" s="17" t="str">
        <f t="shared" si="15"/>
        <v>May-2024</v>
      </c>
      <c r="Z130" t="str">
        <f t="shared" si="16"/>
        <v>Americas. USA. San Francisco</v>
      </c>
      <c r="AA130" t="str">
        <f t="shared" si="17"/>
        <v>Low</v>
      </c>
      <c r="AB130" t="str">
        <f t="array" ref="AB130">TEXT(MIN(IF($E$2:$E$633=E130, $B$2:$B$633)), "YYYY-MM")</f>
        <v>2023-01</v>
      </c>
      <c r="AC130" s="13">
        <f>SUM($T$2:T130)</f>
        <v>2182758.8478199998</v>
      </c>
    </row>
    <row r="131" spans="1:29" x14ac:dyDescent="0.45">
      <c r="A131" t="s">
        <v>144</v>
      </c>
      <c r="B131" s="2">
        <v>44948</v>
      </c>
      <c r="C131" s="2">
        <v>44956</v>
      </c>
      <c r="D131" t="s">
        <v>648</v>
      </c>
      <c r="E131" t="s">
        <v>660</v>
      </c>
      <c r="F131" t="s">
        <v>686</v>
      </c>
      <c r="G131" t="s">
        <v>705</v>
      </c>
      <c r="H131" s="9" t="s">
        <v>708</v>
      </c>
      <c r="I131" s="9" t="s">
        <v>720</v>
      </c>
      <c r="J131" s="9" t="s">
        <v>729</v>
      </c>
      <c r="K131" t="s">
        <v>863</v>
      </c>
      <c r="L131" s="7">
        <v>413.52</v>
      </c>
      <c r="M131" s="7">
        <v>1004.34</v>
      </c>
      <c r="N131" s="5">
        <v>0.111</v>
      </c>
      <c r="O131">
        <v>18</v>
      </c>
      <c r="P131" s="2">
        <f t="shared" si="18"/>
        <v>44956</v>
      </c>
      <c r="Q131" t="str">
        <f t="shared" si="19"/>
        <v>Ok</v>
      </c>
      <c r="R131">
        <f>ABS(Table2[[#This Row],[UnitPrice]])</f>
        <v>1004.34</v>
      </c>
      <c r="S131">
        <f t="shared" ref="S131:S194" si="20">P131-B131</f>
        <v>8</v>
      </c>
      <c r="T131" s="12">
        <f t="shared" ref="T131:T194" si="21">R131*O131*(1-N131)</f>
        <v>16071.44868</v>
      </c>
      <c r="U131">
        <f>Table2[[#This Row],[UnitCost]]*Table2[[#This Row],[Quantity]]</f>
        <v>7443.36</v>
      </c>
      <c r="V131" s="13">
        <f t="shared" ref="V131:V194" si="22">T131-U131</f>
        <v>8628.0886800000007</v>
      </c>
      <c r="W131" s="5">
        <f t="shared" ref="W131:W194" si="23">IF(V131=0,0,V131/T131)</f>
        <v>0.53685817948304593</v>
      </c>
      <c r="X131" s="17" t="str">
        <f t="shared" ref="X131:X194" si="24">TEXT(B131,"mmm-yyyy")</f>
        <v>Jan-2023</v>
      </c>
      <c r="Z131" t="str">
        <f t="shared" ref="Z131:Z194" si="25">CONCATENATE(D131,". ",E131,". ",F131)</f>
        <v>Americas. USA. San Francisco</v>
      </c>
      <c r="AA131" t="str">
        <f t="shared" ref="AA131:AA194" si="26">IF(M131&lt;1193.87, "Low",IF(M131&gt;1193.87,"High","Medium"))</f>
        <v>Low</v>
      </c>
      <c r="AB131" t="str">
        <f t="array" ref="AB131">TEXT(MIN(IF($E$2:$E$633=E131, $B$2:$B$633)), "YYYY-MM")</f>
        <v>2023-01</v>
      </c>
      <c r="AC131" s="13">
        <f>SUM($T$2:T131)</f>
        <v>2198830.2964999997</v>
      </c>
    </row>
    <row r="132" spans="1:29" x14ac:dyDescent="0.45">
      <c r="A132" t="s">
        <v>145</v>
      </c>
      <c r="B132" s="2">
        <v>45700</v>
      </c>
      <c r="C132" s="2">
        <v>45716</v>
      </c>
      <c r="D132" t="s">
        <v>648</v>
      </c>
      <c r="E132" t="s">
        <v>655</v>
      </c>
      <c r="F132" t="s">
        <v>670</v>
      </c>
      <c r="G132" t="s">
        <v>703</v>
      </c>
      <c r="H132" s="9" t="s">
        <v>711</v>
      </c>
      <c r="I132" s="9" t="s">
        <v>717</v>
      </c>
      <c r="J132" s="9" t="s">
        <v>732</v>
      </c>
      <c r="K132" t="s">
        <v>864</v>
      </c>
      <c r="L132" s="7">
        <v>414.95</v>
      </c>
      <c r="M132" s="7">
        <v>1027.73</v>
      </c>
      <c r="N132" s="5">
        <v>6.3E-2</v>
      </c>
      <c r="O132">
        <v>8</v>
      </c>
      <c r="P132" s="2">
        <f t="shared" si="18"/>
        <v>45716</v>
      </c>
      <c r="Q132" t="str">
        <f t="shared" si="19"/>
        <v>Ok</v>
      </c>
      <c r="R132">
        <f>ABS(Table2[[#This Row],[UnitPrice]])</f>
        <v>1027.73</v>
      </c>
      <c r="S132">
        <f t="shared" si="20"/>
        <v>16</v>
      </c>
      <c r="T132" s="12">
        <f t="shared" si="21"/>
        <v>7703.8640800000003</v>
      </c>
      <c r="U132">
        <f>Table2[[#This Row],[UnitCost]]*Table2[[#This Row],[Quantity]]</f>
        <v>3319.6</v>
      </c>
      <c r="V132" s="13">
        <f t="shared" si="22"/>
        <v>4384.2640800000008</v>
      </c>
      <c r="W132" s="5">
        <f t="shared" si="23"/>
        <v>0.56909935513815568</v>
      </c>
      <c r="X132" s="17" t="str">
        <f t="shared" si="24"/>
        <v>Feb-2025</v>
      </c>
      <c r="Z132" t="str">
        <f t="shared" si="25"/>
        <v>Americas. Brazil. São Paulo</v>
      </c>
      <c r="AA132" t="str">
        <f t="shared" si="26"/>
        <v>Low</v>
      </c>
      <c r="AB132" t="str">
        <f t="array" ref="AB132">TEXT(MIN(IF($E$2:$E$633=E132, $B$2:$B$633)), "YYYY-MM")</f>
        <v>2023-01</v>
      </c>
      <c r="AC132" s="13">
        <f>SUM($T$2:T132)</f>
        <v>2206534.1605799999</v>
      </c>
    </row>
    <row r="133" spans="1:29" x14ac:dyDescent="0.45">
      <c r="A133" t="s">
        <v>146</v>
      </c>
      <c r="B133" s="2">
        <v>45719</v>
      </c>
      <c r="C133" s="2">
        <v>45740</v>
      </c>
      <c r="D133" t="s">
        <v>646</v>
      </c>
      <c r="E133" t="s">
        <v>651</v>
      </c>
      <c r="F133" t="s">
        <v>669</v>
      </c>
      <c r="G133" t="s">
        <v>706</v>
      </c>
      <c r="H133" s="9" t="s">
        <v>711</v>
      </c>
      <c r="I133" s="9" t="s">
        <v>722</v>
      </c>
      <c r="J133" s="9" t="s">
        <v>733</v>
      </c>
      <c r="K133" t="s">
        <v>865</v>
      </c>
      <c r="L133" s="7">
        <v>555.95000000000005</v>
      </c>
      <c r="M133" s="7">
        <v>468.09</v>
      </c>
      <c r="N133" s="5">
        <v>0.14199999999999999</v>
      </c>
      <c r="O133">
        <v>11</v>
      </c>
      <c r="P133" s="2">
        <f t="shared" si="18"/>
        <v>45740</v>
      </c>
      <c r="Q133" t="str">
        <f t="shared" si="19"/>
        <v>Ok</v>
      </c>
      <c r="R133">
        <f>ABS(Table2[[#This Row],[UnitPrice]])</f>
        <v>468.09</v>
      </c>
      <c r="S133">
        <f t="shared" si="20"/>
        <v>21</v>
      </c>
      <c r="T133" s="12">
        <f t="shared" si="21"/>
        <v>4417.8334199999999</v>
      </c>
      <c r="U133">
        <f>Table2[[#This Row],[UnitCost]]*Table2[[#This Row],[Quantity]]</f>
        <v>6115.4500000000007</v>
      </c>
      <c r="V133" s="13">
        <f t="shared" si="22"/>
        <v>-1697.6165800000008</v>
      </c>
      <c r="W133" s="5">
        <f t="shared" si="23"/>
        <v>-0.38426450674095375</v>
      </c>
      <c r="X133" s="17" t="str">
        <f t="shared" si="24"/>
        <v>Mar-2025</v>
      </c>
      <c r="Z133" t="str">
        <f t="shared" si="25"/>
        <v>Africa. Nigeria. Abuja</v>
      </c>
      <c r="AA133" t="str">
        <f t="shared" si="26"/>
        <v>Low</v>
      </c>
      <c r="AB133" t="str">
        <f t="array" ref="AB133">TEXT(MIN(IF($E$2:$E$633=E133, $B$2:$B$633)), "YYYY-MM")</f>
        <v>2023-01</v>
      </c>
      <c r="AC133" s="13">
        <f>SUM($T$2:T133)</f>
        <v>2210951.9939999999</v>
      </c>
    </row>
    <row r="134" spans="1:29" x14ac:dyDescent="0.45">
      <c r="A134" t="s">
        <v>147</v>
      </c>
      <c r="B134" s="2">
        <v>44953</v>
      </c>
      <c r="C134" s="2">
        <v>44957</v>
      </c>
      <c r="D134" t="s">
        <v>649</v>
      </c>
      <c r="E134" t="s">
        <v>658</v>
      </c>
      <c r="F134" t="s">
        <v>693</v>
      </c>
      <c r="G134" t="s">
        <v>706</v>
      </c>
      <c r="H134" s="9" t="s">
        <v>708</v>
      </c>
      <c r="I134" s="9" t="s">
        <v>725</v>
      </c>
      <c r="J134" s="9" t="s">
        <v>731</v>
      </c>
      <c r="K134" t="s">
        <v>866</v>
      </c>
      <c r="L134" s="7">
        <v>941.2</v>
      </c>
      <c r="M134" s="7">
        <v>668.02</v>
      </c>
      <c r="N134" s="5">
        <v>0.22</v>
      </c>
      <c r="O134">
        <v>16</v>
      </c>
      <c r="P134" s="2">
        <f t="shared" si="18"/>
        <v>44957</v>
      </c>
      <c r="Q134" t="str">
        <f t="shared" si="19"/>
        <v>Ok</v>
      </c>
      <c r="R134">
        <f>ABS(Table2[[#This Row],[UnitPrice]])</f>
        <v>668.02</v>
      </c>
      <c r="S134">
        <f t="shared" si="20"/>
        <v>4</v>
      </c>
      <c r="T134" s="12">
        <f t="shared" si="21"/>
        <v>8336.8896000000004</v>
      </c>
      <c r="U134">
        <f>Table2[[#This Row],[UnitCost]]*Table2[[#This Row],[Quantity]]</f>
        <v>15059.2</v>
      </c>
      <c r="V134" s="13">
        <f t="shared" si="22"/>
        <v>-6722.3104000000003</v>
      </c>
      <c r="W134" s="5">
        <f t="shared" si="23"/>
        <v>-0.80633314371825193</v>
      </c>
      <c r="X134" s="17" t="str">
        <f t="shared" si="24"/>
        <v>Jan-2023</v>
      </c>
      <c r="Z134" t="str">
        <f t="shared" si="25"/>
        <v>Europe. United Kingdom. Manchester</v>
      </c>
      <c r="AA134" t="str">
        <f t="shared" si="26"/>
        <v>Low</v>
      </c>
      <c r="AB134" t="str">
        <f t="array" ref="AB134">TEXT(MIN(IF($E$2:$E$633=E134, $B$2:$B$633)), "YYYY-MM")</f>
        <v>2023-01</v>
      </c>
      <c r="AC134" s="13">
        <f>SUM($T$2:T134)</f>
        <v>2219288.8835999998</v>
      </c>
    </row>
    <row r="135" spans="1:29" x14ac:dyDescent="0.45">
      <c r="A135" t="s">
        <v>148</v>
      </c>
      <c r="B135" s="2">
        <v>45666</v>
      </c>
      <c r="C135" s="2">
        <v>45672</v>
      </c>
      <c r="D135" t="s">
        <v>647</v>
      </c>
      <c r="E135" t="s">
        <v>659</v>
      </c>
      <c r="F135" t="s">
        <v>699</v>
      </c>
      <c r="G135" t="s">
        <v>702</v>
      </c>
      <c r="H135" s="9" t="s">
        <v>708</v>
      </c>
      <c r="I135" s="9" t="s">
        <v>712</v>
      </c>
      <c r="J135" s="9" t="s">
        <v>730</v>
      </c>
      <c r="K135" t="s">
        <v>867</v>
      </c>
      <c r="L135" s="7">
        <v>304.77999999999997</v>
      </c>
      <c r="M135" s="7">
        <v>537.27</v>
      </c>
      <c r="N135" s="5">
        <v>0.187</v>
      </c>
      <c r="O135">
        <v>8</v>
      </c>
      <c r="P135" s="2">
        <f t="shared" si="18"/>
        <v>45672</v>
      </c>
      <c r="Q135" t="str">
        <f t="shared" si="19"/>
        <v>Ok</v>
      </c>
      <c r="R135">
        <f>ABS(Table2[[#This Row],[UnitPrice]])</f>
        <v>537.27</v>
      </c>
      <c r="S135">
        <f t="shared" si="20"/>
        <v>6</v>
      </c>
      <c r="T135" s="12">
        <f t="shared" si="21"/>
        <v>3494.4040799999998</v>
      </c>
      <c r="U135">
        <f>Table2[[#This Row],[UnitCost]]*Table2[[#This Row],[Quantity]]</f>
        <v>2438.2399999999998</v>
      </c>
      <c r="V135" s="13">
        <f t="shared" si="22"/>
        <v>1056.16408</v>
      </c>
      <c r="W135" s="5">
        <f t="shared" si="23"/>
        <v>0.3022444044307549</v>
      </c>
      <c r="X135" s="17" t="str">
        <f t="shared" si="24"/>
        <v>Jan-2025</v>
      </c>
      <c r="Z135" t="str">
        <f t="shared" si="25"/>
        <v>Asia. China. Beijing</v>
      </c>
      <c r="AA135" t="str">
        <f t="shared" si="26"/>
        <v>Low</v>
      </c>
      <c r="AB135" t="str">
        <f t="array" ref="AB135">TEXT(MIN(IF($E$2:$E$633=E135, $B$2:$B$633)), "YYYY-MM")</f>
        <v>2023-01</v>
      </c>
      <c r="AC135" s="13">
        <f>SUM($T$2:T135)</f>
        <v>2222783.2876799996</v>
      </c>
    </row>
    <row r="136" spans="1:29" x14ac:dyDescent="0.45">
      <c r="A136" t="s">
        <v>149</v>
      </c>
      <c r="B136" s="2">
        <v>45647</v>
      </c>
      <c r="C136" s="2">
        <v>45652</v>
      </c>
      <c r="D136" t="s">
        <v>648</v>
      </c>
      <c r="E136" t="s">
        <v>660</v>
      </c>
      <c r="F136" t="s">
        <v>686</v>
      </c>
      <c r="G136" t="s">
        <v>704</v>
      </c>
      <c r="H136" s="9" t="s">
        <v>709</v>
      </c>
      <c r="I136" s="9" t="s">
        <v>724</v>
      </c>
      <c r="J136" s="9" t="s">
        <v>728</v>
      </c>
      <c r="K136" t="s">
        <v>868</v>
      </c>
      <c r="L136" s="7">
        <v>699.57</v>
      </c>
      <c r="M136" s="7">
        <v>572.71</v>
      </c>
      <c r="N136" s="5">
        <v>0.192</v>
      </c>
      <c r="O136">
        <v>26</v>
      </c>
      <c r="P136" s="2">
        <f t="shared" si="18"/>
        <v>45652</v>
      </c>
      <c r="Q136" t="str">
        <f t="shared" si="19"/>
        <v>Ok</v>
      </c>
      <c r="R136">
        <f>ABS(Table2[[#This Row],[UnitPrice]])</f>
        <v>572.71</v>
      </c>
      <c r="S136">
        <f t="shared" si="20"/>
        <v>5</v>
      </c>
      <c r="T136" s="12">
        <f t="shared" si="21"/>
        <v>12031.491680000001</v>
      </c>
      <c r="U136">
        <f>Table2[[#This Row],[UnitCost]]*Table2[[#This Row],[Quantity]]</f>
        <v>18188.82</v>
      </c>
      <c r="V136" s="13">
        <f t="shared" si="22"/>
        <v>-6157.3283199999987</v>
      </c>
      <c r="W136" s="5">
        <f t="shared" si="23"/>
        <v>-0.51176765805651114</v>
      </c>
      <c r="X136" s="17" t="str">
        <f t="shared" si="24"/>
        <v>Dec-2024</v>
      </c>
      <c r="Z136" t="str">
        <f t="shared" si="25"/>
        <v>Americas. USA. San Francisco</v>
      </c>
      <c r="AA136" t="str">
        <f t="shared" si="26"/>
        <v>Low</v>
      </c>
      <c r="AB136" t="str">
        <f t="array" ref="AB136">TEXT(MIN(IF($E$2:$E$633=E136, $B$2:$B$633)), "YYYY-MM")</f>
        <v>2023-01</v>
      </c>
      <c r="AC136" s="13">
        <f>SUM($T$2:T136)</f>
        <v>2234814.7793599996</v>
      </c>
    </row>
    <row r="137" spans="1:29" x14ac:dyDescent="0.45">
      <c r="A137" t="s">
        <v>150</v>
      </c>
      <c r="B137" s="2">
        <v>45028</v>
      </c>
      <c r="C137" s="2">
        <v>45033</v>
      </c>
      <c r="D137" t="s">
        <v>649</v>
      </c>
      <c r="E137" t="s">
        <v>657</v>
      </c>
      <c r="F137" t="s">
        <v>679</v>
      </c>
      <c r="G137" t="s">
        <v>706</v>
      </c>
      <c r="H137" s="9" t="s">
        <v>711</v>
      </c>
      <c r="I137" s="9" t="s">
        <v>718</v>
      </c>
      <c r="J137" s="9" t="s">
        <v>732</v>
      </c>
      <c r="K137" t="s">
        <v>869</v>
      </c>
      <c r="L137" s="7">
        <v>1087.81</v>
      </c>
      <c r="M137" s="7">
        <v>2323.87</v>
      </c>
      <c r="N137" s="5">
        <v>9.4E-2</v>
      </c>
      <c r="O137">
        <v>13</v>
      </c>
      <c r="P137" s="2">
        <f t="shared" si="18"/>
        <v>45033</v>
      </c>
      <c r="Q137" t="str">
        <f t="shared" si="19"/>
        <v>Ok</v>
      </c>
      <c r="R137">
        <f>ABS(Table2[[#This Row],[UnitPrice]])</f>
        <v>2323.87</v>
      </c>
      <c r="S137">
        <f t="shared" si="20"/>
        <v>5</v>
      </c>
      <c r="T137" s="12">
        <f t="shared" si="21"/>
        <v>27370.540859999997</v>
      </c>
      <c r="U137">
        <f>Table2[[#This Row],[UnitCost]]*Table2[[#This Row],[Quantity]]</f>
        <v>14141.529999999999</v>
      </c>
      <c r="V137" s="13">
        <f t="shared" si="22"/>
        <v>13229.010859999999</v>
      </c>
      <c r="W137" s="5">
        <f t="shared" si="23"/>
        <v>0.48333026839572651</v>
      </c>
      <c r="X137" s="17" t="str">
        <f t="shared" si="24"/>
        <v>Apr-2023</v>
      </c>
      <c r="Z137" t="str">
        <f t="shared" si="25"/>
        <v>Europe. France. Lyon</v>
      </c>
      <c r="AA137" t="str">
        <f t="shared" si="26"/>
        <v>High</v>
      </c>
      <c r="AB137" t="str">
        <f t="array" ref="AB137">TEXT(MIN(IF($E$2:$E$633=E137, $B$2:$B$633)), "YYYY-MM")</f>
        <v>2023-01</v>
      </c>
      <c r="AC137" s="13">
        <f>SUM($T$2:T137)</f>
        <v>2262185.3202199996</v>
      </c>
    </row>
    <row r="138" spans="1:29" x14ac:dyDescent="0.45">
      <c r="A138" t="s">
        <v>151</v>
      </c>
      <c r="B138" s="2">
        <v>45640</v>
      </c>
      <c r="C138" s="2">
        <v>45669</v>
      </c>
      <c r="D138" t="s">
        <v>647</v>
      </c>
      <c r="E138" t="s">
        <v>659</v>
      </c>
      <c r="F138" t="s">
        <v>676</v>
      </c>
      <c r="G138" t="s">
        <v>702</v>
      </c>
      <c r="H138" s="9" t="s">
        <v>708</v>
      </c>
      <c r="I138" s="9" t="s">
        <v>713</v>
      </c>
      <c r="J138" s="9" t="s">
        <v>727</v>
      </c>
      <c r="K138" t="s">
        <v>870</v>
      </c>
      <c r="L138" s="7">
        <v>1412.15</v>
      </c>
      <c r="M138" s="7">
        <v>1631.04</v>
      </c>
      <c r="N138" s="5">
        <v>8.9999999999999993E-3</v>
      </c>
      <c r="O138">
        <v>6</v>
      </c>
      <c r="P138" s="2">
        <f t="shared" si="18"/>
        <v>45669</v>
      </c>
      <c r="Q138" t="str">
        <f t="shared" si="19"/>
        <v>Ok</v>
      </c>
      <c r="R138">
        <f>ABS(Table2[[#This Row],[UnitPrice]])</f>
        <v>1631.04</v>
      </c>
      <c r="S138">
        <f t="shared" si="20"/>
        <v>29</v>
      </c>
      <c r="T138" s="12">
        <f t="shared" si="21"/>
        <v>9698.1638399999993</v>
      </c>
      <c r="U138">
        <f>Table2[[#This Row],[UnitCost]]*Table2[[#This Row],[Quantity]]</f>
        <v>8472.9000000000015</v>
      </c>
      <c r="V138" s="13">
        <f t="shared" si="22"/>
        <v>1225.2638399999978</v>
      </c>
      <c r="W138" s="5">
        <f t="shared" si="23"/>
        <v>0.12633977526203535</v>
      </c>
      <c r="X138" s="17" t="str">
        <f t="shared" si="24"/>
        <v>Dec-2024</v>
      </c>
      <c r="Z138" t="str">
        <f t="shared" si="25"/>
        <v>Asia. China. Shenzhen</v>
      </c>
      <c r="AA138" t="str">
        <f t="shared" si="26"/>
        <v>High</v>
      </c>
      <c r="AB138" t="str">
        <f t="array" ref="AB138">TEXT(MIN(IF($E$2:$E$633=E138, $B$2:$B$633)), "YYYY-MM")</f>
        <v>2023-01</v>
      </c>
      <c r="AC138" s="13">
        <f>SUM($T$2:T138)</f>
        <v>2271883.4840599997</v>
      </c>
    </row>
    <row r="139" spans="1:29" x14ac:dyDescent="0.45">
      <c r="A139" t="s">
        <v>152</v>
      </c>
      <c r="B139" s="2">
        <v>45016</v>
      </c>
      <c r="C139" s="2">
        <v>45028</v>
      </c>
      <c r="D139" t="s">
        <v>646</v>
      </c>
      <c r="E139" t="s">
        <v>650</v>
      </c>
      <c r="F139" t="s">
        <v>675</v>
      </c>
      <c r="G139" t="s">
        <v>705</v>
      </c>
      <c r="H139" s="9" t="s">
        <v>708</v>
      </c>
      <c r="I139" s="9" t="s">
        <v>712</v>
      </c>
      <c r="J139" s="9" t="s">
        <v>730</v>
      </c>
      <c r="K139" t="s">
        <v>871</v>
      </c>
      <c r="L139" s="7">
        <v>304.22000000000003</v>
      </c>
      <c r="M139" s="7">
        <v>393.31</v>
      </c>
      <c r="N139" s="5">
        <v>0.26500000000000001</v>
      </c>
      <c r="O139">
        <v>15</v>
      </c>
      <c r="P139" s="2">
        <f t="shared" si="18"/>
        <v>45028</v>
      </c>
      <c r="Q139" t="str">
        <f t="shared" si="19"/>
        <v>Ok</v>
      </c>
      <c r="R139">
        <f>ABS(Table2[[#This Row],[UnitPrice]])</f>
        <v>393.31</v>
      </c>
      <c r="S139">
        <f t="shared" si="20"/>
        <v>12</v>
      </c>
      <c r="T139" s="12">
        <f t="shared" si="21"/>
        <v>4336.2427499999994</v>
      </c>
      <c r="U139">
        <f>Table2[[#This Row],[UnitCost]]*Table2[[#This Row],[Quantity]]</f>
        <v>4563.3</v>
      </c>
      <c r="V139" s="13">
        <f t="shared" si="22"/>
        <v>-227.05725000000075</v>
      </c>
      <c r="W139" s="5">
        <f t="shared" si="23"/>
        <v>-5.2362670424759034E-2</v>
      </c>
      <c r="X139" s="17" t="str">
        <f t="shared" si="24"/>
        <v>Mar-2023</v>
      </c>
      <c r="Z139" t="str">
        <f t="shared" si="25"/>
        <v>Africa. Kenya. Mombasa</v>
      </c>
      <c r="AA139" t="str">
        <f t="shared" si="26"/>
        <v>Low</v>
      </c>
      <c r="AB139" t="str">
        <f t="array" ref="AB139">TEXT(MIN(IF($E$2:$E$633=E139, $B$2:$B$633)), "YYYY-MM")</f>
        <v>2023-01</v>
      </c>
      <c r="AC139" s="13">
        <f>SUM($T$2:T139)</f>
        <v>2276219.7268099999</v>
      </c>
    </row>
    <row r="140" spans="1:29" x14ac:dyDescent="0.45">
      <c r="A140" t="s">
        <v>153</v>
      </c>
      <c r="B140" s="2">
        <v>45616</v>
      </c>
      <c r="C140" s="2">
        <v>45641</v>
      </c>
      <c r="D140" t="s">
        <v>649</v>
      </c>
      <c r="E140" t="s">
        <v>657</v>
      </c>
      <c r="F140" t="s">
        <v>690</v>
      </c>
      <c r="G140" t="s">
        <v>701</v>
      </c>
      <c r="H140" s="9" t="s">
        <v>708</v>
      </c>
      <c r="I140" s="9" t="s">
        <v>715</v>
      </c>
      <c r="J140" s="9" t="s">
        <v>728</v>
      </c>
      <c r="K140" t="s">
        <v>872</v>
      </c>
      <c r="L140" s="7">
        <v>1203.58</v>
      </c>
      <c r="M140" s="7">
        <v>1856.16</v>
      </c>
      <c r="N140" s="5">
        <v>0.129</v>
      </c>
      <c r="O140">
        <v>22</v>
      </c>
      <c r="P140" s="2">
        <f t="shared" si="18"/>
        <v>45641</v>
      </c>
      <c r="Q140" t="str">
        <f t="shared" si="19"/>
        <v>Ok</v>
      </c>
      <c r="R140">
        <f>ABS(Table2[[#This Row],[UnitPrice]])</f>
        <v>1856.16</v>
      </c>
      <c r="S140">
        <f t="shared" si="20"/>
        <v>25</v>
      </c>
      <c r="T140" s="12">
        <f t="shared" si="21"/>
        <v>35567.737920000007</v>
      </c>
      <c r="U140">
        <f>Table2[[#This Row],[UnitCost]]*Table2[[#This Row],[Quantity]]</f>
        <v>26478.76</v>
      </c>
      <c r="V140" s="13">
        <f t="shared" si="22"/>
        <v>9088.9779200000085</v>
      </c>
      <c r="W140" s="5">
        <f t="shared" si="23"/>
        <v>0.25553994860295032</v>
      </c>
      <c r="X140" s="17" t="str">
        <f t="shared" si="24"/>
        <v>Nov-2024</v>
      </c>
      <c r="Z140" t="str">
        <f t="shared" si="25"/>
        <v>Europe. France. Paris</v>
      </c>
      <c r="AA140" t="str">
        <f t="shared" si="26"/>
        <v>High</v>
      </c>
      <c r="AB140" t="str">
        <f t="array" ref="AB140">TEXT(MIN(IF($E$2:$E$633=E140, $B$2:$B$633)), "YYYY-MM")</f>
        <v>2023-01</v>
      </c>
      <c r="AC140" s="13">
        <f>SUM($T$2:T140)</f>
        <v>2311787.4647300001</v>
      </c>
    </row>
    <row r="141" spans="1:29" x14ac:dyDescent="0.45">
      <c r="A141" t="s">
        <v>154</v>
      </c>
      <c r="B141" s="2">
        <v>45336</v>
      </c>
      <c r="C141" s="2">
        <v>45336</v>
      </c>
      <c r="D141" t="s">
        <v>647</v>
      </c>
      <c r="E141" t="s">
        <v>659</v>
      </c>
      <c r="F141" t="s">
        <v>699</v>
      </c>
      <c r="G141" t="s">
        <v>701</v>
      </c>
      <c r="H141" s="9" t="s">
        <v>710</v>
      </c>
      <c r="I141" s="9" t="s">
        <v>716</v>
      </c>
      <c r="J141" s="9" t="s">
        <v>733</v>
      </c>
      <c r="K141" t="s">
        <v>873</v>
      </c>
      <c r="L141" s="7">
        <v>65.930000000000007</v>
      </c>
      <c r="M141" s="7">
        <v>84.9</v>
      </c>
      <c r="N141" s="5">
        <v>0.25900000000000001</v>
      </c>
      <c r="O141">
        <v>23</v>
      </c>
      <c r="P141" s="2">
        <f t="shared" si="18"/>
        <v>45336</v>
      </c>
      <c r="Q141" t="str">
        <f t="shared" si="19"/>
        <v>Ok</v>
      </c>
      <c r="R141">
        <f>ABS(Table2[[#This Row],[UnitPrice]])</f>
        <v>84.9</v>
      </c>
      <c r="S141">
        <f t="shared" si="20"/>
        <v>0</v>
      </c>
      <c r="T141" s="12">
        <f t="shared" si="21"/>
        <v>1446.9507000000001</v>
      </c>
      <c r="U141">
        <f>Table2[[#This Row],[UnitCost]]*Table2[[#This Row],[Quantity]]</f>
        <v>1516.39</v>
      </c>
      <c r="V141" s="13">
        <f t="shared" si="22"/>
        <v>-69.439300000000003</v>
      </c>
      <c r="W141" s="5">
        <f t="shared" si="23"/>
        <v>-4.7990093926489688E-2</v>
      </c>
      <c r="X141" s="17" t="str">
        <f t="shared" si="24"/>
        <v>Feb-2024</v>
      </c>
      <c r="Z141" t="str">
        <f t="shared" si="25"/>
        <v>Asia. China. Beijing</v>
      </c>
      <c r="AA141" t="str">
        <f t="shared" si="26"/>
        <v>Low</v>
      </c>
      <c r="AB141" t="str">
        <f t="array" ref="AB141">TEXT(MIN(IF($E$2:$E$633=E141, $B$2:$B$633)), "YYYY-MM")</f>
        <v>2023-01</v>
      </c>
      <c r="AC141" s="13">
        <f>SUM($T$2:T141)</f>
        <v>2313234.4154300001</v>
      </c>
    </row>
    <row r="142" spans="1:29" x14ac:dyDescent="0.45">
      <c r="A142" t="s">
        <v>155</v>
      </c>
      <c r="B142" s="2">
        <v>45048</v>
      </c>
      <c r="C142" s="2">
        <v>45064</v>
      </c>
      <c r="D142" t="s">
        <v>647</v>
      </c>
      <c r="E142" t="s">
        <v>654</v>
      </c>
      <c r="F142" t="s">
        <v>680</v>
      </c>
      <c r="G142" t="s">
        <v>705</v>
      </c>
      <c r="H142" s="9" t="s">
        <v>709</v>
      </c>
      <c r="I142" s="9" t="s">
        <v>723</v>
      </c>
      <c r="J142" s="9" t="s">
        <v>732</v>
      </c>
      <c r="K142" t="s">
        <v>874</v>
      </c>
      <c r="L142" s="7">
        <v>1463.92</v>
      </c>
      <c r="M142" s="7">
        <v>2252.2399999999998</v>
      </c>
      <c r="N142" s="5">
        <v>0.11799999999999999</v>
      </c>
      <c r="O142">
        <v>44</v>
      </c>
      <c r="P142" s="2">
        <f t="shared" si="18"/>
        <v>45064</v>
      </c>
      <c r="Q142" t="str">
        <f t="shared" si="19"/>
        <v>Ok</v>
      </c>
      <c r="R142">
        <f>ABS(Table2[[#This Row],[UnitPrice]])</f>
        <v>2252.2399999999998</v>
      </c>
      <c r="S142">
        <f t="shared" si="20"/>
        <v>16</v>
      </c>
      <c r="T142" s="12">
        <f t="shared" si="21"/>
        <v>87404.929919999995</v>
      </c>
      <c r="U142">
        <f>Table2[[#This Row],[UnitCost]]*Table2[[#This Row],[Quantity]]</f>
        <v>64412.480000000003</v>
      </c>
      <c r="V142" s="13">
        <f t="shared" si="22"/>
        <v>22992.449919999992</v>
      </c>
      <c r="W142" s="5">
        <f t="shared" si="23"/>
        <v>0.26305667130040061</v>
      </c>
      <c r="X142" s="17" t="str">
        <f t="shared" si="24"/>
        <v>May-2023</v>
      </c>
      <c r="Z142" t="str">
        <f t="shared" si="25"/>
        <v>Asia. India. Delhi</v>
      </c>
      <c r="AA142" t="str">
        <f t="shared" si="26"/>
        <v>High</v>
      </c>
      <c r="AB142" t="str">
        <f t="array" ref="AB142">TEXT(MIN(IF($E$2:$E$633=E142, $B$2:$B$633)), "YYYY-MM")</f>
        <v>2023-01</v>
      </c>
      <c r="AC142" s="13">
        <f>SUM($T$2:T142)</f>
        <v>2400639.3453500001</v>
      </c>
    </row>
    <row r="143" spans="1:29" x14ac:dyDescent="0.45">
      <c r="A143" t="s">
        <v>156</v>
      </c>
      <c r="B143" s="2">
        <v>45649</v>
      </c>
      <c r="C143" s="2">
        <v>45668</v>
      </c>
      <c r="D143" t="s">
        <v>649</v>
      </c>
      <c r="E143" t="s">
        <v>656</v>
      </c>
      <c r="F143" t="s">
        <v>671</v>
      </c>
      <c r="G143" t="s">
        <v>702</v>
      </c>
      <c r="H143" s="9" t="s">
        <v>707</v>
      </c>
      <c r="I143" s="9" t="s">
        <v>723</v>
      </c>
      <c r="J143" s="9" t="s">
        <v>730</v>
      </c>
      <c r="K143" t="s">
        <v>875</v>
      </c>
      <c r="L143" s="7">
        <v>501.81</v>
      </c>
      <c r="M143" s="7">
        <v>921.62</v>
      </c>
      <c r="N143" s="5">
        <v>0.01</v>
      </c>
      <c r="O143">
        <v>9</v>
      </c>
      <c r="P143" s="2">
        <f t="shared" si="18"/>
        <v>45668</v>
      </c>
      <c r="Q143" t="str">
        <f t="shared" si="19"/>
        <v>Ok</v>
      </c>
      <c r="R143">
        <f>ABS(Table2[[#This Row],[UnitPrice]])</f>
        <v>921.62</v>
      </c>
      <c r="S143">
        <f t="shared" si="20"/>
        <v>19</v>
      </c>
      <c r="T143" s="12">
        <f t="shared" si="21"/>
        <v>8211.6342000000004</v>
      </c>
      <c r="U143">
        <f>Table2[[#This Row],[UnitCost]]*Table2[[#This Row],[Quantity]]</f>
        <v>4516.29</v>
      </c>
      <c r="V143" s="13">
        <f t="shared" si="22"/>
        <v>3695.3442000000005</v>
      </c>
      <c r="W143" s="5">
        <f t="shared" si="23"/>
        <v>0.45001325071202031</v>
      </c>
      <c r="X143" s="17" t="str">
        <f t="shared" si="24"/>
        <v>Dec-2024</v>
      </c>
      <c r="Z143" t="str">
        <f t="shared" si="25"/>
        <v>Europe. Germany. Berlin</v>
      </c>
      <c r="AA143" t="str">
        <f t="shared" si="26"/>
        <v>Low</v>
      </c>
      <c r="AB143" t="str">
        <f t="array" ref="AB143">TEXT(MIN(IF($E$2:$E$633=E143, $B$2:$B$633)), "YYYY-MM")</f>
        <v>2023-01</v>
      </c>
      <c r="AC143" s="13">
        <f>SUM($T$2:T143)</f>
        <v>2408850.9795500003</v>
      </c>
    </row>
    <row r="144" spans="1:29" x14ac:dyDescent="0.45">
      <c r="A144" t="s">
        <v>157</v>
      </c>
      <c r="B144" s="2">
        <v>45133</v>
      </c>
      <c r="C144" s="2">
        <v>45163</v>
      </c>
      <c r="D144" t="s">
        <v>648</v>
      </c>
      <c r="E144" t="s">
        <v>660</v>
      </c>
      <c r="F144" t="s">
        <v>700</v>
      </c>
      <c r="G144" t="s">
        <v>704</v>
      </c>
      <c r="H144" s="9" t="s">
        <v>707</v>
      </c>
      <c r="I144" s="9" t="s">
        <v>724</v>
      </c>
      <c r="J144" s="9" t="s">
        <v>733</v>
      </c>
      <c r="K144" t="s">
        <v>876</v>
      </c>
      <c r="L144" s="7">
        <v>1261.48</v>
      </c>
      <c r="M144" s="7">
        <v>1643.18</v>
      </c>
      <c r="N144" s="5">
        <v>0.151</v>
      </c>
      <c r="O144">
        <v>23</v>
      </c>
      <c r="P144" s="2">
        <f t="shared" si="18"/>
        <v>45163</v>
      </c>
      <c r="Q144" t="str">
        <f t="shared" si="19"/>
        <v>Ok</v>
      </c>
      <c r="R144">
        <f>ABS(Table2[[#This Row],[UnitPrice]])</f>
        <v>1643.18</v>
      </c>
      <c r="S144">
        <f t="shared" si="20"/>
        <v>30</v>
      </c>
      <c r="T144" s="12">
        <f t="shared" si="21"/>
        <v>32086.37586</v>
      </c>
      <c r="U144">
        <f>Table2[[#This Row],[UnitCost]]*Table2[[#This Row],[Quantity]]</f>
        <v>29014.04</v>
      </c>
      <c r="V144" s="13">
        <f t="shared" si="22"/>
        <v>3072.3358599999992</v>
      </c>
      <c r="W144" s="5">
        <f t="shared" si="23"/>
        <v>9.5752037357079045E-2</v>
      </c>
      <c r="X144" s="17" t="str">
        <f t="shared" si="24"/>
        <v>Jul-2023</v>
      </c>
      <c r="Z144" t="str">
        <f t="shared" si="25"/>
        <v>Americas. USA. New York</v>
      </c>
      <c r="AA144" t="str">
        <f t="shared" si="26"/>
        <v>High</v>
      </c>
      <c r="AB144" t="str">
        <f t="array" ref="AB144">TEXT(MIN(IF($E$2:$E$633=E144, $B$2:$B$633)), "YYYY-MM")</f>
        <v>2023-01</v>
      </c>
      <c r="AC144" s="13">
        <f>SUM($T$2:T144)</f>
        <v>2440937.3554100003</v>
      </c>
    </row>
    <row r="145" spans="1:29" x14ac:dyDescent="0.45">
      <c r="A145" t="s">
        <v>158</v>
      </c>
      <c r="B145" s="2">
        <v>45458</v>
      </c>
      <c r="C145" s="2">
        <v>45479</v>
      </c>
      <c r="D145" t="s">
        <v>648</v>
      </c>
      <c r="E145" t="s">
        <v>653</v>
      </c>
      <c r="F145" t="s">
        <v>667</v>
      </c>
      <c r="G145" t="s">
        <v>706</v>
      </c>
      <c r="H145" s="9" t="s">
        <v>710</v>
      </c>
      <c r="I145" s="9" t="s">
        <v>716</v>
      </c>
      <c r="J145" s="9" t="s">
        <v>728</v>
      </c>
      <c r="K145" t="s">
        <v>877</v>
      </c>
      <c r="L145" s="7">
        <v>817.23</v>
      </c>
      <c r="M145" s="7">
        <v>1467.17</v>
      </c>
      <c r="N145" s="5">
        <v>0.245</v>
      </c>
      <c r="O145">
        <v>9</v>
      </c>
      <c r="P145" s="2">
        <f t="shared" si="18"/>
        <v>45479</v>
      </c>
      <c r="Q145" t="str">
        <f t="shared" si="19"/>
        <v>Ok</v>
      </c>
      <c r="R145">
        <f>ABS(Table2[[#This Row],[UnitPrice]])</f>
        <v>1467.17</v>
      </c>
      <c r="S145">
        <f t="shared" si="20"/>
        <v>21</v>
      </c>
      <c r="T145" s="12">
        <f t="shared" si="21"/>
        <v>9969.4201499999999</v>
      </c>
      <c r="U145">
        <f>Table2[[#This Row],[UnitCost]]*Table2[[#This Row],[Quantity]]</f>
        <v>7355.07</v>
      </c>
      <c r="V145" s="13">
        <f t="shared" si="22"/>
        <v>2614.3501500000002</v>
      </c>
      <c r="W145" s="5">
        <f t="shared" si="23"/>
        <v>0.26223693160328893</v>
      </c>
      <c r="X145" s="17" t="str">
        <f t="shared" si="24"/>
        <v>Jun-2024</v>
      </c>
      <c r="Z145" t="str">
        <f t="shared" si="25"/>
        <v>Americas. Canada. Toronto</v>
      </c>
      <c r="AA145" t="str">
        <f t="shared" si="26"/>
        <v>High</v>
      </c>
      <c r="AB145" t="str">
        <f t="array" ref="AB145">TEXT(MIN(IF($E$2:$E$633=E145, $B$2:$B$633)), "YYYY-MM")</f>
        <v>2023-01</v>
      </c>
      <c r="AC145" s="13">
        <f>SUM($T$2:T145)</f>
        <v>2450906.7755600004</v>
      </c>
    </row>
    <row r="146" spans="1:29" x14ac:dyDescent="0.45">
      <c r="A146" t="s">
        <v>159</v>
      </c>
      <c r="B146" s="2">
        <v>45112</v>
      </c>
      <c r="C146" s="2">
        <v>45121</v>
      </c>
      <c r="D146" t="s">
        <v>648</v>
      </c>
      <c r="E146" t="s">
        <v>655</v>
      </c>
      <c r="F146" t="s">
        <v>672</v>
      </c>
      <c r="G146" t="s">
        <v>706</v>
      </c>
      <c r="H146" s="9" t="s">
        <v>711</v>
      </c>
      <c r="I146" s="9" t="s">
        <v>717</v>
      </c>
      <c r="J146" s="9" t="s">
        <v>729</v>
      </c>
      <c r="K146" t="s">
        <v>878</v>
      </c>
      <c r="L146" s="7">
        <v>578.85</v>
      </c>
      <c r="M146" s="7">
        <v>998.76</v>
      </c>
      <c r="N146" s="5">
        <v>8.2000000000000003E-2</v>
      </c>
      <c r="O146">
        <v>28</v>
      </c>
      <c r="P146" s="2">
        <f t="shared" si="18"/>
        <v>45121</v>
      </c>
      <c r="Q146" t="str">
        <f t="shared" si="19"/>
        <v>Ok</v>
      </c>
      <c r="R146">
        <f>ABS(Table2[[#This Row],[UnitPrice]])</f>
        <v>998.76</v>
      </c>
      <c r="S146">
        <f t="shared" si="20"/>
        <v>9</v>
      </c>
      <c r="T146" s="12">
        <f t="shared" si="21"/>
        <v>25672.127039999999</v>
      </c>
      <c r="U146">
        <f>Table2[[#This Row],[UnitCost]]*Table2[[#This Row],[Quantity]]</f>
        <v>16207.800000000001</v>
      </c>
      <c r="V146" s="13">
        <f t="shared" si="22"/>
        <v>9464.3270399999983</v>
      </c>
      <c r="W146" s="5">
        <f t="shared" si="23"/>
        <v>0.36866158480960831</v>
      </c>
      <c r="X146" s="17" t="str">
        <f t="shared" si="24"/>
        <v>Jul-2023</v>
      </c>
      <c r="Z146" t="str">
        <f t="shared" si="25"/>
        <v>Americas. Brazil. Brasília</v>
      </c>
      <c r="AA146" t="str">
        <f t="shared" si="26"/>
        <v>Low</v>
      </c>
      <c r="AB146" t="str">
        <f t="array" ref="AB146">TEXT(MIN(IF($E$2:$E$633=E146, $B$2:$B$633)), "YYYY-MM")</f>
        <v>2023-01</v>
      </c>
      <c r="AC146" s="13">
        <f>SUM($T$2:T146)</f>
        <v>2476578.9026000006</v>
      </c>
    </row>
    <row r="147" spans="1:29" x14ac:dyDescent="0.45">
      <c r="A147" t="s">
        <v>160</v>
      </c>
      <c r="B147" s="2">
        <v>45260</v>
      </c>
      <c r="C147" s="2">
        <v>45259</v>
      </c>
      <c r="D147" t="s">
        <v>646</v>
      </c>
      <c r="E147" t="s">
        <v>661</v>
      </c>
      <c r="F147" t="s">
        <v>687</v>
      </c>
      <c r="G147" t="s">
        <v>705</v>
      </c>
      <c r="H147" s="9" t="s">
        <v>709</v>
      </c>
      <c r="I147" s="9" t="s">
        <v>718</v>
      </c>
      <c r="J147" s="9" t="s">
        <v>731</v>
      </c>
      <c r="K147" t="s">
        <v>879</v>
      </c>
      <c r="L147" s="7">
        <v>275.56</v>
      </c>
      <c r="M147" s="7">
        <v>630.72</v>
      </c>
      <c r="N147" s="5">
        <v>0.107</v>
      </c>
      <c r="O147">
        <v>23</v>
      </c>
      <c r="P147" s="2">
        <f t="shared" si="18"/>
        <v>45267</v>
      </c>
      <c r="Q147" t="str">
        <f t="shared" si="19"/>
        <v>Ok</v>
      </c>
      <c r="R147">
        <f>ABS(Table2[[#This Row],[UnitPrice]])</f>
        <v>630.72</v>
      </c>
      <c r="S147">
        <f t="shared" si="20"/>
        <v>7</v>
      </c>
      <c r="T147" s="12">
        <f t="shared" si="21"/>
        <v>12954.358080000002</v>
      </c>
      <c r="U147">
        <f>Table2[[#This Row],[UnitCost]]*Table2[[#This Row],[Quantity]]</f>
        <v>6337.88</v>
      </c>
      <c r="V147" s="13">
        <f t="shared" si="22"/>
        <v>6616.4780800000017</v>
      </c>
      <c r="W147" s="5">
        <f t="shared" si="23"/>
        <v>0.5107530638831933</v>
      </c>
      <c r="X147" s="17" t="str">
        <f t="shared" si="24"/>
        <v>Nov-2023</v>
      </c>
      <c r="Z147" t="str">
        <f t="shared" si="25"/>
        <v>Africa. South Africa. Durban</v>
      </c>
      <c r="AA147" t="str">
        <f t="shared" si="26"/>
        <v>Low</v>
      </c>
      <c r="AB147" t="str">
        <f t="array" ref="AB147">TEXT(MIN(IF($E$2:$E$633=E147, $B$2:$B$633)), "YYYY-MM")</f>
        <v>2023-01</v>
      </c>
      <c r="AC147" s="13">
        <f>SUM($T$2:T147)</f>
        <v>2489533.2606800008</v>
      </c>
    </row>
    <row r="148" spans="1:29" x14ac:dyDescent="0.45">
      <c r="A148" t="s">
        <v>161</v>
      </c>
      <c r="B148" s="2">
        <v>45911</v>
      </c>
      <c r="C148" s="2">
        <v>45928</v>
      </c>
      <c r="D148" t="s">
        <v>646</v>
      </c>
      <c r="E148" t="s">
        <v>650</v>
      </c>
      <c r="F148" t="s">
        <v>664</v>
      </c>
      <c r="G148" t="s">
        <v>703</v>
      </c>
      <c r="H148" s="9" t="s">
        <v>710</v>
      </c>
      <c r="I148" s="9" t="s">
        <v>713</v>
      </c>
      <c r="J148" s="9" t="s">
        <v>731</v>
      </c>
      <c r="K148" t="s">
        <v>880</v>
      </c>
      <c r="L148" s="7">
        <v>891.46</v>
      </c>
      <c r="M148" s="7">
        <v>728.61</v>
      </c>
      <c r="N148" s="5">
        <v>0.185</v>
      </c>
      <c r="O148">
        <v>6</v>
      </c>
      <c r="P148" s="2">
        <f t="shared" si="18"/>
        <v>45928</v>
      </c>
      <c r="Q148" t="str">
        <f t="shared" si="19"/>
        <v>Ok</v>
      </c>
      <c r="R148">
        <f>ABS(Table2[[#This Row],[UnitPrice]])</f>
        <v>728.61</v>
      </c>
      <c r="S148">
        <f t="shared" si="20"/>
        <v>17</v>
      </c>
      <c r="T148" s="12">
        <f t="shared" si="21"/>
        <v>3562.9028999999996</v>
      </c>
      <c r="U148">
        <f>Table2[[#This Row],[UnitCost]]*Table2[[#This Row],[Quantity]]</f>
        <v>5348.76</v>
      </c>
      <c r="V148" s="13">
        <f t="shared" si="22"/>
        <v>-1785.8571000000006</v>
      </c>
      <c r="W148" s="5">
        <f t="shared" si="23"/>
        <v>-0.50123653383874167</v>
      </c>
      <c r="X148" s="17" t="str">
        <f t="shared" si="24"/>
        <v>Sep-2025</v>
      </c>
      <c r="Z148" t="str">
        <f t="shared" si="25"/>
        <v>Africa. Kenya. Nairobi</v>
      </c>
      <c r="AA148" t="str">
        <f t="shared" si="26"/>
        <v>Low</v>
      </c>
      <c r="AB148" t="str">
        <f t="array" ref="AB148">TEXT(MIN(IF($E$2:$E$633=E148, $B$2:$B$633)), "YYYY-MM")</f>
        <v>2023-01</v>
      </c>
      <c r="AC148" s="13">
        <f>SUM($T$2:T148)</f>
        <v>2493096.1635800009</v>
      </c>
    </row>
    <row r="149" spans="1:29" x14ac:dyDescent="0.45">
      <c r="A149" t="s">
        <v>162</v>
      </c>
      <c r="B149" s="2">
        <v>45386</v>
      </c>
      <c r="C149" s="2">
        <v>45406</v>
      </c>
      <c r="D149" t="s">
        <v>649</v>
      </c>
      <c r="E149" t="s">
        <v>656</v>
      </c>
      <c r="F149" t="s">
        <v>698</v>
      </c>
      <c r="G149" t="s">
        <v>703</v>
      </c>
      <c r="H149" s="9" t="s">
        <v>711</v>
      </c>
      <c r="I149" s="9" t="s">
        <v>719</v>
      </c>
      <c r="J149" s="9" t="s">
        <v>733</v>
      </c>
      <c r="K149" t="s">
        <v>881</v>
      </c>
      <c r="L149" s="7">
        <v>683.42</v>
      </c>
      <c r="M149" s="7">
        <v>951.51</v>
      </c>
      <c r="N149" s="5">
        <v>0</v>
      </c>
      <c r="O149">
        <v>14</v>
      </c>
      <c r="P149" s="2">
        <f t="shared" si="18"/>
        <v>45406</v>
      </c>
      <c r="Q149" t="str">
        <f t="shared" si="19"/>
        <v>Ok</v>
      </c>
      <c r="R149">
        <f>ABS(Table2[[#This Row],[UnitPrice]])</f>
        <v>951.51</v>
      </c>
      <c r="S149">
        <f t="shared" si="20"/>
        <v>20</v>
      </c>
      <c r="T149" s="12">
        <f t="shared" si="21"/>
        <v>13321.14</v>
      </c>
      <c r="U149">
        <f>Table2[[#This Row],[UnitCost]]*Table2[[#This Row],[Quantity]]</f>
        <v>9567.8799999999992</v>
      </c>
      <c r="V149" s="13">
        <f t="shared" si="22"/>
        <v>3753.26</v>
      </c>
      <c r="W149" s="5">
        <f t="shared" si="23"/>
        <v>0.28175216235247136</v>
      </c>
      <c r="X149" s="17" t="str">
        <f t="shared" si="24"/>
        <v>Apr-2024</v>
      </c>
      <c r="Z149" t="str">
        <f t="shared" si="25"/>
        <v>Europe. Germany. Frankfurt</v>
      </c>
      <c r="AA149" t="str">
        <f t="shared" si="26"/>
        <v>Low</v>
      </c>
      <c r="AB149" t="str">
        <f t="array" ref="AB149">TEXT(MIN(IF($E$2:$E$633=E149, $B$2:$B$633)), "YYYY-MM")</f>
        <v>2023-01</v>
      </c>
      <c r="AC149" s="13">
        <f>SUM($T$2:T149)</f>
        <v>2506417.303580001</v>
      </c>
    </row>
    <row r="150" spans="1:29" x14ac:dyDescent="0.45">
      <c r="A150" t="s">
        <v>163</v>
      </c>
      <c r="B150" s="2">
        <v>45183</v>
      </c>
      <c r="C150" s="2">
        <v>45185</v>
      </c>
      <c r="D150" t="s">
        <v>649</v>
      </c>
      <c r="E150" t="s">
        <v>657</v>
      </c>
      <c r="F150" t="s">
        <v>679</v>
      </c>
      <c r="G150" t="s">
        <v>703</v>
      </c>
      <c r="H150" s="9" t="s">
        <v>711</v>
      </c>
      <c r="I150" s="9" t="s">
        <v>717</v>
      </c>
      <c r="J150" s="9" t="s">
        <v>728</v>
      </c>
      <c r="K150" t="s">
        <v>882</v>
      </c>
      <c r="L150" s="7">
        <v>376.83</v>
      </c>
      <c r="M150" s="7">
        <v>732.88</v>
      </c>
      <c r="N150" s="5">
        <v>0.188</v>
      </c>
      <c r="O150">
        <v>25</v>
      </c>
      <c r="P150" s="2">
        <f t="shared" si="18"/>
        <v>45185</v>
      </c>
      <c r="Q150" t="str">
        <f t="shared" si="19"/>
        <v>Ok</v>
      </c>
      <c r="R150">
        <f>ABS(Table2[[#This Row],[UnitPrice]])</f>
        <v>732.88</v>
      </c>
      <c r="S150">
        <f t="shared" si="20"/>
        <v>2</v>
      </c>
      <c r="T150" s="12">
        <f t="shared" si="21"/>
        <v>14877.464000000002</v>
      </c>
      <c r="U150">
        <f>Table2[[#This Row],[UnitCost]]*Table2[[#This Row],[Quantity]]</f>
        <v>9420.75</v>
      </c>
      <c r="V150" s="13">
        <f t="shared" si="22"/>
        <v>5456.7140000000018</v>
      </c>
      <c r="W150" s="5">
        <f t="shared" si="23"/>
        <v>0.36677716040852132</v>
      </c>
      <c r="X150" s="17" t="str">
        <f t="shared" si="24"/>
        <v>Sep-2023</v>
      </c>
      <c r="Z150" t="str">
        <f t="shared" si="25"/>
        <v>Europe. France. Lyon</v>
      </c>
      <c r="AA150" t="str">
        <f t="shared" si="26"/>
        <v>Low</v>
      </c>
      <c r="AB150" t="str">
        <f t="array" ref="AB150">TEXT(MIN(IF($E$2:$E$633=E150, $B$2:$B$633)), "YYYY-MM")</f>
        <v>2023-01</v>
      </c>
      <c r="AC150" s="13">
        <f>SUM($T$2:T150)</f>
        <v>2521294.7675800011</v>
      </c>
    </row>
    <row r="151" spans="1:29" x14ac:dyDescent="0.45">
      <c r="A151" t="s">
        <v>164</v>
      </c>
      <c r="B151" s="2">
        <v>45558</v>
      </c>
      <c r="C151" s="2">
        <v>45583</v>
      </c>
      <c r="D151" t="s">
        <v>648</v>
      </c>
      <c r="E151" t="s">
        <v>653</v>
      </c>
      <c r="F151" t="s">
        <v>688</v>
      </c>
      <c r="G151" t="s">
        <v>705</v>
      </c>
      <c r="H151" s="9" t="s">
        <v>708</v>
      </c>
      <c r="I151" s="9" t="s">
        <v>725</v>
      </c>
      <c r="J151" s="9" t="s">
        <v>730</v>
      </c>
      <c r="K151" t="s">
        <v>883</v>
      </c>
      <c r="L151" s="7">
        <v>1297</v>
      </c>
      <c r="M151" s="7">
        <v>2411.52</v>
      </c>
      <c r="N151" s="5">
        <v>2.1000000000000001E-2</v>
      </c>
      <c r="O151">
        <v>18</v>
      </c>
      <c r="P151" s="2">
        <f t="shared" si="18"/>
        <v>45583</v>
      </c>
      <c r="Q151" t="str">
        <f t="shared" si="19"/>
        <v>Ok</v>
      </c>
      <c r="R151">
        <f>ABS(Table2[[#This Row],[UnitPrice]])</f>
        <v>2411.52</v>
      </c>
      <c r="S151">
        <f t="shared" si="20"/>
        <v>25</v>
      </c>
      <c r="T151" s="12">
        <f t="shared" si="21"/>
        <v>42495.805439999996</v>
      </c>
      <c r="U151">
        <f>Table2[[#This Row],[UnitCost]]*Table2[[#This Row],[Quantity]]</f>
        <v>23346</v>
      </c>
      <c r="V151" s="13">
        <f t="shared" si="22"/>
        <v>19149.805439999996</v>
      </c>
      <c r="W151" s="5">
        <f t="shared" si="23"/>
        <v>0.45062813239385913</v>
      </c>
      <c r="X151" s="17" t="str">
        <f t="shared" si="24"/>
        <v>Sep-2024</v>
      </c>
      <c r="Z151" t="str">
        <f t="shared" si="25"/>
        <v>Americas. Canada. Vancouver</v>
      </c>
      <c r="AA151" t="str">
        <f t="shared" si="26"/>
        <v>High</v>
      </c>
      <c r="AB151" t="str">
        <f t="array" ref="AB151">TEXT(MIN(IF($E$2:$E$633=E151, $B$2:$B$633)), "YYYY-MM")</f>
        <v>2023-01</v>
      </c>
      <c r="AC151" s="13">
        <f>SUM($T$2:T151)</f>
        <v>2563790.5730200009</v>
      </c>
    </row>
    <row r="152" spans="1:29" x14ac:dyDescent="0.45">
      <c r="A152" t="s">
        <v>165</v>
      </c>
      <c r="B152" s="2">
        <v>45763</v>
      </c>
      <c r="C152" s="2">
        <v>45793</v>
      </c>
      <c r="D152" t="s">
        <v>648</v>
      </c>
      <c r="E152" t="s">
        <v>653</v>
      </c>
      <c r="F152" t="s">
        <v>681</v>
      </c>
      <c r="G152" t="s">
        <v>706</v>
      </c>
      <c r="H152" s="9" t="s">
        <v>710</v>
      </c>
      <c r="I152" s="9" t="s">
        <v>723</v>
      </c>
      <c r="J152" s="9" t="s">
        <v>728</v>
      </c>
      <c r="K152" t="s">
        <v>884</v>
      </c>
      <c r="L152" s="7">
        <v>763.32</v>
      </c>
      <c r="M152" s="7">
        <v>568.29</v>
      </c>
      <c r="N152" s="5">
        <v>0.13100000000000001</v>
      </c>
      <c r="O152">
        <v>16</v>
      </c>
      <c r="P152" s="2">
        <f t="shared" si="18"/>
        <v>45793</v>
      </c>
      <c r="Q152" t="str">
        <f t="shared" si="19"/>
        <v>Ok</v>
      </c>
      <c r="R152">
        <f>ABS(Table2[[#This Row],[UnitPrice]])</f>
        <v>568.29</v>
      </c>
      <c r="S152">
        <f t="shared" si="20"/>
        <v>30</v>
      </c>
      <c r="T152" s="12">
        <f t="shared" si="21"/>
        <v>7901.5041599999995</v>
      </c>
      <c r="U152">
        <f>Table2[[#This Row],[UnitCost]]*Table2[[#This Row],[Quantity]]</f>
        <v>12213.12</v>
      </c>
      <c r="V152" s="13">
        <f t="shared" si="22"/>
        <v>-4311.6158400000013</v>
      </c>
      <c r="W152" s="5">
        <f t="shared" si="23"/>
        <v>-0.54567026134426555</v>
      </c>
      <c r="X152" s="17" t="str">
        <f t="shared" si="24"/>
        <v>Apr-2025</v>
      </c>
      <c r="Z152" t="str">
        <f t="shared" si="25"/>
        <v>Americas. Canada. Montreal</v>
      </c>
      <c r="AA152" t="str">
        <f t="shared" si="26"/>
        <v>Low</v>
      </c>
      <c r="AB152" t="str">
        <f t="array" ref="AB152">TEXT(MIN(IF($E$2:$E$633=E152, $B$2:$B$633)), "YYYY-MM")</f>
        <v>2023-01</v>
      </c>
      <c r="AC152" s="13">
        <f>SUM($T$2:T152)</f>
        <v>2571692.077180001</v>
      </c>
    </row>
    <row r="153" spans="1:29" x14ac:dyDescent="0.45">
      <c r="A153" t="s">
        <v>166</v>
      </c>
      <c r="B153" s="2">
        <v>45110</v>
      </c>
      <c r="C153" s="2">
        <v>45130</v>
      </c>
      <c r="D153" t="s">
        <v>646</v>
      </c>
      <c r="E153" t="s">
        <v>661</v>
      </c>
      <c r="F153" t="s">
        <v>682</v>
      </c>
      <c r="G153" t="s">
        <v>705</v>
      </c>
      <c r="H153" s="9" t="s">
        <v>710</v>
      </c>
      <c r="I153" s="9" t="s">
        <v>721</v>
      </c>
      <c r="J153" s="9" t="s">
        <v>731</v>
      </c>
      <c r="K153" t="s">
        <v>885</v>
      </c>
      <c r="L153" s="7">
        <v>1001.96</v>
      </c>
      <c r="M153" s="7">
        <v>1254.95</v>
      </c>
      <c r="N153" s="5">
        <v>4.4999999999999998E-2</v>
      </c>
      <c r="O153">
        <v>18</v>
      </c>
      <c r="P153" s="2">
        <f t="shared" si="18"/>
        <v>45130</v>
      </c>
      <c r="Q153" t="str">
        <f t="shared" si="19"/>
        <v>Ok</v>
      </c>
      <c r="R153">
        <f>ABS(Table2[[#This Row],[UnitPrice]])</f>
        <v>1254.95</v>
      </c>
      <c r="S153">
        <f t="shared" si="20"/>
        <v>20</v>
      </c>
      <c r="T153" s="12">
        <f t="shared" si="21"/>
        <v>21572.590500000002</v>
      </c>
      <c r="U153">
        <f>Table2[[#This Row],[UnitCost]]*Table2[[#This Row],[Quantity]]</f>
        <v>18035.28</v>
      </c>
      <c r="V153" s="13">
        <f t="shared" si="22"/>
        <v>3537.3105000000032</v>
      </c>
      <c r="W153" s="5">
        <f t="shared" si="23"/>
        <v>0.16397244920585699</v>
      </c>
      <c r="X153" s="17" t="str">
        <f t="shared" si="24"/>
        <v>Jul-2023</v>
      </c>
      <c r="Z153" t="str">
        <f t="shared" si="25"/>
        <v>Africa. South Africa. Johannesburg</v>
      </c>
      <c r="AA153" t="str">
        <f t="shared" si="26"/>
        <v>High</v>
      </c>
      <c r="AB153" t="str">
        <f t="array" ref="AB153">TEXT(MIN(IF($E$2:$E$633=E153, $B$2:$B$633)), "YYYY-MM")</f>
        <v>2023-01</v>
      </c>
      <c r="AC153" s="13">
        <f>SUM($T$2:T153)</f>
        <v>2593264.6676800009</v>
      </c>
    </row>
    <row r="154" spans="1:29" x14ac:dyDescent="0.45">
      <c r="A154" t="s">
        <v>167</v>
      </c>
      <c r="B154" s="2">
        <v>45267</v>
      </c>
      <c r="C154" s="2">
        <v>45265</v>
      </c>
      <c r="D154" t="s">
        <v>647</v>
      </c>
      <c r="E154" t="s">
        <v>652</v>
      </c>
      <c r="F154" t="s">
        <v>689</v>
      </c>
      <c r="G154" t="s">
        <v>703</v>
      </c>
      <c r="H154" s="9" t="s">
        <v>709</v>
      </c>
      <c r="I154" s="9" t="s">
        <v>722</v>
      </c>
      <c r="J154" s="9" t="s">
        <v>728</v>
      </c>
      <c r="K154" t="s">
        <v>886</v>
      </c>
      <c r="L154" s="7">
        <v>1097.5899999999999</v>
      </c>
      <c r="M154" s="7">
        <v>845.55</v>
      </c>
      <c r="N154" s="5">
        <v>0.184</v>
      </c>
      <c r="O154">
        <v>6</v>
      </c>
      <c r="P154" s="2">
        <f t="shared" si="18"/>
        <v>45274</v>
      </c>
      <c r="Q154" t="str">
        <f t="shared" si="19"/>
        <v>Ok</v>
      </c>
      <c r="R154">
        <f>ABS(Table2[[#This Row],[UnitPrice]])</f>
        <v>845.55</v>
      </c>
      <c r="S154">
        <f t="shared" si="20"/>
        <v>7</v>
      </c>
      <c r="T154" s="12">
        <f t="shared" si="21"/>
        <v>4139.8127999999997</v>
      </c>
      <c r="U154">
        <f>Table2[[#This Row],[UnitCost]]*Table2[[#This Row],[Quantity]]</f>
        <v>6585.5399999999991</v>
      </c>
      <c r="V154" s="13">
        <f t="shared" si="22"/>
        <v>-2445.7271999999994</v>
      </c>
      <c r="W154" s="5">
        <f t="shared" si="23"/>
        <v>-0.59078207594314402</v>
      </c>
      <c r="X154" s="17" t="str">
        <f t="shared" si="24"/>
        <v>Dec-2023</v>
      </c>
      <c r="Z154" t="str">
        <f t="shared" si="25"/>
        <v>Asia. Japan. Tokyo</v>
      </c>
      <c r="AA154" t="str">
        <f t="shared" si="26"/>
        <v>Low</v>
      </c>
      <c r="AB154" t="str">
        <f t="array" ref="AB154">TEXT(MIN(IF($E$2:$E$633=E154, $B$2:$B$633)), "YYYY-MM")</f>
        <v>2023-03</v>
      </c>
      <c r="AC154" s="13">
        <f>SUM($T$2:T154)</f>
        <v>2597404.4804800008</v>
      </c>
    </row>
    <row r="155" spans="1:29" x14ac:dyDescent="0.45">
      <c r="A155" t="s">
        <v>168</v>
      </c>
      <c r="B155" s="2">
        <v>45340</v>
      </c>
      <c r="C155" s="2">
        <v>45355</v>
      </c>
      <c r="D155" t="s">
        <v>646</v>
      </c>
      <c r="E155" t="s">
        <v>650</v>
      </c>
      <c r="F155" t="s">
        <v>662</v>
      </c>
      <c r="G155" t="s">
        <v>702</v>
      </c>
      <c r="H155" s="9" t="s">
        <v>711</v>
      </c>
      <c r="I155" s="9" t="s">
        <v>723</v>
      </c>
      <c r="J155" s="9" t="s">
        <v>728</v>
      </c>
      <c r="K155" t="s">
        <v>887</v>
      </c>
      <c r="L155" s="7">
        <v>928.68</v>
      </c>
      <c r="M155" s="7">
        <v>2145.17</v>
      </c>
      <c r="N155" s="5">
        <v>0.13600000000000001</v>
      </c>
      <c r="O155">
        <v>16</v>
      </c>
      <c r="P155" s="2">
        <f t="shared" si="18"/>
        <v>45355</v>
      </c>
      <c r="Q155" t="str">
        <f t="shared" si="19"/>
        <v>Ok</v>
      </c>
      <c r="R155">
        <f>ABS(Table2[[#This Row],[UnitPrice]])</f>
        <v>2145.17</v>
      </c>
      <c r="S155">
        <f t="shared" si="20"/>
        <v>15</v>
      </c>
      <c r="T155" s="12">
        <f t="shared" si="21"/>
        <v>29654.83008</v>
      </c>
      <c r="U155">
        <f>Table2[[#This Row],[UnitCost]]*Table2[[#This Row],[Quantity]]</f>
        <v>14858.88</v>
      </c>
      <c r="V155" s="13">
        <f t="shared" si="22"/>
        <v>14795.950080000001</v>
      </c>
      <c r="W155" s="5">
        <f t="shared" si="23"/>
        <v>0.49893896003062177</v>
      </c>
      <c r="X155" s="17" t="str">
        <f t="shared" si="24"/>
        <v>Feb-2024</v>
      </c>
      <c r="Z155" t="str">
        <f t="shared" si="25"/>
        <v>Africa. Kenya. Kisumu</v>
      </c>
      <c r="AA155" t="str">
        <f t="shared" si="26"/>
        <v>High</v>
      </c>
      <c r="AB155" t="str">
        <f t="array" ref="AB155">TEXT(MIN(IF($E$2:$E$633=E155, $B$2:$B$633)), "YYYY-MM")</f>
        <v>2023-01</v>
      </c>
      <c r="AC155" s="13">
        <f>SUM($T$2:T155)</f>
        <v>2627059.3105600011</v>
      </c>
    </row>
    <row r="156" spans="1:29" x14ac:dyDescent="0.45">
      <c r="A156" t="s">
        <v>169</v>
      </c>
      <c r="B156" s="2">
        <v>45230</v>
      </c>
      <c r="C156" s="2">
        <v>45232</v>
      </c>
      <c r="D156" t="s">
        <v>646</v>
      </c>
      <c r="E156" t="s">
        <v>650</v>
      </c>
      <c r="F156" t="s">
        <v>662</v>
      </c>
      <c r="G156" t="s">
        <v>702</v>
      </c>
      <c r="H156" s="9" t="s">
        <v>707</v>
      </c>
      <c r="I156" s="9" t="s">
        <v>719</v>
      </c>
      <c r="J156" s="9" t="s">
        <v>733</v>
      </c>
      <c r="K156" t="s">
        <v>888</v>
      </c>
      <c r="L156" s="7">
        <v>867.89</v>
      </c>
      <c r="M156" s="7">
        <v>1349.94</v>
      </c>
      <c r="N156" s="5">
        <v>0.184</v>
      </c>
      <c r="O156">
        <v>10</v>
      </c>
      <c r="P156" s="2">
        <f t="shared" si="18"/>
        <v>45232</v>
      </c>
      <c r="Q156" t="str">
        <f t="shared" si="19"/>
        <v>Ok</v>
      </c>
      <c r="R156">
        <f>ABS(Table2[[#This Row],[UnitPrice]])</f>
        <v>1349.94</v>
      </c>
      <c r="S156">
        <f t="shared" si="20"/>
        <v>2</v>
      </c>
      <c r="T156" s="12">
        <f t="shared" si="21"/>
        <v>11015.510400000003</v>
      </c>
      <c r="U156">
        <f>Table2[[#This Row],[UnitCost]]*Table2[[#This Row],[Quantity]]</f>
        <v>8678.9</v>
      </c>
      <c r="V156" s="13">
        <f t="shared" si="22"/>
        <v>2336.6104000000032</v>
      </c>
      <c r="W156" s="5">
        <f t="shared" si="23"/>
        <v>0.21212003031652557</v>
      </c>
      <c r="X156" s="17" t="str">
        <f t="shared" si="24"/>
        <v>Oct-2023</v>
      </c>
      <c r="Z156" t="str">
        <f t="shared" si="25"/>
        <v>Africa. Kenya. Kisumu</v>
      </c>
      <c r="AA156" t="str">
        <f t="shared" si="26"/>
        <v>High</v>
      </c>
      <c r="AB156" t="str">
        <f t="array" ref="AB156">TEXT(MIN(IF($E$2:$E$633=E156, $B$2:$B$633)), "YYYY-MM")</f>
        <v>2023-01</v>
      </c>
      <c r="AC156" s="13">
        <f>SUM($T$2:T156)</f>
        <v>2638074.8209600011</v>
      </c>
    </row>
    <row r="157" spans="1:29" x14ac:dyDescent="0.45">
      <c r="A157" t="s">
        <v>170</v>
      </c>
      <c r="B157" s="2">
        <v>45511</v>
      </c>
      <c r="C157" s="2">
        <v>45521</v>
      </c>
      <c r="D157" t="s">
        <v>647</v>
      </c>
      <c r="E157" t="s">
        <v>652</v>
      </c>
      <c r="F157" t="s">
        <v>666</v>
      </c>
      <c r="G157" t="s">
        <v>704</v>
      </c>
      <c r="H157" s="9" t="s">
        <v>708</v>
      </c>
      <c r="I157" s="9" t="s">
        <v>723</v>
      </c>
      <c r="J157" s="9" t="s">
        <v>729</v>
      </c>
      <c r="K157" t="s">
        <v>889</v>
      </c>
      <c r="L157" s="7">
        <v>436.58</v>
      </c>
      <c r="M157" s="7">
        <v>527.48</v>
      </c>
      <c r="N157" s="5">
        <v>0.111</v>
      </c>
      <c r="O157">
        <v>19</v>
      </c>
      <c r="P157" s="2">
        <f t="shared" si="18"/>
        <v>45521</v>
      </c>
      <c r="Q157" t="str">
        <f t="shared" si="19"/>
        <v>Ok</v>
      </c>
      <c r="R157">
        <f>ABS(Table2[[#This Row],[UnitPrice]])</f>
        <v>527.48</v>
      </c>
      <c r="S157">
        <f t="shared" si="20"/>
        <v>10</v>
      </c>
      <c r="T157" s="12">
        <f t="shared" si="21"/>
        <v>8909.6646800000017</v>
      </c>
      <c r="U157">
        <f>Table2[[#This Row],[UnitCost]]*Table2[[#This Row],[Quantity]]</f>
        <v>8295.02</v>
      </c>
      <c r="V157" s="13">
        <f t="shared" si="22"/>
        <v>614.64468000000124</v>
      </c>
      <c r="W157" s="5">
        <f t="shared" si="23"/>
        <v>6.8986286473802644E-2</v>
      </c>
      <c r="X157" s="17" t="str">
        <f t="shared" si="24"/>
        <v>Aug-2024</v>
      </c>
      <c r="Z157" t="str">
        <f t="shared" si="25"/>
        <v>Asia. Japan. Osaka</v>
      </c>
      <c r="AA157" t="str">
        <f t="shared" si="26"/>
        <v>Low</v>
      </c>
      <c r="AB157" t="str">
        <f t="array" ref="AB157">TEXT(MIN(IF($E$2:$E$633=E157, $B$2:$B$633)), "YYYY-MM")</f>
        <v>2023-03</v>
      </c>
      <c r="AC157" s="13">
        <f>SUM($T$2:T157)</f>
        <v>2646984.485640001</v>
      </c>
    </row>
    <row r="158" spans="1:29" x14ac:dyDescent="0.45">
      <c r="A158" t="s">
        <v>171</v>
      </c>
      <c r="B158" s="2">
        <v>45323</v>
      </c>
      <c r="C158" s="2">
        <v>45343</v>
      </c>
      <c r="D158" t="s">
        <v>649</v>
      </c>
      <c r="E158" t="s">
        <v>657</v>
      </c>
      <c r="F158" t="s">
        <v>690</v>
      </c>
      <c r="G158" t="s">
        <v>705</v>
      </c>
      <c r="H158" s="9" t="s">
        <v>709</v>
      </c>
      <c r="I158" s="9" t="s">
        <v>720</v>
      </c>
      <c r="J158" s="9" t="s">
        <v>729</v>
      </c>
      <c r="K158" t="s">
        <v>890</v>
      </c>
      <c r="L158" s="7">
        <v>656.2</v>
      </c>
      <c r="M158" s="7">
        <v>1467.17</v>
      </c>
      <c r="N158" s="5">
        <v>1.7999999999999999E-2</v>
      </c>
      <c r="O158">
        <v>5</v>
      </c>
      <c r="P158" s="2">
        <f t="shared" si="18"/>
        <v>45343</v>
      </c>
      <c r="Q158" t="str">
        <f t="shared" si="19"/>
        <v>Ok</v>
      </c>
      <c r="R158">
        <f>ABS(Table2[[#This Row],[UnitPrice]])</f>
        <v>1467.17</v>
      </c>
      <c r="S158">
        <f t="shared" si="20"/>
        <v>20</v>
      </c>
      <c r="T158" s="12">
        <f t="shared" si="21"/>
        <v>7203.8047000000006</v>
      </c>
      <c r="U158">
        <f>Table2[[#This Row],[UnitCost]]*Table2[[#This Row],[Quantity]]</f>
        <v>3281</v>
      </c>
      <c r="V158" s="13">
        <f t="shared" si="22"/>
        <v>3922.8047000000006</v>
      </c>
      <c r="W158" s="5">
        <f t="shared" si="23"/>
        <v>0.54454623124360946</v>
      </c>
      <c r="X158" s="17" t="str">
        <f t="shared" si="24"/>
        <v>Feb-2024</v>
      </c>
      <c r="Z158" t="str">
        <f t="shared" si="25"/>
        <v>Europe. France. Paris</v>
      </c>
      <c r="AA158" t="str">
        <f t="shared" si="26"/>
        <v>High</v>
      </c>
      <c r="AB158" t="str">
        <f t="array" ref="AB158">TEXT(MIN(IF($E$2:$E$633=E158, $B$2:$B$633)), "YYYY-MM")</f>
        <v>2023-01</v>
      </c>
      <c r="AC158" s="13">
        <f>SUM($T$2:T158)</f>
        <v>2654188.2903400012</v>
      </c>
    </row>
    <row r="159" spans="1:29" x14ac:dyDescent="0.45">
      <c r="A159" t="s">
        <v>172</v>
      </c>
      <c r="B159" s="2">
        <v>45531</v>
      </c>
      <c r="C159" s="2">
        <v>45553</v>
      </c>
      <c r="D159" t="s">
        <v>647</v>
      </c>
      <c r="E159" t="s">
        <v>654</v>
      </c>
      <c r="F159" t="s">
        <v>680</v>
      </c>
      <c r="G159" t="s">
        <v>704</v>
      </c>
      <c r="H159" s="9" t="s">
        <v>711</v>
      </c>
      <c r="I159" s="9" t="s">
        <v>717</v>
      </c>
      <c r="J159" s="9" t="s">
        <v>727</v>
      </c>
      <c r="K159" t="s">
        <v>891</v>
      </c>
      <c r="L159" s="7">
        <v>896.75</v>
      </c>
      <c r="M159" s="7">
        <v>1651.14</v>
      </c>
      <c r="N159" s="5">
        <v>2.5000000000000001E-2</v>
      </c>
      <c r="O159">
        <v>15</v>
      </c>
      <c r="P159" s="2">
        <f t="shared" si="18"/>
        <v>45553</v>
      </c>
      <c r="Q159" t="str">
        <f t="shared" si="19"/>
        <v>Ok</v>
      </c>
      <c r="R159">
        <f>ABS(Table2[[#This Row],[UnitPrice]])</f>
        <v>1651.14</v>
      </c>
      <c r="S159">
        <f t="shared" si="20"/>
        <v>22</v>
      </c>
      <c r="T159" s="12">
        <f t="shared" si="21"/>
        <v>24147.922500000001</v>
      </c>
      <c r="U159">
        <f>Table2[[#This Row],[UnitCost]]*Table2[[#This Row],[Quantity]]</f>
        <v>13451.25</v>
      </c>
      <c r="V159" s="13">
        <f t="shared" si="22"/>
        <v>10696.672500000001</v>
      </c>
      <c r="W159" s="5">
        <f t="shared" si="23"/>
        <v>0.44296450346815552</v>
      </c>
      <c r="X159" s="17" t="str">
        <f t="shared" si="24"/>
        <v>Aug-2024</v>
      </c>
      <c r="Z159" t="str">
        <f t="shared" si="25"/>
        <v>Asia. India. Delhi</v>
      </c>
      <c r="AA159" t="str">
        <f t="shared" si="26"/>
        <v>High</v>
      </c>
      <c r="AB159" t="str">
        <f t="array" ref="AB159">TEXT(MIN(IF($E$2:$E$633=E159, $B$2:$B$633)), "YYYY-MM")</f>
        <v>2023-01</v>
      </c>
      <c r="AC159" s="13">
        <f>SUM($T$2:T159)</f>
        <v>2678336.2128400011</v>
      </c>
    </row>
    <row r="160" spans="1:29" x14ac:dyDescent="0.45">
      <c r="A160" t="s">
        <v>173</v>
      </c>
      <c r="B160" s="2">
        <v>45703</v>
      </c>
      <c r="C160" s="2">
        <v>45703</v>
      </c>
      <c r="D160" t="s">
        <v>649</v>
      </c>
      <c r="E160" t="s">
        <v>656</v>
      </c>
      <c r="F160" t="s">
        <v>698</v>
      </c>
      <c r="G160" t="s">
        <v>705</v>
      </c>
      <c r="H160" s="9" t="s">
        <v>709</v>
      </c>
      <c r="I160" s="9" t="s">
        <v>716</v>
      </c>
      <c r="J160" s="9" t="s">
        <v>733</v>
      </c>
      <c r="K160" t="s">
        <v>892</v>
      </c>
      <c r="L160" s="7">
        <v>815.83</v>
      </c>
      <c r="M160" s="7">
        <v>1982.18</v>
      </c>
      <c r="N160" s="5">
        <v>0.127</v>
      </c>
      <c r="O160">
        <v>6</v>
      </c>
      <c r="P160" s="2">
        <f t="shared" si="18"/>
        <v>45703</v>
      </c>
      <c r="Q160" t="str">
        <f t="shared" si="19"/>
        <v>Ok</v>
      </c>
      <c r="R160">
        <f>ABS(Table2[[#This Row],[UnitPrice]])</f>
        <v>1982.18</v>
      </c>
      <c r="S160">
        <f t="shared" si="20"/>
        <v>0</v>
      </c>
      <c r="T160" s="12">
        <f t="shared" si="21"/>
        <v>10382.65884</v>
      </c>
      <c r="U160">
        <f>Table2[[#This Row],[UnitCost]]*Table2[[#This Row],[Quantity]]</f>
        <v>4894.9800000000005</v>
      </c>
      <c r="V160" s="13">
        <f t="shared" si="22"/>
        <v>5487.6788399999996</v>
      </c>
      <c r="W160" s="5">
        <f t="shared" si="23"/>
        <v>0.52854272923408507</v>
      </c>
      <c r="X160" s="17" t="str">
        <f t="shared" si="24"/>
        <v>Feb-2025</v>
      </c>
      <c r="Z160" t="str">
        <f t="shared" si="25"/>
        <v>Europe. Germany. Frankfurt</v>
      </c>
      <c r="AA160" t="str">
        <f t="shared" si="26"/>
        <v>High</v>
      </c>
      <c r="AB160" t="str">
        <f t="array" ref="AB160">TEXT(MIN(IF($E$2:$E$633=E160, $B$2:$B$633)), "YYYY-MM")</f>
        <v>2023-01</v>
      </c>
      <c r="AC160" s="13">
        <f>SUM($T$2:T160)</f>
        <v>2688718.8716800013</v>
      </c>
    </row>
    <row r="161" spans="1:29" x14ac:dyDescent="0.45">
      <c r="A161" t="s">
        <v>174</v>
      </c>
      <c r="B161" s="2">
        <v>45870</v>
      </c>
      <c r="C161" s="2">
        <v>45890</v>
      </c>
      <c r="D161" t="s">
        <v>647</v>
      </c>
      <c r="E161" t="s">
        <v>659</v>
      </c>
      <c r="F161" t="s">
        <v>685</v>
      </c>
      <c r="G161" t="s">
        <v>701</v>
      </c>
      <c r="H161" s="9" t="s">
        <v>711</v>
      </c>
      <c r="I161" s="9" t="s">
        <v>714</v>
      </c>
      <c r="J161" s="9" t="s">
        <v>730</v>
      </c>
      <c r="K161" t="s">
        <v>893</v>
      </c>
      <c r="L161" s="7">
        <v>1220.4100000000001</v>
      </c>
      <c r="M161" s="7">
        <v>2552.2199999999998</v>
      </c>
      <c r="N161" s="5">
        <v>0.18099999999999999</v>
      </c>
      <c r="O161">
        <v>14</v>
      </c>
      <c r="P161" s="2">
        <f t="shared" si="18"/>
        <v>45890</v>
      </c>
      <c r="Q161" t="str">
        <f t="shared" si="19"/>
        <v>Ok</v>
      </c>
      <c r="R161">
        <f>ABS(Table2[[#This Row],[UnitPrice]])</f>
        <v>2552.2199999999998</v>
      </c>
      <c r="S161">
        <f t="shared" si="20"/>
        <v>20</v>
      </c>
      <c r="T161" s="12">
        <f t="shared" si="21"/>
        <v>29263.754519999995</v>
      </c>
      <c r="U161">
        <f>Table2[[#This Row],[UnitCost]]*Table2[[#This Row],[Quantity]]</f>
        <v>17085.740000000002</v>
      </c>
      <c r="V161" s="13">
        <f t="shared" si="22"/>
        <v>12178.014519999993</v>
      </c>
      <c r="W161" s="5">
        <f t="shared" si="23"/>
        <v>0.41614668793360271</v>
      </c>
      <c r="X161" s="17" t="str">
        <f t="shared" si="24"/>
        <v>Aug-2025</v>
      </c>
      <c r="Z161" t="str">
        <f t="shared" si="25"/>
        <v>Asia. China. Shanghai</v>
      </c>
      <c r="AA161" t="str">
        <f t="shared" si="26"/>
        <v>High</v>
      </c>
      <c r="AB161" t="str">
        <f t="array" ref="AB161">TEXT(MIN(IF($E$2:$E$633=E161, $B$2:$B$633)), "YYYY-MM")</f>
        <v>2023-01</v>
      </c>
      <c r="AC161" s="13">
        <f>SUM($T$2:T161)</f>
        <v>2717982.6262000012</v>
      </c>
    </row>
    <row r="162" spans="1:29" x14ac:dyDescent="0.45">
      <c r="A162" t="s">
        <v>175</v>
      </c>
      <c r="B162" s="2">
        <v>44977</v>
      </c>
      <c r="C162" s="2">
        <v>44989</v>
      </c>
      <c r="D162" t="s">
        <v>647</v>
      </c>
      <c r="E162" t="s">
        <v>654</v>
      </c>
      <c r="F162" t="s">
        <v>680</v>
      </c>
      <c r="G162" t="s">
        <v>704</v>
      </c>
      <c r="H162" s="9" t="s">
        <v>710</v>
      </c>
      <c r="I162" s="9" t="s">
        <v>724</v>
      </c>
      <c r="J162" s="9" t="s">
        <v>732</v>
      </c>
      <c r="K162" t="s">
        <v>894</v>
      </c>
      <c r="L162" s="7">
        <v>299.75</v>
      </c>
      <c r="M162" s="7">
        <v>523.01</v>
      </c>
      <c r="N162" s="5">
        <v>0.157</v>
      </c>
      <c r="O162">
        <v>50</v>
      </c>
      <c r="P162" s="2">
        <f t="shared" si="18"/>
        <v>44989</v>
      </c>
      <c r="Q162" t="str">
        <f t="shared" si="19"/>
        <v>Ok</v>
      </c>
      <c r="R162">
        <f>ABS(Table2[[#This Row],[UnitPrice]])</f>
        <v>523.01</v>
      </c>
      <c r="S162">
        <f t="shared" si="20"/>
        <v>12</v>
      </c>
      <c r="T162" s="12">
        <f t="shared" si="21"/>
        <v>22044.871499999997</v>
      </c>
      <c r="U162">
        <f>Table2[[#This Row],[UnitCost]]*Table2[[#This Row],[Quantity]]</f>
        <v>14987.5</v>
      </c>
      <c r="V162" s="13">
        <f t="shared" si="22"/>
        <v>7057.3714999999975</v>
      </c>
      <c r="W162" s="5">
        <f t="shared" si="23"/>
        <v>0.32013665854210122</v>
      </c>
      <c r="X162" s="17" t="str">
        <f t="shared" si="24"/>
        <v>Feb-2023</v>
      </c>
      <c r="Z162" t="str">
        <f t="shared" si="25"/>
        <v>Asia. India. Delhi</v>
      </c>
      <c r="AA162" t="str">
        <f t="shared" si="26"/>
        <v>Low</v>
      </c>
      <c r="AB162" t="str">
        <f t="array" ref="AB162">TEXT(MIN(IF($E$2:$E$633=E162, $B$2:$B$633)), "YYYY-MM")</f>
        <v>2023-01</v>
      </c>
      <c r="AC162" s="13">
        <f>SUM($T$2:T162)</f>
        <v>2740027.4977000011</v>
      </c>
    </row>
    <row r="163" spans="1:29" x14ac:dyDescent="0.45">
      <c r="A163" t="s">
        <v>176</v>
      </c>
      <c r="B163" s="2">
        <v>45595</v>
      </c>
      <c r="C163" s="2">
        <v>45620</v>
      </c>
      <c r="D163" t="s">
        <v>647</v>
      </c>
      <c r="E163" t="s">
        <v>659</v>
      </c>
      <c r="F163" t="s">
        <v>676</v>
      </c>
      <c r="G163" t="s">
        <v>705</v>
      </c>
      <c r="H163" s="9" t="s">
        <v>708</v>
      </c>
      <c r="I163" s="9" t="s">
        <v>718</v>
      </c>
      <c r="J163" s="9" t="s">
        <v>727</v>
      </c>
      <c r="K163" t="s">
        <v>895</v>
      </c>
      <c r="L163" s="7">
        <v>811.05</v>
      </c>
      <c r="M163" s="7">
        <v>1217.71</v>
      </c>
      <c r="N163" s="5">
        <v>7.1999999999999995E-2</v>
      </c>
      <c r="O163">
        <v>5</v>
      </c>
      <c r="P163" s="2">
        <f t="shared" si="18"/>
        <v>45620</v>
      </c>
      <c r="Q163" t="str">
        <f t="shared" si="19"/>
        <v>Ok</v>
      </c>
      <c r="R163">
        <f>ABS(Table2[[#This Row],[UnitPrice]])</f>
        <v>1217.71</v>
      </c>
      <c r="S163">
        <f t="shared" si="20"/>
        <v>25</v>
      </c>
      <c r="T163" s="12">
        <f t="shared" si="21"/>
        <v>5650.1744000000008</v>
      </c>
      <c r="U163">
        <f>Table2[[#This Row],[UnitCost]]*Table2[[#This Row],[Quantity]]</f>
        <v>4055.25</v>
      </c>
      <c r="V163" s="13">
        <f t="shared" si="22"/>
        <v>1594.9244000000008</v>
      </c>
      <c r="W163" s="5">
        <f t="shared" si="23"/>
        <v>0.28227879125288602</v>
      </c>
      <c r="X163" s="17" t="str">
        <f t="shared" si="24"/>
        <v>Oct-2024</v>
      </c>
      <c r="Z163" t="str">
        <f t="shared" si="25"/>
        <v>Asia. China. Shenzhen</v>
      </c>
      <c r="AA163" t="str">
        <f t="shared" si="26"/>
        <v>High</v>
      </c>
      <c r="AB163" t="str">
        <f t="array" ref="AB163">TEXT(MIN(IF($E$2:$E$633=E163, $B$2:$B$633)), "YYYY-MM")</f>
        <v>2023-01</v>
      </c>
      <c r="AC163" s="13">
        <f>SUM($T$2:T163)</f>
        <v>2745677.672100001</v>
      </c>
    </row>
    <row r="164" spans="1:29" x14ac:dyDescent="0.45">
      <c r="A164" t="s">
        <v>177</v>
      </c>
      <c r="B164" s="2">
        <v>45385</v>
      </c>
      <c r="C164" s="2">
        <v>45389</v>
      </c>
      <c r="D164" t="s">
        <v>648</v>
      </c>
      <c r="E164" t="s">
        <v>655</v>
      </c>
      <c r="F164" t="s">
        <v>672</v>
      </c>
      <c r="G164" t="s">
        <v>703</v>
      </c>
      <c r="H164" s="9" t="s">
        <v>711</v>
      </c>
      <c r="I164" s="9" t="s">
        <v>725</v>
      </c>
      <c r="J164" s="9" t="s">
        <v>730</v>
      </c>
      <c r="K164" t="s">
        <v>896</v>
      </c>
      <c r="L164" s="7">
        <v>1023.27</v>
      </c>
      <c r="M164" s="7">
        <v>1343.64</v>
      </c>
      <c r="N164" s="5">
        <v>0.13300000000000001</v>
      </c>
      <c r="O164">
        <v>7</v>
      </c>
      <c r="P164" s="2">
        <f t="shared" si="18"/>
        <v>45389</v>
      </c>
      <c r="Q164" t="str">
        <f t="shared" si="19"/>
        <v>Ok</v>
      </c>
      <c r="R164">
        <f>ABS(Table2[[#This Row],[UnitPrice]])</f>
        <v>1343.64</v>
      </c>
      <c r="S164">
        <f t="shared" si="20"/>
        <v>4</v>
      </c>
      <c r="T164" s="12">
        <f t="shared" si="21"/>
        <v>8154.5511600000009</v>
      </c>
      <c r="U164">
        <f>Table2[[#This Row],[UnitCost]]*Table2[[#This Row],[Quantity]]</f>
        <v>7162.8899999999994</v>
      </c>
      <c r="V164" s="13">
        <f t="shared" si="22"/>
        <v>991.66116000000147</v>
      </c>
      <c r="W164" s="5">
        <f t="shared" si="23"/>
        <v>0.12160830688810116</v>
      </c>
      <c r="X164" s="17" t="str">
        <f t="shared" si="24"/>
        <v>Apr-2024</v>
      </c>
      <c r="Z164" t="str">
        <f t="shared" si="25"/>
        <v>Americas. Brazil. Brasília</v>
      </c>
      <c r="AA164" t="str">
        <f t="shared" si="26"/>
        <v>High</v>
      </c>
      <c r="AB164" t="str">
        <f t="array" ref="AB164">TEXT(MIN(IF($E$2:$E$633=E164, $B$2:$B$633)), "YYYY-MM")</f>
        <v>2023-01</v>
      </c>
      <c r="AC164" s="13">
        <f>SUM($T$2:T164)</f>
        <v>2753832.2232600008</v>
      </c>
    </row>
    <row r="165" spans="1:29" x14ac:dyDescent="0.45">
      <c r="A165" t="s">
        <v>178</v>
      </c>
      <c r="B165" s="2">
        <v>45010</v>
      </c>
      <c r="C165" s="2">
        <v>45011</v>
      </c>
      <c r="D165" t="s">
        <v>647</v>
      </c>
      <c r="E165" t="s">
        <v>652</v>
      </c>
      <c r="F165" t="s">
        <v>666</v>
      </c>
      <c r="G165" t="s">
        <v>705</v>
      </c>
      <c r="H165" s="9" t="s">
        <v>710</v>
      </c>
      <c r="I165" s="9" t="s">
        <v>714</v>
      </c>
      <c r="J165" s="9" t="s">
        <v>732</v>
      </c>
      <c r="K165" t="s">
        <v>897</v>
      </c>
      <c r="L165" s="7">
        <v>135.12</v>
      </c>
      <c r="M165" s="7">
        <v>301.7</v>
      </c>
      <c r="N165" s="5">
        <v>0.14000000000000001</v>
      </c>
      <c r="O165">
        <v>47</v>
      </c>
      <c r="P165" s="2">
        <f t="shared" si="18"/>
        <v>45011</v>
      </c>
      <c r="Q165" t="str">
        <f t="shared" si="19"/>
        <v>Ok</v>
      </c>
      <c r="R165">
        <f>ABS(Table2[[#This Row],[UnitPrice]])</f>
        <v>301.7</v>
      </c>
      <c r="S165">
        <f t="shared" si="20"/>
        <v>1</v>
      </c>
      <c r="T165" s="12">
        <f t="shared" si="21"/>
        <v>12194.714</v>
      </c>
      <c r="U165">
        <f>Table2[[#This Row],[UnitCost]]*Table2[[#This Row],[Quantity]]</f>
        <v>6350.64</v>
      </c>
      <c r="V165" s="13">
        <f t="shared" si="22"/>
        <v>5844.0739999999996</v>
      </c>
      <c r="W165" s="5">
        <f t="shared" si="23"/>
        <v>0.47923009920527859</v>
      </c>
      <c r="X165" s="17" t="str">
        <f t="shared" si="24"/>
        <v>Mar-2023</v>
      </c>
      <c r="Z165" t="str">
        <f t="shared" si="25"/>
        <v>Asia. Japan. Osaka</v>
      </c>
      <c r="AA165" t="str">
        <f t="shared" si="26"/>
        <v>Low</v>
      </c>
      <c r="AB165" t="str">
        <f t="array" ref="AB165">TEXT(MIN(IF($E$2:$E$633=E165, $B$2:$B$633)), "YYYY-MM")</f>
        <v>2023-03</v>
      </c>
      <c r="AC165" s="13">
        <f>SUM($T$2:T165)</f>
        <v>2766026.937260001</v>
      </c>
    </row>
    <row r="166" spans="1:29" x14ac:dyDescent="0.45">
      <c r="A166" t="s">
        <v>179</v>
      </c>
      <c r="B166" s="2">
        <v>45447</v>
      </c>
      <c r="C166" s="2">
        <v>45459</v>
      </c>
      <c r="D166" t="s">
        <v>647</v>
      </c>
      <c r="E166" t="s">
        <v>659</v>
      </c>
      <c r="F166" t="s">
        <v>685</v>
      </c>
      <c r="G166" t="s">
        <v>701</v>
      </c>
      <c r="H166" s="9" t="s">
        <v>707</v>
      </c>
      <c r="I166" s="9" t="s">
        <v>713</v>
      </c>
      <c r="J166" s="9" t="s">
        <v>728</v>
      </c>
      <c r="K166" t="s">
        <v>898</v>
      </c>
      <c r="L166" s="7">
        <v>918.42</v>
      </c>
      <c r="M166" s="7">
        <v>1511.71</v>
      </c>
      <c r="N166" s="5">
        <v>0.02</v>
      </c>
      <c r="O166">
        <v>8</v>
      </c>
      <c r="P166" s="2">
        <f t="shared" si="18"/>
        <v>45459</v>
      </c>
      <c r="Q166" t="str">
        <f t="shared" si="19"/>
        <v>Ok</v>
      </c>
      <c r="R166">
        <f>ABS(Table2[[#This Row],[UnitPrice]])</f>
        <v>1511.71</v>
      </c>
      <c r="S166">
        <f t="shared" si="20"/>
        <v>12</v>
      </c>
      <c r="T166" s="12">
        <f t="shared" si="21"/>
        <v>11851.806399999999</v>
      </c>
      <c r="U166">
        <f>Table2[[#This Row],[UnitCost]]*Table2[[#This Row],[Quantity]]</f>
        <v>7347.36</v>
      </c>
      <c r="V166" s="13">
        <f t="shared" si="22"/>
        <v>4504.4463999999998</v>
      </c>
      <c r="W166" s="5">
        <f t="shared" si="23"/>
        <v>0.38006412254590999</v>
      </c>
      <c r="X166" s="17" t="str">
        <f t="shared" si="24"/>
        <v>Jun-2024</v>
      </c>
      <c r="Z166" t="str">
        <f t="shared" si="25"/>
        <v>Asia. China. Shanghai</v>
      </c>
      <c r="AA166" t="str">
        <f t="shared" si="26"/>
        <v>High</v>
      </c>
      <c r="AB166" t="str">
        <f t="array" ref="AB166">TEXT(MIN(IF($E$2:$E$633=E166, $B$2:$B$633)), "YYYY-MM")</f>
        <v>2023-01</v>
      </c>
      <c r="AC166" s="13">
        <f>SUM($T$2:T166)</f>
        <v>2777878.7436600011</v>
      </c>
    </row>
    <row r="167" spans="1:29" x14ac:dyDescent="0.45">
      <c r="A167" t="s">
        <v>180</v>
      </c>
      <c r="B167" s="2">
        <v>44976</v>
      </c>
      <c r="C167" s="2">
        <v>44997</v>
      </c>
      <c r="D167" t="s">
        <v>649</v>
      </c>
      <c r="E167" t="s">
        <v>656</v>
      </c>
      <c r="F167" t="s">
        <v>671</v>
      </c>
      <c r="G167" t="s">
        <v>705</v>
      </c>
      <c r="H167" s="9" t="s">
        <v>711</v>
      </c>
      <c r="I167" s="9" t="s">
        <v>716</v>
      </c>
      <c r="J167" s="9" t="s">
        <v>732</v>
      </c>
      <c r="K167" t="s">
        <v>899</v>
      </c>
      <c r="L167" s="7">
        <v>1234.81</v>
      </c>
      <c r="M167" s="7">
        <v>2055.2399999999998</v>
      </c>
      <c r="N167" s="5">
        <v>5.2999999999999999E-2</v>
      </c>
      <c r="O167">
        <v>44</v>
      </c>
      <c r="P167" s="2">
        <f t="shared" si="18"/>
        <v>44997</v>
      </c>
      <c r="Q167" t="str">
        <f t="shared" si="19"/>
        <v>Ok</v>
      </c>
      <c r="R167">
        <f>ABS(Table2[[#This Row],[UnitPrice]])</f>
        <v>2055.2399999999998</v>
      </c>
      <c r="S167">
        <f t="shared" si="20"/>
        <v>21</v>
      </c>
      <c r="T167" s="12">
        <f t="shared" si="21"/>
        <v>85637.740319999997</v>
      </c>
      <c r="U167">
        <f>Table2[[#This Row],[UnitCost]]*Table2[[#This Row],[Quantity]]</f>
        <v>54331.64</v>
      </c>
      <c r="V167" s="13">
        <f t="shared" si="22"/>
        <v>31306.100319999998</v>
      </c>
      <c r="W167" s="5">
        <f t="shared" si="23"/>
        <v>0.36556429680441616</v>
      </c>
      <c r="X167" s="17" t="str">
        <f t="shared" si="24"/>
        <v>Feb-2023</v>
      </c>
      <c r="Z167" t="str">
        <f t="shared" si="25"/>
        <v>Europe. Germany. Berlin</v>
      </c>
      <c r="AA167" t="str">
        <f t="shared" si="26"/>
        <v>High</v>
      </c>
      <c r="AB167" t="str">
        <f t="array" ref="AB167">TEXT(MIN(IF($E$2:$E$633=E167, $B$2:$B$633)), "YYYY-MM")</f>
        <v>2023-01</v>
      </c>
      <c r="AC167" s="13">
        <f>SUM($T$2:T167)</f>
        <v>2863516.483980001</v>
      </c>
    </row>
    <row r="168" spans="1:29" x14ac:dyDescent="0.45">
      <c r="A168" t="s">
        <v>181</v>
      </c>
      <c r="B168" s="2">
        <v>45034</v>
      </c>
      <c r="C168" s="2">
        <v>45064</v>
      </c>
      <c r="D168" t="s">
        <v>647</v>
      </c>
      <c r="E168" t="s">
        <v>659</v>
      </c>
      <c r="F168" t="s">
        <v>676</v>
      </c>
      <c r="G168" t="s">
        <v>703</v>
      </c>
      <c r="H168" s="9" t="s">
        <v>707</v>
      </c>
      <c r="I168" s="9" t="s">
        <v>722</v>
      </c>
      <c r="J168" s="9" t="s">
        <v>731</v>
      </c>
      <c r="K168" t="s">
        <v>900</v>
      </c>
      <c r="L168" s="7">
        <v>329.03</v>
      </c>
      <c r="M168" s="7">
        <v>391.15</v>
      </c>
      <c r="N168" s="5">
        <v>0.19700000000000001</v>
      </c>
      <c r="O168">
        <v>46</v>
      </c>
      <c r="P168" s="2">
        <f t="shared" si="18"/>
        <v>45064</v>
      </c>
      <c r="Q168" t="str">
        <f t="shared" si="19"/>
        <v>Ok</v>
      </c>
      <c r="R168">
        <f>ABS(Table2[[#This Row],[UnitPrice]])</f>
        <v>391.15</v>
      </c>
      <c r="S168">
        <f t="shared" si="20"/>
        <v>30</v>
      </c>
      <c r="T168" s="12">
        <f t="shared" si="21"/>
        <v>14448.298699999998</v>
      </c>
      <c r="U168">
        <f>Table2[[#This Row],[UnitCost]]*Table2[[#This Row],[Quantity]]</f>
        <v>15135.38</v>
      </c>
      <c r="V168" s="13">
        <f t="shared" si="22"/>
        <v>-687.08130000000165</v>
      </c>
      <c r="W168" s="5">
        <f t="shared" si="23"/>
        <v>-4.7554477815440081E-2</v>
      </c>
      <c r="X168" s="17" t="str">
        <f t="shared" si="24"/>
        <v>Apr-2023</v>
      </c>
      <c r="Z168" t="str">
        <f t="shared" si="25"/>
        <v>Asia. China. Shenzhen</v>
      </c>
      <c r="AA168" t="str">
        <f t="shared" si="26"/>
        <v>Low</v>
      </c>
      <c r="AB168" t="str">
        <f t="array" ref="AB168">TEXT(MIN(IF($E$2:$E$633=E168, $B$2:$B$633)), "YYYY-MM")</f>
        <v>2023-01</v>
      </c>
      <c r="AC168" s="13">
        <f>SUM($T$2:T168)</f>
        <v>2877964.7826800011</v>
      </c>
    </row>
    <row r="169" spans="1:29" x14ac:dyDescent="0.45">
      <c r="A169" t="s">
        <v>182</v>
      </c>
      <c r="B169" s="2">
        <v>45435</v>
      </c>
      <c r="C169" s="2">
        <v>45457</v>
      </c>
      <c r="D169" t="s">
        <v>649</v>
      </c>
      <c r="E169" t="s">
        <v>657</v>
      </c>
      <c r="F169" t="s">
        <v>673</v>
      </c>
      <c r="G169" t="s">
        <v>705</v>
      </c>
      <c r="H169" s="9" t="s">
        <v>708</v>
      </c>
      <c r="I169" s="9" t="s">
        <v>725</v>
      </c>
      <c r="J169" s="9" t="s">
        <v>732</v>
      </c>
      <c r="K169" t="s">
        <v>901</v>
      </c>
      <c r="L169" s="7">
        <v>1481.74</v>
      </c>
      <c r="M169" s="7">
        <v>1848.97</v>
      </c>
      <c r="N169" s="5">
        <v>0.254</v>
      </c>
      <c r="O169">
        <v>9</v>
      </c>
      <c r="P169" s="2">
        <f t="shared" si="18"/>
        <v>45457</v>
      </c>
      <c r="Q169" t="str">
        <f t="shared" si="19"/>
        <v>Ok</v>
      </c>
      <c r="R169">
        <f>ABS(Table2[[#This Row],[UnitPrice]])</f>
        <v>1848.97</v>
      </c>
      <c r="S169">
        <f t="shared" si="20"/>
        <v>22</v>
      </c>
      <c r="T169" s="12">
        <f t="shared" si="21"/>
        <v>12413.98458</v>
      </c>
      <c r="U169">
        <f>Table2[[#This Row],[UnitCost]]*Table2[[#This Row],[Quantity]]</f>
        <v>13335.66</v>
      </c>
      <c r="V169" s="13">
        <f t="shared" si="22"/>
        <v>-921.67541999999958</v>
      </c>
      <c r="W169" s="5">
        <f t="shared" si="23"/>
        <v>-7.4244930309072407E-2</v>
      </c>
      <c r="X169" s="17" t="str">
        <f t="shared" si="24"/>
        <v>May-2024</v>
      </c>
      <c r="Z169" t="str">
        <f t="shared" si="25"/>
        <v>Europe. France. Marseille</v>
      </c>
      <c r="AA169" t="str">
        <f t="shared" si="26"/>
        <v>High</v>
      </c>
      <c r="AB169" t="str">
        <f t="array" ref="AB169">TEXT(MIN(IF($E$2:$E$633=E169, $B$2:$B$633)), "YYYY-MM")</f>
        <v>2023-01</v>
      </c>
      <c r="AC169" s="13">
        <f>SUM($T$2:T169)</f>
        <v>2890378.767260001</v>
      </c>
    </row>
    <row r="170" spans="1:29" x14ac:dyDescent="0.45">
      <c r="A170" t="s">
        <v>183</v>
      </c>
      <c r="B170" s="2">
        <v>45206</v>
      </c>
      <c r="C170" s="2">
        <v>45222</v>
      </c>
      <c r="D170" t="s">
        <v>647</v>
      </c>
      <c r="E170" t="s">
        <v>654</v>
      </c>
      <c r="F170" t="s">
        <v>696</v>
      </c>
      <c r="G170" t="s">
        <v>704</v>
      </c>
      <c r="H170" s="9" t="s">
        <v>707</v>
      </c>
      <c r="I170" s="9" t="s">
        <v>715</v>
      </c>
      <c r="J170" s="9" t="s">
        <v>732</v>
      </c>
      <c r="K170" t="s">
        <v>902</v>
      </c>
      <c r="L170" s="7">
        <v>906.81</v>
      </c>
      <c r="M170" s="7">
        <v>1395.56</v>
      </c>
      <c r="N170" s="5">
        <v>0.185</v>
      </c>
      <c r="O170">
        <v>6</v>
      </c>
      <c r="P170" s="2">
        <f t="shared" si="18"/>
        <v>45222</v>
      </c>
      <c r="Q170" t="str">
        <f t="shared" si="19"/>
        <v>Ok</v>
      </c>
      <c r="R170">
        <f>ABS(Table2[[#This Row],[UnitPrice]])</f>
        <v>1395.56</v>
      </c>
      <c r="S170">
        <f t="shared" si="20"/>
        <v>16</v>
      </c>
      <c r="T170" s="12">
        <f t="shared" si="21"/>
        <v>6824.2884000000004</v>
      </c>
      <c r="U170">
        <f>Table2[[#This Row],[UnitCost]]*Table2[[#This Row],[Quantity]]</f>
        <v>5440.86</v>
      </c>
      <c r="V170" s="13">
        <f t="shared" si="22"/>
        <v>1383.4284000000007</v>
      </c>
      <c r="W170" s="5">
        <f t="shared" si="23"/>
        <v>0.20272126834498974</v>
      </c>
      <c r="X170" s="17" t="str">
        <f t="shared" si="24"/>
        <v>Oct-2023</v>
      </c>
      <c r="Z170" t="str">
        <f t="shared" si="25"/>
        <v>Asia. India. Hyderabad</v>
      </c>
      <c r="AA170" t="str">
        <f t="shared" si="26"/>
        <v>High</v>
      </c>
      <c r="AB170" t="str">
        <f t="array" ref="AB170">TEXT(MIN(IF($E$2:$E$633=E170, $B$2:$B$633)), "YYYY-MM")</f>
        <v>2023-01</v>
      </c>
      <c r="AC170" s="13">
        <f>SUM($T$2:T170)</f>
        <v>2897203.055660001</v>
      </c>
    </row>
    <row r="171" spans="1:29" x14ac:dyDescent="0.45">
      <c r="A171" t="s">
        <v>184</v>
      </c>
      <c r="B171" s="2">
        <v>45574</v>
      </c>
      <c r="C171" s="2">
        <v>45604</v>
      </c>
      <c r="D171" t="s">
        <v>649</v>
      </c>
      <c r="E171" t="s">
        <v>658</v>
      </c>
      <c r="F171" t="s">
        <v>693</v>
      </c>
      <c r="G171" t="s">
        <v>705</v>
      </c>
      <c r="H171" s="9" t="s">
        <v>710</v>
      </c>
      <c r="I171" s="9" t="s">
        <v>713</v>
      </c>
      <c r="J171" s="9" t="s">
        <v>727</v>
      </c>
      <c r="K171" t="s">
        <v>903</v>
      </c>
      <c r="L171" s="7">
        <v>343.85</v>
      </c>
      <c r="M171" s="7">
        <v>538.04</v>
      </c>
      <c r="N171" s="5">
        <v>0.13900000000000001</v>
      </c>
      <c r="O171">
        <v>5</v>
      </c>
      <c r="P171" s="2">
        <f t="shared" si="18"/>
        <v>45604</v>
      </c>
      <c r="Q171" t="str">
        <f t="shared" si="19"/>
        <v>Ok</v>
      </c>
      <c r="R171">
        <f>ABS(Table2[[#This Row],[UnitPrice]])</f>
        <v>538.04</v>
      </c>
      <c r="S171">
        <f t="shared" si="20"/>
        <v>30</v>
      </c>
      <c r="T171" s="12">
        <f t="shared" si="21"/>
        <v>2316.2621999999997</v>
      </c>
      <c r="U171">
        <f>Table2[[#This Row],[UnitCost]]*Table2[[#This Row],[Quantity]]</f>
        <v>1719.25</v>
      </c>
      <c r="V171" s="13">
        <f t="shared" si="22"/>
        <v>597.01219999999967</v>
      </c>
      <c r="W171" s="5">
        <f t="shared" si="23"/>
        <v>0.25774810813732563</v>
      </c>
      <c r="X171" s="17" t="str">
        <f t="shared" si="24"/>
        <v>Oct-2024</v>
      </c>
      <c r="Z171" t="str">
        <f t="shared" si="25"/>
        <v>Europe. United Kingdom. Manchester</v>
      </c>
      <c r="AA171" t="str">
        <f t="shared" si="26"/>
        <v>Low</v>
      </c>
      <c r="AB171" t="str">
        <f t="array" ref="AB171">TEXT(MIN(IF($E$2:$E$633=E171, $B$2:$B$633)), "YYYY-MM")</f>
        <v>2023-01</v>
      </c>
      <c r="AC171" s="13">
        <f>SUM($T$2:T171)</f>
        <v>2899519.3178600012</v>
      </c>
    </row>
    <row r="172" spans="1:29" x14ac:dyDescent="0.45">
      <c r="A172" t="s">
        <v>185</v>
      </c>
      <c r="B172" s="2">
        <v>45488</v>
      </c>
      <c r="C172" s="2">
        <v>45488</v>
      </c>
      <c r="D172" t="s">
        <v>647</v>
      </c>
      <c r="E172" t="s">
        <v>652</v>
      </c>
      <c r="F172" t="s">
        <v>689</v>
      </c>
      <c r="G172" t="s">
        <v>705</v>
      </c>
      <c r="H172" s="9" t="s">
        <v>709</v>
      </c>
      <c r="I172" s="9" t="s">
        <v>715</v>
      </c>
      <c r="J172" s="9" t="s">
        <v>733</v>
      </c>
      <c r="K172" t="s">
        <v>904</v>
      </c>
      <c r="L172" s="7">
        <v>801.77</v>
      </c>
      <c r="M172" s="7">
        <v>1218.92</v>
      </c>
      <c r="N172" s="5">
        <v>0.254</v>
      </c>
      <c r="O172">
        <v>16</v>
      </c>
      <c r="P172" s="2">
        <f t="shared" si="18"/>
        <v>45488</v>
      </c>
      <c r="Q172" t="str">
        <f t="shared" si="19"/>
        <v>Ok</v>
      </c>
      <c r="R172">
        <f>ABS(Table2[[#This Row],[UnitPrice]])</f>
        <v>1218.92</v>
      </c>
      <c r="S172">
        <f t="shared" si="20"/>
        <v>0</v>
      </c>
      <c r="T172" s="12">
        <f t="shared" si="21"/>
        <v>14549.029120000001</v>
      </c>
      <c r="U172">
        <f>Table2[[#This Row],[UnitCost]]*Table2[[#This Row],[Quantity]]</f>
        <v>12828.32</v>
      </c>
      <c r="V172" s="13">
        <f t="shared" si="22"/>
        <v>1720.7091200000013</v>
      </c>
      <c r="W172" s="5">
        <f t="shared" si="23"/>
        <v>0.11826968698788344</v>
      </c>
      <c r="X172" s="17" t="str">
        <f t="shared" si="24"/>
        <v>Jul-2024</v>
      </c>
      <c r="Z172" t="str">
        <f t="shared" si="25"/>
        <v>Asia. Japan. Tokyo</v>
      </c>
      <c r="AA172" t="str">
        <f t="shared" si="26"/>
        <v>High</v>
      </c>
      <c r="AB172" t="str">
        <f t="array" ref="AB172">TEXT(MIN(IF($E$2:$E$633=E172, $B$2:$B$633)), "YYYY-MM")</f>
        <v>2023-03</v>
      </c>
      <c r="AC172" s="13">
        <f>SUM($T$2:T172)</f>
        <v>2914068.3469800013</v>
      </c>
    </row>
    <row r="173" spans="1:29" x14ac:dyDescent="0.45">
      <c r="A173" t="s">
        <v>186</v>
      </c>
      <c r="B173" s="2">
        <v>45190</v>
      </c>
      <c r="C173" s="2">
        <v>45209</v>
      </c>
      <c r="D173" t="s">
        <v>647</v>
      </c>
      <c r="E173" t="s">
        <v>652</v>
      </c>
      <c r="F173" t="s">
        <v>689</v>
      </c>
      <c r="G173" t="s">
        <v>702</v>
      </c>
      <c r="H173" s="9" t="s">
        <v>708</v>
      </c>
      <c r="I173" s="9" t="s">
        <v>726</v>
      </c>
      <c r="J173" s="9" t="s">
        <v>727</v>
      </c>
      <c r="K173" t="s">
        <v>905</v>
      </c>
      <c r="L173" s="7">
        <v>845.63</v>
      </c>
      <c r="M173" s="7">
        <v>2062.12</v>
      </c>
      <c r="N173" s="5">
        <v>0.13400000000000001</v>
      </c>
      <c r="O173">
        <v>5</v>
      </c>
      <c r="P173" s="2">
        <f t="shared" si="18"/>
        <v>45209</v>
      </c>
      <c r="Q173" t="str">
        <f t="shared" si="19"/>
        <v>Ok</v>
      </c>
      <c r="R173">
        <f>ABS(Table2[[#This Row],[UnitPrice]])</f>
        <v>2062.12</v>
      </c>
      <c r="S173">
        <f t="shared" si="20"/>
        <v>19</v>
      </c>
      <c r="T173" s="12">
        <f t="shared" si="21"/>
        <v>8928.9795999999988</v>
      </c>
      <c r="U173">
        <f>Table2[[#This Row],[UnitCost]]*Table2[[#This Row],[Quantity]]</f>
        <v>4228.1499999999996</v>
      </c>
      <c r="V173" s="13">
        <f t="shared" si="22"/>
        <v>4700.8295999999991</v>
      </c>
      <c r="W173" s="5">
        <f t="shared" si="23"/>
        <v>0.52646884757133949</v>
      </c>
      <c r="X173" s="17" t="str">
        <f t="shared" si="24"/>
        <v>Sep-2023</v>
      </c>
      <c r="Z173" t="str">
        <f t="shared" si="25"/>
        <v>Asia. Japan. Tokyo</v>
      </c>
      <c r="AA173" t="str">
        <f t="shared" si="26"/>
        <v>High</v>
      </c>
      <c r="AB173" t="str">
        <f t="array" ref="AB173">TEXT(MIN(IF($E$2:$E$633=E173, $B$2:$B$633)), "YYYY-MM")</f>
        <v>2023-03</v>
      </c>
      <c r="AC173" s="13">
        <f>SUM($T$2:T173)</f>
        <v>2922997.3265800015</v>
      </c>
    </row>
    <row r="174" spans="1:29" x14ac:dyDescent="0.45">
      <c r="A174" t="s">
        <v>187</v>
      </c>
      <c r="B174" s="2">
        <v>44981</v>
      </c>
      <c r="C174" s="2">
        <v>44994</v>
      </c>
      <c r="D174" t="s">
        <v>648</v>
      </c>
      <c r="E174" t="s">
        <v>660</v>
      </c>
      <c r="F174" t="s">
        <v>700</v>
      </c>
      <c r="G174" t="s">
        <v>706</v>
      </c>
      <c r="H174" s="9" t="s">
        <v>708</v>
      </c>
      <c r="I174" s="9" t="s">
        <v>724</v>
      </c>
      <c r="J174" s="9" t="s">
        <v>727</v>
      </c>
      <c r="K174" t="s">
        <v>906</v>
      </c>
      <c r="L174" s="7">
        <v>6.85</v>
      </c>
      <c r="M174" s="7">
        <v>10.18</v>
      </c>
      <c r="N174" s="5">
        <v>4.7E-2</v>
      </c>
      <c r="O174">
        <v>10</v>
      </c>
      <c r="P174" s="2">
        <f t="shared" si="18"/>
        <v>44994</v>
      </c>
      <c r="Q174" t="str">
        <f t="shared" si="19"/>
        <v>Ok</v>
      </c>
      <c r="R174">
        <f>ABS(Table2[[#This Row],[UnitPrice]])</f>
        <v>10.18</v>
      </c>
      <c r="S174">
        <f t="shared" si="20"/>
        <v>13</v>
      </c>
      <c r="T174" s="12">
        <f t="shared" si="21"/>
        <v>97.0154</v>
      </c>
      <c r="U174">
        <f>Table2[[#This Row],[UnitCost]]*Table2[[#This Row],[Quantity]]</f>
        <v>68.5</v>
      </c>
      <c r="V174" s="13">
        <f t="shared" si="22"/>
        <v>28.5154</v>
      </c>
      <c r="W174" s="5">
        <f t="shared" si="23"/>
        <v>0.2939265312517394</v>
      </c>
      <c r="X174" s="17" t="str">
        <f t="shared" si="24"/>
        <v>Feb-2023</v>
      </c>
      <c r="Z174" t="str">
        <f t="shared" si="25"/>
        <v>Americas. USA. New York</v>
      </c>
      <c r="AA174" t="str">
        <f t="shared" si="26"/>
        <v>Low</v>
      </c>
      <c r="AB174" t="str">
        <f t="array" ref="AB174">TEXT(MIN(IF($E$2:$E$633=E174, $B$2:$B$633)), "YYYY-MM")</f>
        <v>2023-01</v>
      </c>
      <c r="AC174" s="13">
        <f>SUM($T$2:T174)</f>
        <v>2923094.3419800014</v>
      </c>
    </row>
    <row r="175" spans="1:29" x14ac:dyDescent="0.45">
      <c r="A175" t="s">
        <v>188</v>
      </c>
      <c r="B175" s="2">
        <v>45798</v>
      </c>
      <c r="C175" s="2">
        <v>45796</v>
      </c>
      <c r="D175" t="s">
        <v>646</v>
      </c>
      <c r="E175" t="s">
        <v>661</v>
      </c>
      <c r="F175" t="s">
        <v>682</v>
      </c>
      <c r="G175" t="s">
        <v>703</v>
      </c>
      <c r="H175" s="9" t="s">
        <v>710</v>
      </c>
      <c r="I175" s="9" t="s">
        <v>719</v>
      </c>
      <c r="J175" s="9" t="s">
        <v>731</v>
      </c>
      <c r="K175" t="s">
        <v>907</v>
      </c>
      <c r="L175" s="7">
        <v>1263.8399999999999</v>
      </c>
      <c r="M175" s="7">
        <v>2281.7199999999998</v>
      </c>
      <c r="N175" s="5">
        <v>7.8E-2</v>
      </c>
      <c r="O175">
        <v>15</v>
      </c>
      <c r="P175" s="2">
        <f t="shared" si="18"/>
        <v>45805</v>
      </c>
      <c r="Q175" t="str">
        <f t="shared" si="19"/>
        <v>Ok</v>
      </c>
      <c r="R175">
        <f>ABS(Table2[[#This Row],[UnitPrice]])</f>
        <v>2281.7199999999998</v>
      </c>
      <c r="S175">
        <f t="shared" si="20"/>
        <v>7</v>
      </c>
      <c r="T175" s="12">
        <f t="shared" si="21"/>
        <v>31556.187599999997</v>
      </c>
      <c r="U175">
        <f>Table2[[#This Row],[UnitCost]]*Table2[[#This Row],[Quantity]]</f>
        <v>18957.599999999999</v>
      </c>
      <c r="V175" s="13">
        <f t="shared" si="22"/>
        <v>12598.587599999999</v>
      </c>
      <c r="W175" s="5">
        <f t="shared" si="23"/>
        <v>0.39924301882398494</v>
      </c>
      <c r="X175" s="17" t="str">
        <f t="shared" si="24"/>
        <v>May-2025</v>
      </c>
      <c r="Z175" t="str">
        <f t="shared" si="25"/>
        <v>Africa. South Africa. Johannesburg</v>
      </c>
      <c r="AA175" t="str">
        <f t="shared" si="26"/>
        <v>High</v>
      </c>
      <c r="AB175" t="str">
        <f t="array" ref="AB175">TEXT(MIN(IF($E$2:$E$633=E175, $B$2:$B$633)), "YYYY-MM")</f>
        <v>2023-01</v>
      </c>
      <c r="AC175" s="13">
        <f>SUM($T$2:T175)</f>
        <v>2954650.5295800013</v>
      </c>
    </row>
    <row r="176" spans="1:29" x14ac:dyDescent="0.45">
      <c r="A176" t="s">
        <v>189</v>
      </c>
      <c r="B176" s="2">
        <v>45435</v>
      </c>
      <c r="C176" s="2">
        <v>45446</v>
      </c>
      <c r="D176" t="s">
        <v>646</v>
      </c>
      <c r="E176" t="s">
        <v>661</v>
      </c>
      <c r="F176" t="s">
        <v>682</v>
      </c>
      <c r="G176" t="s">
        <v>705</v>
      </c>
      <c r="H176" s="9" t="s">
        <v>710</v>
      </c>
      <c r="I176" s="9" t="s">
        <v>721</v>
      </c>
      <c r="J176" s="9" t="s">
        <v>728</v>
      </c>
      <c r="K176" t="s">
        <v>908</v>
      </c>
      <c r="L176" s="7">
        <v>180.89</v>
      </c>
      <c r="M176" s="7">
        <v>249.57</v>
      </c>
      <c r="N176" s="5">
        <v>2.1999999999999999E-2</v>
      </c>
      <c r="O176">
        <v>8</v>
      </c>
      <c r="P176" s="2">
        <f t="shared" si="18"/>
        <v>45446</v>
      </c>
      <c r="Q176" t="str">
        <f t="shared" si="19"/>
        <v>Ok</v>
      </c>
      <c r="R176">
        <f>ABS(Table2[[#This Row],[UnitPrice]])</f>
        <v>249.57</v>
      </c>
      <c r="S176">
        <f t="shared" si="20"/>
        <v>11</v>
      </c>
      <c r="T176" s="12">
        <f t="shared" si="21"/>
        <v>1952.6356799999999</v>
      </c>
      <c r="U176">
        <f>Table2[[#This Row],[UnitCost]]*Table2[[#This Row],[Quantity]]</f>
        <v>1447.12</v>
      </c>
      <c r="V176" s="13">
        <f t="shared" si="22"/>
        <v>505.51567999999997</v>
      </c>
      <c r="W176" s="5">
        <f t="shared" si="23"/>
        <v>0.25888888806948362</v>
      </c>
      <c r="X176" s="17" t="str">
        <f t="shared" si="24"/>
        <v>May-2024</v>
      </c>
      <c r="Z176" t="str">
        <f t="shared" si="25"/>
        <v>Africa. South Africa. Johannesburg</v>
      </c>
      <c r="AA176" t="str">
        <f t="shared" si="26"/>
        <v>Low</v>
      </c>
      <c r="AB176" t="str">
        <f t="array" ref="AB176">TEXT(MIN(IF($E$2:$E$633=E176, $B$2:$B$633)), "YYYY-MM")</f>
        <v>2023-01</v>
      </c>
      <c r="AC176" s="13">
        <f>SUM($T$2:T176)</f>
        <v>2956603.1652600011</v>
      </c>
    </row>
    <row r="177" spans="1:29" x14ac:dyDescent="0.45">
      <c r="A177" t="s">
        <v>190</v>
      </c>
      <c r="B177" s="2">
        <v>45761</v>
      </c>
      <c r="C177" s="2">
        <v>45781</v>
      </c>
      <c r="D177" t="s">
        <v>649</v>
      </c>
      <c r="E177" t="s">
        <v>658</v>
      </c>
      <c r="F177" t="s">
        <v>674</v>
      </c>
      <c r="G177" t="s">
        <v>706</v>
      </c>
      <c r="H177" s="9" t="s">
        <v>709</v>
      </c>
      <c r="I177" s="9" t="s">
        <v>723</v>
      </c>
      <c r="J177" s="9" t="s">
        <v>732</v>
      </c>
      <c r="K177" t="s">
        <v>909</v>
      </c>
      <c r="L177" s="7">
        <v>1413.87</v>
      </c>
      <c r="M177" s="7">
        <v>3275</v>
      </c>
      <c r="N177" s="5">
        <v>0.255</v>
      </c>
      <c r="O177">
        <v>38</v>
      </c>
      <c r="P177" s="2">
        <f t="shared" si="18"/>
        <v>45781</v>
      </c>
      <c r="Q177" t="str">
        <f t="shared" si="19"/>
        <v>Ok</v>
      </c>
      <c r="R177">
        <f>ABS(Table2[[#This Row],[UnitPrice]])</f>
        <v>3275</v>
      </c>
      <c r="S177">
        <f t="shared" si="20"/>
        <v>20</v>
      </c>
      <c r="T177" s="12">
        <f t="shared" si="21"/>
        <v>92715.25</v>
      </c>
      <c r="U177">
        <f>Table2[[#This Row],[UnitCost]]*Table2[[#This Row],[Quantity]]</f>
        <v>53727.06</v>
      </c>
      <c r="V177" s="13">
        <f t="shared" si="22"/>
        <v>38988.19</v>
      </c>
      <c r="W177" s="5">
        <f t="shared" si="23"/>
        <v>0.42051539525590453</v>
      </c>
      <c r="X177" s="17" t="str">
        <f t="shared" si="24"/>
        <v>Apr-2025</v>
      </c>
      <c r="Z177" t="str">
        <f t="shared" si="25"/>
        <v>Europe. United Kingdom. Birmingham</v>
      </c>
      <c r="AA177" t="str">
        <f t="shared" si="26"/>
        <v>High</v>
      </c>
      <c r="AB177" t="str">
        <f t="array" ref="AB177">TEXT(MIN(IF($E$2:$E$633=E177, $B$2:$B$633)), "YYYY-MM")</f>
        <v>2023-01</v>
      </c>
      <c r="AC177" s="13">
        <f>SUM($T$2:T177)</f>
        <v>3049318.4152600011</v>
      </c>
    </row>
    <row r="178" spans="1:29" x14ac:dyDescent="0.45">
      <c r="A178" t="s">
        <v>191</v>
      </c>
      <c r="B178" s="2">
        <v>45165</v>
      </c>
      <c r="C178" s="2">
        <v>45180</v>
      </c>
      <c r="D178" t="s">
        <v>649</v>
      </c>
      <c r="E178" t="s">
        <v>658</v>
      </c>
      <c r="F178" t="s">
        <v>683</v>
      </c>
      <c r="G178" t="s">
        <v>704</v>
      </c>
      <c r="H178" s="9" t="s">
        <v>709</v>
      </c>
      <c r="I178" s="9" t="s">
        <v>725</v>
      </c>
      <c r="J178" s="9" t="s">
        <v>728</v>
      </c>
      <c r="K178" t="s">
        <v>910</v>
      </c>
      <c r="L178" s="7">
        <v>943.79</v>
      </c>
      <c r="M178" s="7">
        <v>1913.76</v>
      </c>
      <c r="N178" s="5">
        <v>9.0999999999999998E-2</v>
      </c>
      <c r="O178">
        <v>9</v>
      </c>
      <c r="P178" s="2">
        <f t="shared" si="18"/>
        <v>45180</v>
      </c>
      <c r="Q178" t="str">
        <f t="shared" si="19"/>
        <v>Ok</v>
      </c>
      <c r="R178">
        <f>ABS(Table2[[#This Row],[UnitPrice]])</f>
        <v>1913.76</v>
      </c>
      <c r="S178">
        <f t="shared" si="20"/>
        <v>15</v>
      </c>
      <c r="T178" s="12">
        <f t="shared" si="21"/>
        <v>15656.47056</v>
      </c>
      <c r="U178">
        <f>Table2[[#This Row],[UnitCost]]*Table2[[#This Row],[Quantity]]</f>
        <v>8494.11</v>
      </c>
      <c r="V178" s="13">
        <f t="shared" si="22"/>
        <v>7162.3605599999992</v>
      </c>
      <c r="W178" s="5">
        <f t="shared" si="23"/>
        <v>0.45746967891338081</v>
      </c>
      <c r="X178" s="17" t="str">
        <f t="shared" si="24"/>
        <v>Aug-2023</v>
      </c>
      <c r="Z178" t="str">
        <f t="shared" si="25"/>
        <v>Europe. United Kingdom. London</v>
      </c>
      <c r="AA178" t="str">
        <f t="shared" si="26"/>
        <v>High</v>
      </c>
      <c r="AB178" t="str">
        <f t="array" ref="AB178">TEXT(MIN(IF($E$2:$E$633=E178, $B$2:$B$633)), "YYYY-MM")</f>
        <v>2023-01</v>
      </c>
      <c r="AC178" s="13">
        <f>SUM($T$2:T178)</f>
        <v>3064974.8858200009</v>
      </c>
    </row>
    <row r="179" spans="1:29" x14ac:dyDescent="0.45">
      <c r="A179" t="s">
        <v>192</v>
      </c>
      <c r="B179" s="2">
        <v>45325</v>
      </c>
      <c r="C179" s="2">
        <v>45343</v>
      </c>
      <c r="D179" t="s">
        <v>649</v>
      </c>
      <c r="E179" t="s">
        <v>656</v>
      </c>
      <c r="F179" t="s">
        <v>698</v>
      </c>
      <c r="G179" t="s">
        <v>701</v>
      </c>
      <c r="H179" s="9" t="s">
        <v>707</v>
      </c>
      <c r="I179" s="9" t="s">
        <v>722</v>
      </c>
      <c r="J179" s="9" t="s">
        <v>727</v>
      </c>
      <c r="K179" t="s">
        <v>911</v>
      </c>
      <c r="L179" s="7">
        <v>39.229999999999997</v>
      </c>
      <c r="M179" s="7">
        <v>30.09</v>
      </c>
      <c r="N179" s="5">
        <v>0.17699999999999999</v>
      </c>
      <c r="O179">
        <v>13</v>
      </c>
      <c r="P179" s="2">
        <f t="shared" si="18"/>
        <v>45343</v>
      </c>
      <c r="Q179" t="str">
        <f t="shared" si="19"/>
        <v>Ok</v>
      </c>
      <c r="R179">
        <f>ABS(Table2[[#This Row],[UnitPrice]])</f>
        <v>30.09</v>
      </c>
      <c r="S179">
        <f t="shared" si="20"/>
        <v>18</v>
      </c>
      <c r="T179" s="12">
        <f t="shared" si="21"/>
        <v>321.93290999999999</v>
      </c>
      <c r="U179">
        <f>Table2[[#This Row],[UnitCost]]*Table2[[#This Row],[Quantity]]</f>
        <v>509.98999999999995</v>
      </c>
      <c r="V179" s="13">
        <f t="shared" si="22"/>
        <v>-188.05708999999996</v>
      </c>
      <c r="W179" s="5">
        <f t="shared" si="23"/>
        <v>-0.58414993981199359</v>
      </c>
      <c r="X179" s="17" t="str">
        <f t="shared" si="24"/>
        <v>Feb-2024</v>
      </c>
      <c r="Z179" t="str">
        <f t="shared" si="25"/>
        <v>Europe. Germany. Frankfurt</v>
      </c>
      <c r="AA179" t="str">
        <f t="shared" si="26"/>
        <v>Low</v>
      </c>
      <c r="AB179" t="str">
        <f t="array" ref="AB179">TEXT(MIN(IF($E$2:$E$633=E179, $B$2:$B$633)), "YYYY-MM")</f>
        <v>2023-01</v>
      </c>
      <c r="AC179" s="13">
        <f>SUM($T$2:T179)</f>
        <v>3065296.8187300009</v>
      </c>
    </row>
    <row r="180" spans="1:29" x14ac:dyDescent="0.45">
      <c r="A180" t="s">
        <v>193</v>
      </c>
      <c r="B180" s="2">
        <v>45021</v>
      </c>
      <c r="C180" s="2">
        <v>45032</v>
      </c>
      <c r="D180" t="s">
        <v>648</v>
      </c>
      <c r="E180" t="s">
        <v>653</v>
      </c>
      <c r="F180" t="s">
        <v>688</v>
      </c>
      <c r="G180" t="s">
        <v>703</v>
      </c>
      <c r="H180" s="9" t="s">
        <v>708</v>
      </c>
      <c r="I180" s="9" t="s">
        <v>719</v>
      </c>
      <c r="J180" s="9" t="s">
        <v>732</v>
      </c>
      <c r="K180" t="s">
        <v>912</v>
      </c>
      <c r="L180" s="7">
        <v>213.1</v>
      </c>
      <c r="M180" s="7">
        <v>501.31</v>
      </c>
      <c r="N180" s="5">
        <v>5.6000000000000001E-2</v>
      </c>
      <c r="O180">
        <v>15</v>
      </c>
      <c r="P180" s="2">
        <f t="shared" si="18"/>
        <v>45032</v>
      </c>
      <c r="Q180" t="str">
        <f t="shared" si="19"/>
        <v>Ok</v>
      </c>
      <c r="R180">
        <f>ABS(Table2[[#This Row],[UnitPrice]])</f>
        <v>501.31</v>
      </c>
      <c r="S180">
        <f t="shared" si="20"/>
        <v>11</v>
      </c>
      <c r="T180" s="12">
        <f t="shared" si="21"/>
        <v>7098.5495999999994</v>
      </c>
      <c r="U180">
        <f>Table2[[#This Row],[UnitCost]]*Table2[[#This Row],[Quantity]]</f>
        <v>3196.5</v>
      </c>
      <c r="V180" s="13">
        <f t="shared" si="22"/>
        <v>3902.0495999999994</v>
      </c>
      <c r="W180" s="5">
        <f t="shared" si="23"/>
        <v>0.54969674368409005</v>
      </c>
      <c r="X180" s="17" t="str">
        <f t="shared" si="24"/>
        <v>Apr-2023</v>
      </c>
      <c r="Z180" t="str">
        <f t="shared" si="25"/>
        <v>Americas. Canada. Vancouver</v>
      </c>
      <c r="AA180" t="str">
        <f t="shared" si="26"/>
        <v>Low</v>
      </c>
      <c r="AB180" t="str">
        <f t="array" ref="AB180">TEXT(MIN(IF($E$2:$E$633=E180, $B$2:$B$633)), "YYYY-MM")</f>
        <v>2023-01</v>
      </c>
      <c r="AC180" s="13">
        <f>SUM($T$2:T180)</f>
        <v>3072395.3683300009</v>
      </c>
    </row>
    <row r="181" spans="1:29" x14ac:dyDescent="0.45">
      <c r="A181" t="s">
        <v>194</v>
      </c>
      <c r="B181" s="2">
        <v>45890</v>
      </c>
      <c r="C181" s="2">
        <v>45912</v>
      </c>
      <c r="D181" t="s">
        <v>647</v>
      </c>
      <c r="E181" t="s">
        <v>659</v>
      </c>
      <c r="F181" t="s">
        <v>676</v>
      </c>
      <c r="G181" t="s">
        <v>702</v>
      </c>
      <c r="H181" s="9" t="s">
        <v>707</v>
      </c>
      <c r="I181" s="9" t="s">
        <v>717</v>
      </c>
      <c r="J181" s="9" t="s">
        <v>728</v>
      </c>
      <c r="K181" t="s">
        <v>913</v>
      </c>
      <c r="L181" s="7">
        <v>352.66</v>
      </c>
      <c r="M181" s="7">
        <v>411.18</v>
      </c>
      <c r="N181" s="5">
        <v>0.17299999999999999</v>
      </c>
      <c r="O181">
        <v>13</v>
      </c>
      <c r="P181" s="2">
        <f t="shared" si="18"/>
        <v>45912</v>
      </c>
      <c r="Q181" t="str">
        <f t="shared" si="19"/>
        <v>Ok</v>
      </c>
      <c r="R181">
        <f>ABS(Table2[[#This Row],[UnitPrice]])</f>
        <v>411.18</v>
      </c>
      <c r="S181">
        <f t="shared" si="20"/>
        <v>22</v>
      </c>
      <c r="T181" s="12">
        <f t="shared" si="21"/>
        <v>4420.5961799999995</v>
      </c>
      <c r="U181">
        <f>Table2[[#This Row],[UnitCost]]*Table2[[#This Row],[Quantity]]</f>
        <v>4584.58</v>
      </c>
      <c r="V181" s="13">
        <f t="shared" si="22"/>
        <v>-163.98382000000038</v>
      </c>
      <c r="W181" s="5">
        <f t="shared" si="23"/>
        <v>-3.7095408248758066E-2</v>
      </c>
      <c r="X181" s="17" t="str">
        <f t="shared" si="24"/>
        <v>Aug-2025</v>
      </c>
      <c r="Z181" t="str">
        <f t="shared" si="25"/>
        <v>Asia. China. Shenzhen</v>
      </c>
      <c r="AA181" t="str">
        <f t="shared" si="26"/>
        <v>Low</v>
      </c>
      <c r="AB181" t="str">
        <f t="array" ref="AB181">TEXT(MIN(IF($E$2:$E$633=E181, $B$2:$B$633)), "YYYY-MM")</f>
        <v>2023-01</v>
      </c>
      <c r="AC181" s="13">
        <f>SUM($T$2:T181)</f>
        <v>3076815.9645100008</v>
      </c>
    </row>
    <row r="182" spans="1:29" x14ac:dyDescent="0.45">
      <c r="A182" t="s">
        <v>195</v>
      </c>
      <c r="B182" s="2">
        <v>45915</v>
      </c>
      <c r="C182" s="2">
        <v>45918</v>
      </c>
      <c r="D182" t="s">
        <v>648</v>
      </c>
      <c r="E182" t="s">
        <v>655</v>
      </c>
      <c r="F182" t="s">
        <v>692</v>
      </c>
      <c r="G182" t="s">
        <v>703</v>
      </c>
      <c r="H182" s="9" t="s">
        <v>711</v>
      </c>
      <c r="I182" s="9" t="s">
        <v>716</v>
      </c>
      <c r="J182" s="9" t="s">
        <v>733</v>
      </c>
      <c r="K182" t="s">
        <v>914</v>
      </c>
      <c r="L182" s="7">
        <v>5.5</v>
      </c>
      <c r="M182" s="7">
        <v>5.92</v>
      </c>
      <c r="N182" s="5">
        <v>0.21199999999999999</v>
      </c>
      <c r="O182">
        <v>4</v>
      </c>
      <c r="P182" s="2">
        <f t="shared" si="18"/>
        <v>45918</v>
      </c>
      <c r="Q182" t="str">
        <f t="shared" si="19"/>
        <v>Ok</v>
      </c>
      <c r="R182">
        <f>ABS(Table2[[#This Row],[UnitPrice]])</f>
        <v>5.92</v>
      </c>
      <c r="S182">
        <f t="shared" si="20"/>
        <v>3</v>
      </c>
      <c r="T182" s="12">
        <f t="shared" si="21"/>
        <v>18.659839999999999</v>
      </c>
      <c r="U182">
        <f>Table2[[#This Row],[UnitCost]]*Table2[[#This Row],[Quantity]]</f>
        <v>22</v>
      </c>
      <c r="V182" s="13">
        <f t="shared" si="22"/>
        <v>-3.3401600000000009</v>
      </c>
      <c r="W182" s="5">
        <f t="shared" si="23"/>
        <v>-0.17900260666758133</v>
      </c>
      <c r="X182" s="17" t="str">
        <f t="shared" si="24"/>
        <v>Sep-2025</v>
      </c>
      <c r="Z182" t="str">
        <f t="shared" si="25"/>
        <v>Americas. Brazil. Rio de Janeiro</v>
      </c>
      <c r="AA182" t="str">
        <f t="shared" si="26"/>
        <v>Low</v>
      </c>
      <c r="AB182" t="str">
        <f t="array" ref="AB182">TEXT(MIN(IF($E$2:$E$633=E182, $B$2:$B$633)), "YYYY-MM")</f>
        <v>2023-01</v>
      </c>
      <c r="AC182" s="13">
        <f>SUM($T$2:T182)</f>
        <v>3076834.6243500006</v>
      </c>
    </row>
    <row r="183" spans="1:29" x14ac:dyDescent="0.45">
      <c r="A183" t="s">
        <v>196</v>
      </c>
      <c r="B183" s="2">
        <v>45568</v>
      </c>
      <c r="C183" s="2">
        <v>45576</v>
      </c>
      <c r="D183" t="s">
        <v>647</v>
      </c>
      <c r="E183" t="s">
        <v>659</v>
      </c>
      <c r="F183" t="s">
        <v>699</v>
      </c>
      <c r="G183" t="s">
        <v>706</v>
      </c>
      <c r="H183" s="9" t="s">
        <v>711</v>
      </c>
      <c r="I183" s="9" t="s">
        <v>717</v>
      </c>
      <c r="J183" s="9" t="s">
        <v>730</v>
      </c>
      <c r="K183" t="s">
        <v>915</v>
      </c>
      <c r="L183" s="7">
        <v>1132.6099999999999</v>
      </c>
      <c r="M183" s="7">
        <v>2206.63</v>
      </c>
      <c r="N183" s="5">
        <v>6.3E-2</v>
      </c>
      <c r="O183">
        <v>20</v>
      </c>
      <c r="P183" s="2">
        <f t="shared" si="18"/>
        <v>45576</v>
      </c>
      <c r="Q183" t="str">
        <f t="shared" si="19"/>
        <v>Ok</v>
      </c>
      <c r="R183">
        <f>ABS(Table2[[#This Row],[UnitPrice]])</f>
        <v>2206.63</v>
      </c>
      <c r="S183">
        <f t="shared" si="20"/>
        <v>8</v>
      </c>
      <c r="T183" s="12">
        <f t="shared" si="21"/>
        <v>41352.246200000009</v>
      </c>
      <c r="U183">
        <f>Table2[[#This Row],[UnitCost]]*Table2[[#This Row],[Quantity]]</f>
        <v>22652.199999999997</v>
      </c>
      <c r="V183" s="13">
        <f t="shared" si="22"/>
        <v>18700.046200000012</v>
      </c>
      <c r="W183" s="5">
        <f t="shared" si="23"/>
        <v>0.45221355351671338</v>
      </c>
      <c r="X183" s="17" t="str">
        <f t="shared" si="24"/>
        <v>Oct-2024</v>
      </c>
      <c r="Z183" t="str">
        <f t="shared" si="25"/>
        <v>Asia. China. Beijing</v>
      </c>
      <c r="AA183" t="str">
        <f t="shared" si="26"/>
        <v>High</v>
      </c>
      <c r="AB183" t="str">
        <f t="array" ref="AB183">TEXT(MIN(IF($E$2:$E$633=E183, $B$2:$B$633)), "YYYY-MM")</f>
        <v>2023-01</v>
      </c>
      <c r="AC183" s="13">
        <f>SUM($T$2:T183)</f>
        <v>3118186.8705500006</v>
      </c>
    </row>
    <row r="184" spans="1:29" x14ac:dyDescent="0.45">
      <c r="A184" t="s">
        <v>197</v>
      </c>
      <c r="B184" s="2">
        <v>45690</v>
      </c>
      <c r="C184" s="2">
        <v>45720</v>
      </c>
      <c r="D184" t="s">
        <v>647</v>
      </c>
      <c r="E184" t="s">
        <v>652</v>
      </c>
      <c r="F184" t="s">
        <v>666</v>
      </c>
      <c r="G184" t="s">
        <v>702</v>
      </c>
      <c r="H184" s="9" t="s">
        <v>710</v>
      </c>
      <c r="I184" s="9" t="s">
        <v>716</v>
      </c>
      <c r="J184" s="9" t="s">
        <v>733</v>
      </c>
      <c r="K184" t="s">
        <v>916</v>
      </c>
      <c r="L184" s="7">
        <v>766.59</v>
      </c>
      <c r="M184" s="7">
        <v>1912.8</v>
      </c>
      <c r="N184" s="5">
        <v>0.19600000000000001</v>
      </c>
      <c r="O184">
        <v>5</v>
      </c>
      <c r="P184" s="2">
        <f t="shared" si="18"/>
        <v>45720</v>
      </c>
      <c r="Q184" t="str">
        <f t="shared" si="19"/>
        <v>Ok</v>
      </c>
      <c r="R184">
        <f>ABS(Table2[[#This Row],[UnitPrice]])</f>
        <v>1912.8</v>
      </c>
      <c r="S184">
        <f t="shared" si="20"/>
        <v>30</v>
      </c>
      <c r="T184" s="12">
        <f t="shared" si="21"/>
        <v>7689.4560000000001</v>
      </c>
      <c r="U184">
        <f>Table2[[#This Row],[UnitCost]]*Table2[[#This Row],[Quantity]]</f>
        <v>3832.9500000000003</v>
      </c>
      <c r="V184" s="13">
        <f t="shared" si="22"/>
        <v>3856.5059999999999</v>
      </c>
      <c r="W184" s="5">
        <f t="shared" si="23"/>
        <v>0.50153170783472845</v>
      </c>
      <c r="X184" s="17" t="str">
        <f t="shared" si="24"/>
        <v>Feb-2025</v>
      </c>
      <c r="Z184" t="str">
        <f t="shared" si="25"/>
        <v>Asia. Japan. Osaka</v>
      </c>
      <c r="AA184" t="str">
        <f t="shared" si="26"/>
        <v>High</v>
      </c>
      <c r="AB184" t="str">
        <f t="array" ref="AB184">TEXT(MIN(IF($E$2:$E$633=E184, $B$2:$B$633)), "YYYY-MM")</f>
        <v>2023-03</v>
      </c>
      <c r="AC184" s="13">
        <f>SUM($T$2:T184)</f>
        <v>3125876.3265500003</v>
      </c>
    </row>
    <row r="185" spans="1:29" x14ac:dyDescent="0.45">
      <c r="A185" t="s">
        <v>198</v>
      </c>
      <c r="B185" s="2">
        <v>45157</v>
      </c>
      <c r="C185" s="2">
        <v>45161</v>
      </c>
      <c r="D185" t="s">
        <v>646</v>
      </c>
      <c r="E185" t="s">
        <v>651</v>
      </c>
      <c r="F185" t="s">
        <v>669</v>
      </c>
      <c r="G185" t="s">
        <v>705</v>
      </c>
      <c r="H185" s="9" t="s">
        <v>708</v>
      </c>
      <c r="I185" s="9" t="s">
        <v>713</v>
      </c>
      <c r="J185" s="9" t="s">
        <v>732</v>
      </c>
      <c r="K185" t="s">
        <v>917</v>
      </c>
      <c r="L185" s="7">
        <v>790.63</v>
      </c>
      <c r="M185" s="7">
        <v>1382.31</v>
      </c>
      <c r="N185" s="5">
        <v>0.10100000000000001</v>
      </c>
      <c r="O185">
        <v>7</v>
      </c>
      <c r="P185" s="2">
        <f t="shared" si="18"/>
        <v>45161</v>
      </c>
      <c r="Q185" t="str">
        <f t="shared" si="19"/>
        <v>Ok</v>
      </c>
      <c r="R185">
        <f>ABS(Table2[[#This Row],[UnitPrice]])</f>
        <v>1382.31</v>
      </c>
      <c r="S185">
        <f t="shared" si="20"/>
        <v>4</v>
      </c>
      <c r="T185" s="12">
        <f t="shared" si="21"/>
        <v>8698.8768300000011</v>
      </c>
      <c r="U185">
        <f>Table2[[#This Row],[UnitCost]]*Table2[[#This Row],[Quantity]]</f>
        <v>5534.41</v>
      </c>
      <c r="V185" s="13">
        <f t="shared" si="22"/>
        <v>3164.4668300000012</v>
      </c>
      <c r="W185" s="5">
        <f t="shared" si="23"/>
        <v>0.36377878338116448</v>
      </c>
      <c r="X185" s="17" t="str">
        <f t="shared" si="24"/>
        <v>Aug-2023</v>
      </c>
      <c r="Z185" t="str">
        <f t="shared" si="25"/>
        <v>Africa. Nigeria. Abuja</v>
      </c>
      <c r="AA185" t="str">
        <f t="shared" si="26"/>
        <v>High</v>
      </c>
      <c r="AB185" t="str">
        <f t="array" ref="AB185">TEXT(MIN(IF($E$2:$E$633=E185, $B$2:$B$633)), "YYYY-MM")</f>
        <v>2023-01</v>
      </c>
      <c r="AC185" s="13">
        <f>SUM($T$2:T185)</f>
        <v>3134575.2033800003</v>
      </c>
    </row>
    <row r="186" spans="1:29" x14ac:dyDescent="0.45">
      <c r="A186" t="s">
        <v>199</v>
      </c>
      <c r="B186" s="2">
        <v>45587</v>
      </c>
      <c r="C186" s="2">
        <v>45594</v>
      </c>
      <c r="D186" t="s">
        <v>646</v>
      </c>
      <c r="E186" t="s">
        <v>651</v>
      </c>
      <c r="F186" t="s">
        <v>663</v>
      </c>
      <c r="G186" t="s">
        <v>706</v>
      </c>
      <c r="H186" s="9" t="s">
        <v>710</v>
      </c>
      <c r="I186" s="9" t="s">
        <v>724</v>
      </c>
      <c r="J186" s="9" t="s">
        <v>732</v>
      </c>
      <c r="K186" t="s">
        <v>918</v>
      </c>
      <c r="L186" s="7">
        <v>1023.06</v>
      </c>
      <c r="M186" s="7">
        <v>1355.61</v>
      </c>
      <c r="N186" s="5">
        <v>0.153</v>
      </c>
      <c r="O186">
        <v>23</v>
      </c>
      <c r="P186" s="2">
        <f t="shared" si="18"/>
        <v>45594</v>
      </c>
      <c r="Q186" t="str">
        <f t="shared" si="19"/>
        <v>Ok</v>
      </c>
      <c r="R186">
        <f>ABS(Table2[[#This Row],[UnitPrice]])</f>
        <v>1355.61</v>
      </c>
      <c r="S186">
        <f t="shared" si="20"/>
        <v>7</v>
      </c>
      <c r="T186" s="12">
        <f t="shared" si="21"/>
        <v>26408.63841</v>
      </c>
      <c r="U186">
        <f>Table2[[#This Row],[UnitCost]]*Table2[[#This Row],[Quantity]]</f>
        <v>23530.379999999997</v>
      </c>
      <c r="V186" s="13">
        <f t="shared" si="22"/>
        <v>2878.2584100000022</v>
      </c>
      <c r="W186" s="5">
        <f t="shared" si="23"/>
        <v>0.10898927711888809</v>
      </c>
      <c r="X186" s="17" t="str">
        <f t="shared" si="24"/>
        <v>Oct-2024</v>
      </c>
      <c r="Z186" t="str">
        <f t="shared" si="25"/>
        <v>Africa. Nigeria. Port Harcourt</v>
      </c>
      <c r="AA186" t="str">
        <f t="shared" si="26"/>
        <v>High</v>
      </c>
      <c r="AB186" t="str">
        <f t="array" ref="AB186">TEXT(MIN(IF($E$2:$E$633=E186, $B$2:$B$633)), "YYYY-MM")</f>
        <v>2023-01</v>
      </c>
      <c r="AC186" s="13">
        <f>SUM($T$2:T186)</f>
        <v>3160983.8417900004</v>
      </c>
    </row>
    <row r="187" spans="1:29" x14ac:dyDescent="0.45">
      <c r="A187" t="s">
        <v>200</v>
      </c>
      <c r="B187" s="2">
        <v>45099</v>
      </c>
      <c r="C187" s="2">
        <v>45128</v>
      </c>
      <c r="D187" t="s">
        <v>649</v>
      </c>
      <c r="E187" t="s">
        <v>657</v>
      </c>
      <c r="F187" t="s">
        <v>679</v>
      </c>
      <c r="G187" t="s">
        <v>701</v>
      </c>
      <c r="H187" s="9" t="s">
        <v>707</v>
      </c>
      <c r="I187" s="9" t="s">
        <v>713</v>
      </c>
      <c r="J187" s="9" t="s">
        <v>733</v>
      </c>
      <c r="K187" t="s">
        <v>919</v>
      </c>
      <c r="L187" s="7">
        <v>734.34</v>
      </c>
      <c r="M187" s="7">
        <v>887.9</v>
      </c>
      <c r="N187" s="5">
        <v>2.5000000000000001E-2</v>
      </c>
      <c r="O187">
        <v>12</v>
      </c>
      <c r="P187" s="2">
        <f t="shared" si="18"/>
        <v>45128</v>
      </c>
      <c r="Q187" t="str">
        <f t="shared" si="19"/>
        <v>Ok</v>
      </c>
      <c r="R187">
        <f>ABS(Table2[[#This Row],[UnitPrice]])</f>
        <v>887.9</v>
      </c>
      <c r="S187">
        <f t="shared" si="20"/>
        <v>29</v>
      </c>
      <c r="T187" s="12">
        <f t="shared" si="21"/>
        <v>10388.429999999998</v>
      </c>
      <c r="U187">
        <f>Table2[[#This Row],[UnitCost]]*Table2[[#This Row],[Quantity]]</f>
        <v>8812.08</v>
      </c>
      <c r="V187" s="13">
        <f t="shared" si="22"/>
        <v>1576.3499999999985</v>
      </c>
      <c r="W187" s="5">
        <f t="shared" si="23"/>
        <v>0.15174092716608753</v>
      </c>
      <c r="X187" s="17" t="str">
        <f t="shared" si="24"/>
        <v>Jun-2023</v>
      </c>
      <c r="Z187" t="str">
        <f t="shared" si="25"/>
        <v>Europe. France. Lyon</v>
      </c>
      <c r="AA187" t="str">
        <f t="shared" si="26"/>
        <v>Low</v>
      </c>
      <c r="AB187" t="str">
        <f t="array" ref="AB187">TEXT(MIN(IF($E$2:$E$633=E187, $B$2:$B$633)), "YYYY-MM")</f>
        <v>2023-01</v>
      </c>
      <c r="AC187" s="13">
        <f>SUM($T$2:T187)</f>
        <v>3171372.2717900006</v>
      </c>
    </row>
    <row r="188" spans="1:29" x14ac:dyDescent="0.45">
      <c r="A188" t="s">
        <v>201</v>
      </c>
      <c r="B188" s="2">
        <v>45670</v>
      </c>
      <c r="C188" s="2">
        <v>45696</v>
      </c>
      <c r="D188" t="s">
        <v>649</v>
      </c>
      <c r="E188" t="s">
        <v>657</v>
      </c>
      <c r="F188" t="s">
        <v>690</v>
      </c>
      <c r="G188" t="s">
        <v>703</v>
      </c>
      <c r="H188" s="9" t="s">
        <v>1422</v>
      </c>
      <c r="I188" s="9" t="s">
        <v>718</v>
      </c>
      <c r="J188" s="9" t="s">
        <v>732</v>
      </c>
      <c r="K188" t="s">
        <v>920</v>
      </c>
      <c r="L188" s="7">
        <v>594.74</v>
      </c>
      <c r="M188" s="7">
        <v>1020.69</v>
      </c>
      <c r="N188" s="5">
        <v>0.21099999999999999</v>
      </c>
      <c r="O188">
        <v>6</v>
      </c>
      <c r="P188" s="2">
        <f t="shared" si="18"/>
        <v>45696</v>
      </c>
      <c r="Q188" t="str">
        <f t="shared" si="19"/>
        <v>Ok</v>
      </c>
      <c r="R188">
        <f>ABS(Table2[[#This Row],[UnitPrice]])</f>
        <v>1020.69</v>
      </c>
      <c r="S188">
        <f t="shared" si="20"/>
        <v>26</v>
      </c>
      <c r="T188" s="12">
        <f t="shared" si="21"/>
        <v>4831.9464600000001</v>
      </c>
      <c r="U188">
        <f>Table2[[#This Row],[UnitCost]]*Table2[[#This Row],[Quantity]]</f>
        <v>3568.44</v>
      </c>
      <c r="V188" s="13">
        <f t="shared" si="22"/>
        <v>1263.5064600000001</v>
      </c>
      <c r="W188" s="5">
        <f t="shared" si="23"/>
        <v>0.26149016146176424</v>
      </c>
      <c r="X188" s="17" t="str">
        <f t="shared" si="24"/>
        <v>Jan-2025</v>
      </c>
      <c r="Z188" t="str">
        <f t="shared" si="25"/>
        <v>Europe. France. Paris</v>
      </c>
      <c r="AA188" t="str">
        <f t="shared" si="26"/>
        <v>Low</v>
      </c>
      <c r="AB188" t="str">
        <f t="array" ref="AB188">TEXT(MIN(IF($E$2:$E$633=E188, $B$2:$B$633)), "YYYY-MM")</f>
        <v>2023-01</v>
      </c>
      <c r="AC188" s="13">
        <f>SUM($T$2:T188)</f>
        <v>3176204.2182500004</v>
      </c>
    </row>
    <row r="189" spans="1:29" x14ac:dyDescent="0.45">
      <c r="A189" t="s">
        <v>144</v>
      </c>
      <c r="B189" s="2">
        <v>44955</v>
      </c>
      <c r="C189" s="2">
        <v>44985</v>
      </c>
      <c r="D189" t="s">
        <v>647</v>
      </c>
      <c r="E189" t="s">
        <v>654</v>
      </c>
      <c r="F189" t="s">
        <v>668</v>
      </c>
      <c r="G189" t="s">
        <v>703</v>
      </c>
      <c r="H189" s="9" t="s">
        <v>707</v>
      </c>
      <c r="I189" s="9" t="s">
        <v>717</v>
      </c>
      <c r="J189" s="9" t="s">
        <v>733</v>
      </c>
      <c r="K189" t="s">
        <v>921</v>
      </c>
      <c r="L189" s="7">
        <v>1262.0999999999999</v>
      </c>
      <c r="M189" s="7">
        <v>1395.53</v>
      </c>
      <c r="N189" s="5">
        <v>0.23300000000000001</v>
      </c>
      <c r="O189">
        <v>25</v>
      </c>
      <c r="P189" s="2">
        <f t="shared" si="18"/>
        <v>44985</v>
      </c>
      <c r="Q189" t="str">
        <f t="shared" si="19"/>
        <v>Ok</v>
      </c>
      <c r="R189">
        <f>ABS(Table2[[#This Row],[UnitPrice]])</f>
        <v>1395.53</v>
      </c>
      <c r="S189">
        <f t="shared" si="20"/>
        <v>30</v>
      </c>
      <c r="T189" s="12">
        <f t="shared" si="21"/>
        <v>26759.28775</v>
      </c>
      <c r="U189">
        <f>Table2[[#This Row],[UnitCost]]*Table2[[#This Row],[Quantity]]</f>
        <v>31552.499999999996</v>
      </c>
      <c r="V189" s="13">
        <f t="shared" si="22"/>
        <v>-4793.2122499999969</v>
      </c>
      <c r="W189" s="5">
        <f t="shared" si="23"/>
        <v>-0.17912331205452198</v>
      </c>
      <c r="X189" s="17" t="str">
        <f t="shared" si="24"/>
        <v>Jan-2023</v>
      </c>
      <c r="Z189" t="str">
        <f t="shared" si="25"/>
        <v>Asia. India. Bengaluru</v>
      </c>
      <c r="AA189" t="str">
        <f t="shared" si="26"/>
        <v>High</v>
      </c>
      <c r="AB189" t="str">
        <f t="array" ref="AB189">TEXT(MIN(IF($E$2:$E$633=E189, $B$2:$B$633)), "YYYY-MM")</f>
        <v>2023-01</v>
      </c>
      <c r="AC189" s="13">
        <f>SUM($T$2:T189)</f>
        <v>3202963.5060000005</v>
      </c>
    </row>
    <row r="190" spans="1:29" x14ac:dyDescent="0.45">
      <c r="A190" t="s">
        <v>202</v>
      </c>
      <c r="B190" s="2">
        <v>45126</v>
      </c>
      <c r="C190" s="2">
        <v>45138</v>
      </c>
      <c r="D190" t="s">
        <v>648</v>
      </c>
      <c r="E190" t="s">
        <v>655</v>
      </c>
      <c r="F190" t="s">
        <v>692</v>
      </c>
      <c r="G190" t="s">
        <v>701</v>
      </c>
      <c r="H190" s="9" t="s">
        <v>707</v>
      </c>
      <c r="I190" s="9" t="s">
        <v>712</v>
      </c>
      <c r="J190" s="9" t="s">
        <v>732</v>
      </c>
      <c r="K190" t="s">
        <v>922</v>
      </c>
      <c r="L190" s="7">
        <v>1334.64</v>
      </c>
      <c r="M190" s="7">
        <v>2273.42</v>
      </c>
      <c r="N190" s="5">
        <v>0.11799999999999999</v>
      </c>
      <c r="O190">
        <v>14</v>
      </c>
      <c r="P190" s="2">
        <f t="shared" si="18"/>
        <v>45138</v>
      </c>
      <c r="Q190" t="str">
        <f t="shared" si="19"/>
        <v>Ok</v>
      </c>
      <c r="R190">
        <f>ABS(Table2[[#This Row],[UnitPrice]])</f>
        <v>2273.42</v>
      </c>
      <c r="S190">
        <f t="shared" si="20"/>
        <v>12</v>
      </c>
      <c r="T190" s="12">
        <f t="shared" si="21"/>
        <v>28072.190160000002</v>
      </c>
      <c r="U190">
        <f>Table2[[#This Row],[UnitCost]]*Table2[[#This Row],[Quantity]]</f>
        <v>18684.960000000003</v>
      </c>
      <c r="V190" s="13">
        <f t="shared" si="22"/>
        <v>9387.2301599999992</v>
      </c>
      <c r="W190" s="5">
        <f t="shared" si="23"/>
        <v>0.33439607335575267</v>
      </c>
      <c r="X190" s="17" t="str">
        <f t="shared" si="24"/>
        <v>Jul-2023</v>
      </c>
      <c r="Z190" t="str">
        <f t="shared" si="25"/>
        <v>Americas. Brazil. Rio de Janeiro</v>
      </c>
      <c r="AA190" t="str">
        <f t="shared" si="26"/>
        <v>High</v>
      </c>
      <c r="AB190" t="str">
        <f t="array" ref="AB190">TEXT(MIN(IF($E$2:$E$633=E190, $B$2:$B$633)), "YYYY-MM")</f>
        <v>2023-01</v>
      </c>
      <c r="AC190" s="13">
        <f>SUM($T$2:T190)</f>
        <v>3231035.6961600007</v>
      </c>
    </row>
    <row r="191" spans="1:29" x14ac:dyDescent="0.45">
      <c r="A191" t="s">
        <v>203</v>
      </c>
      <c r="B191" s="2">
        <v>45431</v>
      </c>
      <c r="C191" s="2">
        <v>45451</v>
      </c>
      <c r="D191" t="s">
        <v>648</v>
      </c>
      <c r="E191" t="s">
        <v>655</v>
      </c>
      <c r="F191" t="s">
        <v>672</v>
      </c>
      <c r="G191" t="s">
        <v>705</v>
      </c>
      <c r="H191" s="9" t="s">
        <v>707</v>
      </c>
      <c r="I191" s="9" t="s">
        <v>718</v>
      </c>
      <c r="J191" s="9" t="s">
        <v>732</v>
      </c>
      <c r="K191" t="s">
        <v>923</v>
      </c>
      <c r="L191" s="7">
        <v>1075.9000000000001</v>
      </c>
      <c r="M191" s="7">
        <v>1242.1500000000001</v>
      </c>
      <c r="N191" s="5">
        <v>1.2E-2</v>
      </c>
      <c r="O191">
        <v>7</v>
      </c>
      <c r="P191" s="2">
        <f t="shared" si="18"/>
        <v>45451</v>
      </c>
      <c r="Q191" t="str">
        <f t="shared" si="19"/>
        <v>Ok</v>
      </c>
      <c r="R191">
        <f>ABS(Table2[[#This Row],[UnitPrice]])</f>
        <v>1242.1500000000001</v>
      </c>
      <c r="S191">
        <f t="shared" si="20"/>
        <v>20</v>
      </c>
      <c r="T191" s="12">
        <f t="shared" si="21"/>
        <v>8590.7094000000016</v>
      </c>
      <c r="U191">
        <f>Table2[[#This Row],[UnitCost]]*Table2[[#This Row],[Quantity]]</f>
        <v>7531.3000000000011</v>
      </c>
      <c r="V191" s="13">
        <f t="shared" si="22"/>
        <v>1059.4094000000005</v>
      </c>
      <c r="W191" s="5">
        <f t="shared" si="23"/>
        <v>0.12332036280961853</v>
      </c>
      <c r="X191" s="17" t="str">
        <f t="shared" si="24"/>
        <v>May-2024</v>
      </c>
      <c r="Z191" t="str">
        <f t="shared" si="25"/>
        <v>Americas. Brazil. Brasília</v>
      </c>
      <c r="AA191" t="str">
        <f t="shared" si="26"/>
        <v>High</v>
      </c>
      <c r="AB191" t="str">
        <f t="array" ref="AB191">TEXT(MIN(IF($E$2:$E$633=E191, $B$2:$B$633)), "YYYY-MM")</f>
        <v>2023-01</v>
      </c>
      <c r="AC191" s="13">
        <f>SUM($T$2:T191)</f>
        <v>3239626.4055600008</v>
      </c>
    </row>
    <row r="192" spans="1:29" x14ac:dyDescent="0.45">
      <c r="A192" t="s">
        <v>204</v>
      </c>
      <c r="B192" s="2">
        <v>45325</v>
      </c>
      <c r="C192" s="2">
        <v>45341</v>
      </c>
      <c r="D192" t="s">
        <v>647</v>
      </c>
      <c r="E192" t="s">
        <v>659</v>
      </c>
      <c r="F192" t="s">
        <v>676</v>
      </c>
      <c r="G192" t="s">
        <v>705</v>
      </c>
      <c r="H192" s="9" t="s">
        <v>708</v>
      </c>
      <c r="I192" s="9" t="s">
        <v>722</v>
      </c>
      <c r="J192" s="9" t="s">
        <v>731</v>
      </c>
      <c r="K192" t="s">
        <v>924</v>
      </c>
      <c r="L192" s="7">
        <v>993.75</v>
      </c>
      <c r="M192" s="7">
        <v>1310.29</v>
      </c>
      <c r="N192" s="5">
        <v>0.215</v>
      </c>
      <c r="O192">
        <v>19</v>
      </c>
      <c r="P192" s="2">
        <f t="shared" si="18"/>
        <v>45341</v>
      </c>
      <c r="Q192" t="str">
        <f t="shared" si="19"/>
        <v>Ok</v>
      </c>
      <c r="R192">
        <f>ABS(Table2[[#This Row],[UnitPrice]])</f>
        <v>1310.29</v>
      </c>
      <c r="S192">
        <f t="shared" si="20"/>
        <v>16</v>
      </c>
      <c r="T192" s="12">
        <f t="shared" si="21"/>
        <v>19542.975350000001</v>
      </c>
      <c r="U192">
        <f>Table2[[#This Row],[UnitCost]]*Table2[[#This Row],[Quantity]]</f>
        <v>18881.25</v>
      </c>
      <c r="V192" s="13">
        <f t="shared" si="22"/>
        <v>661.72535000000062</v>
      </c>
      <c r="W192" s="5">
        <f t="shared" si="23"/>
        <v>3.3860010471742245E-2</v>
      </c>
      <c r="X192" s="17" t="str">
        <f t="shared" si="24"/>
        <v>Feb-2024</v>
      </c>
      <c r="Z192" t="str">
        <f t="shared" si="25"/>
        <v>Asia. China. Shenzhen</v>
      </c>
      <c r="AA192" t="str">
        <f t="shared" si="26"/>
        <v>High</v>
      </c>
      <c r="AB192" t="str">
        <f t="array" ref="AB192">TEXT(MIN(IF($E$2:$E$633=E192, $B$2:$B$633)), "YYYY-MM")</f>
        <v>2023-01</v>
      </c>
      <c r="AC192" s="13">
        <f>SUM($T$2:T192)</f>
        <v>3259169.3809100008</v>
      </c>
    </row>
    <row r="193" spans="1:29" x14ac:dyDescent="0.45">
      <c r="A193" t="s">
        <v>205</v>
      </c>
      <c r="B193" s="2">
        <v>45146</v>
      </c>
      <c r="C193" s="2">
        <v>45160</v>
      </c>
      <c r="D193" t="s">
        <v>649</v>
      </c>
      <c r="E193" t="s">
        <v>658</v>
      </c>
      <c r="F193" t="s">
        <v>674</v>
      </c>
      <c r="G193" t="s">
        <v>703</v>
      </c>
      <c r="H193" s="9" t="s">
        <v>711</v>
      </c>
      <c r="I193" s="9" t="s">
        <v>725</v>
      </c>
      <c r="J193" s="9" t="s">
        <v>732</v>
      </c>
      <c r="K193" t="s">
        <v>925</v>
      </c>
      <c r="L193" s="7">
        <v>446.69</v>
      </c>
      <c r="M193" s="7">
        <v>967.25</v>
      </c>
      <c r="N193" s="5">
        <v>9.4E-2</v>
      </c>
      <c r="O193">
        <v>10</v>
      </c>
      <c r="P193" s="2">
        <f t="shared" si="18"/>
        <v>45160</v>
      </c>
      <c r="Q193" t="str">
        <f t="shared" si="19"/>
        <v>Ok</v>
      </c>
      <c r="R193">
        <f>ABS(Table2[[#This Row],[UnitPrice]])</f>
        <v>967.25</v>
      </c>
      <c r="S193">
        <f t="shared" si="20"/>
        <v>14</v>
      </c>
      <c r="T193" s="12">
        <f t="shared" si="21"/>
        <v>8763.2849999999999</v>
      </c>
      <c r="U193">
        <f>Table2[[#This Row],[UnitCost]]*Table2[[#This Row],[Quantity]]</f>
        <v>4466.8999999999996</v>
      </c>
      <c r="V193" s="13">
        <f t="shared" si="22"/>
        <v>4296.3850000000002</v>
      </c>
      <c r="W193" s="5">
        <f t="shared" si="23"/>
        <v>0.49027105702941309</v>
      </c>
      <c r="X193" s="17" t="str">
        <f t="shared" si="24"/>
        <v>Aug-2023</v>
      </c>
      <c r="Z193" t="str">
        <f t="shared" si="25"/>
        <v>Europe. United Kingdom. Birmingham</v>
      </c>
      <c r="AA193" t="str">
        <f t="shared" si="26"/>
        <v>Low</v>
      </c>
      <c r="AB193" t="str">
        <f t="array" ref="AB193">TEXT(MIN(IF($E$2:$E$633=E193, $B$2:$B$633)), "YYYY-MM")</f>
        <v>2023-01</v>
      </c>
      <c r="AC193" s="13">
        <f>SUM($T$2:T193)</f>
        <v>3267932.6659100009</v>
      </c>
    </row>
    <row r="194" spans="1:29" x14ac:dyDescent="0.45">
      <c r="A194" t="s">
        <v>206</v>
      </c>
      <c r="B194" s="2">
        <v>45516</v>
      </c>
      <c r="C194" s="2">
        <v>45538</v>
      </c>
      <c r="D194" t="s">
        <v>648</v>
      </c>
      <c r="E194" t="s">
        <v>660</v>
      </c>
      <c r="F194" t="s">
        <v>697</v>
      </c>
      <c r="G194" t="s">
        <v>704</v>
      </c>
      <c r="H194" s="9" t="s">
        <v>710</v>
      </c>
      <c r="I194" s="9" t="s">
        <v>714</v>
      </c>
      <c r="J194" s="9" t="s">
        <v>731</v>
      </c>
      <c r="K194" t="s">
        <v>926</v>
      </c>
      <c r="L194" s="7">
        <v>797.8</v>
      </c>
      <c r="M194" s="7">
        <v>886.22</v>
      </c>
      <c r="N194" s="5">
        <v>0.23599999999999999</v>
      </c>
      <c r="O194">
        <v>36</v>
      </c>
      <c r="P194" s="2">
        <f t="shared" ref="P194:P257" si="27">IF(C194&lt;B194,B194+7,C194)</f>
        <v>45538</v>
      </c>
      <c r="Q194" t="str">
        <f t="shared" ref="Q194:Q257" si="28">IF(M194&lt;0, "Invalid Price","Ok")</f>
        <v>Ok</v>
      </c>
      <c r="R194">
        <f>ABS(Table2[[#This Row],[UnitPrice]])</f>
        <v>886.22</v>
      </c>
      <c r="S194">
        <f t="shared" si="20"/>
        <v>22</v>
      </c>
      <c r="T194" s="12">
        <f t="shared" si="21"/>
        <v>24374.594880000001</v>
      </c>
      <c r="U194">
        <f>Table2[[#This Row],[UnitCost]]*Table2[[#This Row],[Quantity]]</f>
        <v>28720.799999999999</v>
      </c>
      <c r="V194" s="13">
        <f t="shared" si="22"/>
        <v>-4346.2051199999987</v>
      </c>
      <c r="W194" s="5">
        <f t="shared" si="23"/>
        <v>-0.17830881462428633</v>
      </c>
      <c r="X194" s="17" t="str">
        <f t="shared" si="24"/>
        <v>Aug-2024</v>
      </c>
      <c r="Z194" t="str">
        <f t="shared" si="25"/>
        <v>Americas. USA. Austin</v>
      </c>
      <c r="AA194" t="str">
        <f t="shared" si="26"/>
        <v>Low</v>
      </c>
      <c r="AB194" t="str">
        <f t="array" ref="AB194">TEXT(MIN(IF($E$2:$E$633=E194, $B$2:$B$633)), "YYYY-MM")</f>
        <v>2023-01</v>
      </c>
      <c r="AC194" s="13">
        <f>SUM($T$2:T194)</f>
        <v>3292307.2607900011</v>
      </c>
    </row>
    <row r="195" spans="1:29" x14ac:dyDescent="0.45">
      <c r="A195" t="s">
        <v>207</v>
      </c>
      <c r="B195" s="2">
        <v>45214</v>
      </c>
      <c r="C195" s="2">
        <v>45243</v>
      </c>
      <c r="D195" t="s">
        <v>647</v>
      </c>
      <c r="E195" t="s">
        <v>659</v>
      </c>
      <c r="F195" t="s">
        <v>676</v>
      </c>
      <c r="G195" t="s">
        <v>703</v>
      </c>
      <c r="H195" s="9" t="s">
        <v>710</v>
      </c>
      <c r="I195" s="9" t="s">
        <v>713</v>
      </c>
      <c r="J195" s="9" t="s">
        <v>728</v>
      </c>
      <c r="K195" t="s">
        <v>927</v>
      </c>
      <c r="L195" s="7">
        <v>986.44</v>
      </c>
      <c r="M195" s="7">
        <v>790.61</v>
      </c>
      <c r="N195" s="5">
        <v>7.1999999999999995E-2</v>
      </c>
      <c r="O195">
        <v>6</v>
      </c>
      <c r="P195" s="2">
        <f t="shared" si="27"/>
        <v>45243</v>
      </c>
      <c r="Q195" t="str">
        <f t="shared" si="28"/>
        <v>Ok</v>
      </c>
      <c r="R195">
        <f>ABS(Table2[[#This Row],[UnitPrice]])</f>
        <v>790.61</v>
      </c>
      <c r="S195">
        <f t="shared" ref="S195:S258" si="29">P195-B195</f>
        <v>29</v>
      </c>
      <c r="T195" s="12">
        <f t="shared" ref="T195:T258" si="30">R195*O195*(1-N195)</f>
        <v>4402.1164799999997</v>
      </c>
      <c r="U195">
        <f>Table2[[#This Row],[UnitCost]]*Table2[[#This Row],[Quantity]]</f>
        <v>5918.64</v>
      </c>
      <c r="V195" s="13">
        <f t="shared" ref="V195:V258" si="31">T195-U195</f>
        <v>-1516.5235200000006</v>
      </c>
      <c r="W195" s="5">
        <f t="shared" ref="W195:W258" si="32">IF(V195=0,0,V195/T195)</f>
        <v>-0.34449872621271499</v>
      </c>
      <c r="X195" s="17" t="str">
        <f t="shared" ref="X195:X258" si="33">TEXT(B195,"mmm-yyyy")</f>
        <v>Oct-2023</v>
      </c>
      <c r="Z195" t="str">
        <f t="shared" ref="Z195:Z258" si="34">CONCATENATE(D195,". ",E195,". ",F195)</f>
        <v>Asia. China. Shenzhen</v>
      </c>
      <c r="AA195" t="str">
        <f t="shared" ref="AA195:AA258" si="35">IF(M195&lt;1193.87, "Low",IF(M195&gt;1193.87,"High","Medium"))</f>
        <v>Low</v>
      </c>
      <c r="AB195" t="str">
        <f t="array" ref="AB195">TEXT(MIN(IF($E$2:$E$633=E195, $B$2:$B$633)), "YYYY-MM")</f>
        <v>2023-01</v>
      </c>
      <c r="AC195" s="13">
        <f>SUM($T$2:T195)</f>
        <v>3296709.377270001</v>
      </c>
    </row>
    <row r="196" spans="1:29" x14ac:dyDescent="0.45">
      <c r="A196" t="s">
        <v>208</v>
      </c>
      <c r="B196" s="2">
        <v>45050</v>
      </c>
      <c r="C196" s="2">
        <v>45072</v>
      </c>
      <c r="D196" t="s">
        <v>648</v>
      </c>
      <c r="E196" t="s">
        <v>660</v>
      </c>
      <c r="F196" t="s">
        <v>686</v>
      </c>
      <c r="G196" t="s">
        <v>706</v>
      </c>
      <c r="H196" s="9" t="s">
        <v>708</v>
      </c>
      <c r="I196" s="9" t="s">
        <v>713</v>
      </c>
      <c r="J196" s="9" t="s">
        <v>729</v>
      </c>
      <c r="K196" t="s">
        <v>928</v>
      </c>
      <c r="L196" s="7">
        <v>249.71</v>
      </c>
      <c r="M196" s="7">
        <v>361.33</v>
      </c>
      <c r="N196" s="5">
        <v>9.4E-2</v>
      </c>
      <c r="O196">
        <v>12</v>
      </c>
      <c r="P196" s="2">
        <f t="shared" si="27"/>
        <v>45072</v>
      </c>
      <c r="Q196" t="str">
        <f t="shared" si="28"/>
        <v>Ok</v>
      </c>
      <c r="R196">
        <f>ABS(Table2[[#This Row],[UnitPrice]])</f>
        <v>361.33</v>
      </c>
      <c r="S196">
        <f t="shared" si="29"/>
        <v>22</v>
      </c>
      <c r="T196" s="12">
        <f t="shared" si="30"/>
        <v>3928.3797600000003</v>
      </c>
      <c r="U196">
        <f>Table2[[#This Row],[UnitCost]]*Table2[[#This Row],[Quantity]]</f>
        <v>2996.52</v>
      </c>
      <c r="V196" s="13">
        <f t="shared" si="31"/>
        <v>931.85976000000028</v>
      </c>
      <c r="W196" s="5">
        <f t="shared" si="32"/>
        <v>0.23721223937881206</v>
      </c>
      <c r="X196" s="17" t="str">
        <f t="shared" si="33"/>
        <v>May-2023</v>
      </c>
      <c r="Z196" t="str">
        <f t="shared" si="34"/>
        <v>Americas. USA. San Francisco</v>
      </c>
      <c r="AA196" t="str">
        <f t="shared" si="35"/>
        <v>Low</v>
      </c>
      <c r="AB196" t="str">
        <f t="array" ref="AB196">TEXT(MIN(IF($E$2:$E$633=E196, $B$2:$B$633)), "YYYY-MM")</f>
        <v>2023-01</v>
      </c>
      <c r="AC196" s="13">
        <f>SUM($T$2:T196)</f>
        <v>3300637.7570300009</v>
      </c>
    </row>
    <row r="197" spans="1:29" x14ac:dyDescent="0.45">
      <c r="A197" t="s">
        <v>209</v>
      </c>
      <c r="B197" s="2">
        <v>45557</v>
      </c>
      <c r="C197" s="2">
        <v>45566</v>
      </c>
      <c r="D197" t="s">
        <v>648</v>
      </c>
      <c r="E197" t="s">
        <v>655</v>
      </c>
      <c r="F197" t="s">
        <v>670</v>
      </c>
      <c r="G197" t="s">
        <v>703</v>
      </c>
      <c r="H197" s="9" t="s">
        <v>708</v>
      </c>
      <c r="I197" s="9" t="s">
        <v>723</v>
      </c>
      <c r="J197" s="9" t="s">
        <v>732</v>
      </c>
      <c r="K197" t="s">
        <v>929</v>
      </c>
      <c r="L197" s="7">
        <v>1378.8</v>
      </c>
      <c r="M197" s="7">
        <v>1952.04</v>
      </c>
      <c r="N197" s="5">
        <v>0.159</v>
      </c>
      <c r="O197">
        <v>19</v>
      </c>
      <c r="P197" s="2">
        <f t="shared" si="27"/>
        <v>45566</v>
      </c>
      <c r="Q197" t="str">
        <f t="shared" si="28"/>
        <v>Ok</v>
      </c>
      <c r="R197">
        <f>ABS(Table2[[#This Row],[UnitPrice]])</f>
        <v>1952.04</v>
      </c>
      <c r="S197">
        <f t="shared" si="29"/>
        <v>9</v>
      </c>
      <c r="T197" s="12">
        <f t="shared" si="30"/>
        <v>31191.64716</v>
      </c>
      <c r="U197">
        <f>Table2[[#This Row],[UnitCost]]*Table2[[#This Row],[Quantity]]</f>
        <v>26197.200000000001</v>
      </c>
      <c r="V197" s="13">
        <f t="shared" si="31"/>
        <v>4994.4471599999997</v>
      </c>
      <c r="W197" s="5">
        <f t="shared" si="32"/>
        <v>0.16012130216723058</v>
      </c>
      <c r="X197" s="17" t="str">
        <f t="shared" si="33"/>
        <v>Sep-2024</v>
      </c>
      <c r="Z197" t="str">
        <f t="shared" si="34"/>
        <v>Americas. Brazil. São Paulo</v>
      </c>
      <c r="AA197" t="str">
        <f t="shared" si="35"/>
        <v>High</v>
      </c>
      <c r="AB197" t="str">
        <f t="array" ref="AB197">TEXT(MIN(IF($E$2:$E$633=E197, $B$2:$B$633)), "YYYY-MM")</f>
        <v>2023-01</v>
      </c>
      <c r="AC197" s="13">
        <f>SUM($T$2:T197)</f>
        <v>3331829.4041900011</v>
      </c>
    </row>
    <row r="198" spans="1:29" x14ac:dyDescent="0.45">
      <c r="A198" t="s">
        <v>210</v>
      </c>
      <c r="B198" s="2">
        <v>45588</v>
      </c>
      <c r="C198" s="2">
        <v>45610</v>
      </c>
      <c r="D198" t="s">
        <v>647</v>
      </c>
      <c r="E198" t="s">
        <v>652</v>
      </c>
      <c r="F198" t="s">
        <v>666</v>
      </c>
      <c r="G198" t="s">
        <v>703</v>
      </c>
      <c r="H198" s="9" t="s">
        <v>711</v>
      </c>
      <c r="I198" s="9" t="s">
        <v>717</v>
      </c>
      <c r="J198" s="9" t="s">
        <v>730</v>
      </c>
      <c r="K198" t="s">
        <v>930</v>
      </c>
      <c r="L198" s="7">
        <v>1406.4</v>
      </c>
      <c r="M198" s="7">
        <v>1564.76</v>
      </c>
      <c r="N198" s="5">
        <v>0.185</v>
      </c>
      <c r="O198">
        <v>17</v>
      </c>
      <c r="P198" s="2">
        <f t="shared" si="27"/>
        <v>45610</v>
      </c>
      <c r="Q198" t="str">
        <f t="shared" si="28"/>
        <v>Ok</v>
      </c>
      <c r="R198">
        <f>ABS(Table2[[#This Row],[UnitPrice]])</f>
        <v>1564.76</v>
      </c>
      <c r="S198">
        <f t="shared" si="29"/>
        <v>22</v>
      </c>
      <c r="T198" s="12">
        <f t="shared" si="30"/>
        <v>21679.749799999998</v>
      </c>
      <c r="U198">
        <f>Table2[[#This Row],[UnitCost]]*Table2[[#This Row],[Quantity]]</f>
        <v>23908.800000000003</v>
      </c>
      <c r="V198" s="13">
        <f t="shared" si="31"/>
        <v>-2229.0502000000051</v>
      </c>
      <c r="W198" s="5">
        <f t="shared" si="32"/>
        <v>-0.10281715520536151</v>
      </c>
      <c r="X198" s="17" t="str">
        <f t="shared" si="33"/>
        <v>Oct-2024</v>
      </c>
      <c r="Z198" t="str">
        <f t="shared" si="34"/>
        <v>Asia. Japan. Osaka</v>
      </c>
      <c r="AA198" t="str">
        <f t="shared" si="35"/>
        <v>High</v>
      </c>
      <c r="AB198" t="str">
        <f t="array" ref="AB198">TEXT(MIN(IF($E$2:$E$633=E198, $B$2:$B$633)), "YYYY-MM")</f>
        <v>2023-03</v>
      </c>
      <c r="AC198" s="13">
        <f>SUM($T$2:T198)</f>
        <v>3353509.153990001</v>
      </c>
    </row>
    <row r="199" spans="1:29" x14ac:dyDescent="0.45">
      <c r="A199" t="s">
        <v>211</v>
      </c>
      <c r="B199" s="2">
        <v>45333</v>
      </c>
      <c r="C199" s="2">
        <v>45354</v>
      </c>
      <c r="D199" t="s">
        <v>646</v>
      </c>
      <c r="E199" t="s">
        <v>650</v>
      </c>
      <c r="F199" t="s">
        <v>662</v>
      </c>
      <c r="G199" t="s">
        <v>706</v>
      </c>
      <c r="H199" s="9" t="s">
        <v>708</v>
      </c>
      <c r="I199" s="9" t="s">
        <v>717</v>
      </c>
      <c r="J199" s="9" t="s">
        <v>730</v>
      </c>
      <c r="K199" t="s">
        <v>931</v>
      </c>
      <c r="L199" s="7">
        <v>516.86</v>
      </c>
      <c r="M199" s="7">
        <v>852.54</v>
      </c>
      <c r="N199" s="5">
        <v>5.0999999999999997E-2</v>
      </c>
      <c r="O199">
        <v>14</v>
      </c>
      <c r="P199" s="2">
        <f t="shared" si="27"/>
        <v>45354</v>
      </c>
      <c r="Q199" t="str">
        <f t="shared" si="28"/>
        <v>Ok</v>
      </c>
      <c r="R199">
        <f>ABS(Table2[[#This Row],[UnitPrice]])</f>
        <v>852.54</v>
      </c>
      <c r="S199">
        <f t="shared" si="29"/>
        <v>21</v>
      </c>
      <c r="T199" s="12">
        <f t="shared" si="30"/>
        <v>11326.846439999999</v>
      </c>
      <c r="U199">
        <f>Table2[[#This Row],[UnitCost]]*Table2[[#This Row],[Quantity]]</f>
        <v>7236.04</v>
      </c>
      <c r="V199" s="13">
        <f t="shared" si="31"/>
        <v>4090.8064399999994</v>
      </c>
      <c r="W199" s="5">
        <f t="shared" si="32"/>
        <v>0.36116022775355994</v>
      </c>
      <c r="X199" s="17" t="str">
        <f t="shared" si="33"/>
        <v>Feb-2024</v>
      </c>
      <c r="Z199" t="str">
        <f t="shared" si="34"/>
        <v>Africa. Kenya. Kisumu</v>
      </c>
      <c r="AA199" t="str">
        <f t="shared" si="35"/>
        <v>Low</v>
      </c>
      <c r="AB199" t="str">
        <f t="array" ref="AB199">TEXT(MIN(IF($E$2:$E$633=E199, $B$2:$B$633)), "YYYY-MM")</f>
        <v>2023-01</v>
      </c>
      <c r="AC199" s="13">
        <f>SUM($T$2:T199)</f>
        <v>3364836.0004300009</v>
      </c>
    </row>
    <row r="200" spans="1:29" x14ac:dyDescent="0.45">
      <c r="A200" t="s">
        <v>212</v>
      </c>
      <c r="B200" s="2">
        <v>44956</v>
      </c>
      <c r="C200" s="2">
        <v>44978</v>
      </c>
      <c r="D200" t="s">
        <v>649</v>
      </c>
      <c r="E200" t="s">
        <v>656</v>
      </c>
      <c r="F200" t="s">
        <v>684</v>
      </c>
      <c r="G200" t="s">
        <v>705</v>
      </c>
      <c r="H200" s="9" t="s">
        <v>709</v>
      </c>
      <c r="I200" s="9" t="s">
        <v>715</v>
      </c>
      <c r="J200" s="9" t="s">
        <v>729</v>
      </c>
      <c r="K200" t="s">
        <v>932</v>
      </c>
      <c r="L200" s="7">
        <v>1142.8800000000001</v>
      </c>
      <c r="M200" s="7">
        <v>1465.29</v>
      </c>
      <c r="N200" s="5">
        <v>0.186</v>
      </c>
      <c r="O200">
        <v>7</v>
      </c>
      <c r="P200" s="2">
        <f t="shared" si="27"/>
        <v>44978</v>
      </c>
      <c r="Q200" t="str">
        <f t="shared" si="28"/>
        <v>Ok</v>
      </c>
      <c r="R200">
        <f>ABS(Table2[[#This Row],[UnitPrice]])</f>
        <v>1465.29</v>
      </c>
      <c r="S200">
        <f t="shared" si="29"/>
        <v>22</v>
      </c>
      <c r="T200" s="12">
        <f t="shared" si="30"/>
        <v>8349.2224200000001</v>
      </c>
      <c r="U200">
        <f>Table2[[#This Row],[UnitCost]]*Table2[[#This Row],[Quantity]]</f>
        <v>8000.1600000000008</v>
      </c>
      <c r="V200" s="13">
        <f t="shared" si="31"/>
        <v>349.06241999999929</v>
      </c>
      <c r="W200" s="5">
        <f t="shared" si="32"/>
        <v>4.1807775915017401E-2</v>
      </c>
      <c r="X200" s="17" t="str">
        <f t="shared" si="33"/>
        <v>Jan-2023</v>
      </c>
      <c r="Z200" t="str">
        <f t="shared" si="34"/>
        <v>Europe. Germany. Munich</v>
      </c>
      <c r="AA200" t="str">
        <f t="shared" si="35"/>
        <v>High</v>
      </c>
      <c r="AB200" t="str">
        <f t="array" ref="AB200">TEXT(MIN(IF($E$2:$E$633=E200, $B$2:$B$633)), "YYYY-MM")</f>
        <v>2023-01</v>
      </c>
      <c r="AC200" s="13">
        <f>SUM($T$2:T200)</f>
        <v>3373185.222850001</v>
      </c>
    </row>
    <row r="201" spans="1:29" x14ac:dyDescent="0.45">
      <c r="A201" t="s">
        <v>213</v>
      </c>
      <c r="B201" s="2">
        <v>45030</v>
      </c>
      <c r="C201" s="2">
        <v>45059</v>
      </c>
      <c r="D201" t="s">
        <v>649</v>
      </c>
      <c r="E201" t="s">
        <v>656</v>
      </c>
      <c r="F201" t="s">
        <v>698</v>
      </c>
      <c r="G201" t="s">
        <v>704</v>
      </c>
      <c r="H201" s="9" t="s">
        <v>711</v>
      </c>
      <c r="I201" s="9" t="s">
        <v>713</v>
      </c>
      <c r="J201" s="9" t="s">
        <v>728</v>
      </c>
      <c r="K201" t="s">
        <v>933</v>
      </c>
      <c r="L201" s="7">
        <v>1320.33</v>
      </c>
      <c r="M201" s="7">
        <v>2645.23</v>
      </c>
      <c r="N201" s="5">
        <v>0.155</v>
      </c>
      <c r="O201">
        <v>25</v>
      </c>
      <c r="P201" s="2">
        <f t="shared" si="27"/>
        <v>45059</v>
      </c>
      <c r="Q201" t="str">
        <f t="shared" si="28"/>
        <v>Ok</v>
      </c>
      <c r="R201">
        <f>ABS(Table2[[#This Row],[UnitPrice]])</f>
        <v>2645.23</v>
      </c>
      <c r="S201">
        <f t="shared" si="29"/>
        <v>29</v>
      </c>
      <c r="T201" s="12">
        <f t="shared" si="30"/>
        <v>55880.483749999999</v>
      </c>
      <c r="U201">
        <f>Table2[[#This Row],[UnitCost]]*Table2[[#This Row],[Quantity]]</f>
        <v>33008.25</v>
      </c>
      <c r="V201" s="13">
        <f t="shared" si="31"/>
        <v>22872.233749999999</v>
      </c>
      <c r="W201" s="5">
        <f t="shared" si="32"/>
        <v>0.40930629470436536</v>
      </c>
      <c r="X201" s="17" t="str">
        <f t="shared" si="33"/>
        <v>Apr-2023</v>
      </c>
      <c r="Z201" t="str">
        <f t="shared" si="34"/>
        <v>Europe. Germany. Frankfurt</v>
      </c>
      <c r="AA201" t="str">
        <f t="shared" si="35"/>
        <v>High</v>
      </c>
      <c r="AB201" t="str">
        <f t="array" ref="AB201">TEXT(MIN(IF($E$2:$E$633=E201, $B$2:$B$633)), "YYYY-MM")</f>
        <v>2023-01</v>
      </c>
      <c r="AC201" s="13">
        <f>SUM($T$2:T201)</f>
        <v>3429065.7066000011</v>
      </c>
    </row>
    <row r="202" spans="1:29" x14ac:dyDescent="0.45">
      <c r="A202" t="s">
        <v>214</v>
      </c>
      <c r="B202" s="2">
        <v>44939</v>
      </c>
      <c r="C202" s="2">
        <v>44945</v>
      </c>
      <c r="D202" t="s">
        <v>648</v>
      </c>
      <c r="E202" t="s">
        <v>660</v>
      </c>
      <c r="F202" t="s">
        <v>677</v>
      </c>
      <c r="G202" t="s">
        <v>701</v>
      </c>
      <c r="H202" s="9" t="s">
        <v>711</v>
      </c>
      <c r="I202" s="9" t="s">
        <v>722</v>
      </c>
      <c r="J202" s="9" t="s">
        <v>730</v>
      </c>
      <c r="K202" t="s">
        <v>934</v>
      </c>
      <c r="L202" s="7">
        <v>833.57</v>
      </c>
      <c r="M202" s="7">
        <v>881.57</v>
      </c>
      <c r="N202" s="5">
        <v>5.7000000000000002E-2</v>
      </c>
      <c r="O202">
        <v>18</v>
      </c>
      <c r="P202" s="2">
        <f t="shared" si="27"/>
        <v>44945</v>
      </c>
      <c r="Q202" t="str">
        <f t="shared" si="28"/>
        <v>Ok</v>
      </c>
      <c r="R202">
        <f>ABS(Table2[[#This Row],[UnitPrice]])</f>
        <v>881.57</v>
      </c>
      <c r="S202">
        <f t="shared" si="29"/>
        <v>6</v>
      </c>
      <c r="T202" s="12">
        <f t="shared" si="30"/>
        <v>14963.769179999999</v>
      </c>
      <c r="U202">
        <f>Table2[[#This Row],[UnitCost]]*Table2[[#This Row],[Quantity]]</f>
        <v>15004.26</v>
      </c>
      <c r="V202" s="13">
        <f t="shared" si="31"/>
        <v>-40.490820000000895</v>
      </c>
      <c r="W202" s="5">
        <f t="shared" si="32"/>
        <v>-2.7059238560107821E-3</v>
      </c>
      <c r="X202" s="17" t="str">
        <f t="shared" si="33"/>
        <v>Jan-2023</v>
      </c>
      <c r="Z202" t="str">
        <f t="shared" si="34"/>
        <v>Americas. USA. Chicago</v>
      </c>
      <c r="AA202" t="str">
        <f t="shared" si="35"/>
        <v>Low</v>
      </c>
      <c r="AB202" t="str">
        <f t="array" ref="AB202">TEXT(MIN(IF($E$2:$E$633=E202, $B$2:$B$633)), "YYYY-MM")</f>
        <v>2023-01</v>
      </c>
      <c r="AC202" s="13">
        <f>SUM($T$2:T202)</f>
        <v>3444029.4757800009</v>
      </c>
    </row>
    <row r="203" spans="1:29" x14ac:dyDescent="0.45">
      <c r="A203" t="s">
        <v>215</v>
      </c>
      <c r="B203" s="2">
        <v>45303</v>
      </c>
      <c r="C203" s="2">
        <v>45320</v>
      </c>
      <c r="D203" t="s">
        <v>648</v>
      </c>
      <c r="E203" t="s">
        <v>660</v>
      </c>
      <c r="F203" t="s">
        <v>677</v>
      </c>
      <c r="G203" t="s">
        <v>702</v>
      </c>
      <c r="H203" s="9" t="s">
        <v>710</v>
      </c>
      <c r="I203" s="9" t="s">
        <v>720</v>
      </c>
      <c r="J203" s="9" t="s">
        <v>728</v>
      </c>
      <c r="K203" t="s">
        <v>935</v>
      </c>
      <c r="L203" s="7">
        <v>493.76</v>
      </c>
      <c r="M203" s="7">
        <v>625.04</v>
      </c>
      <c r="N203" s="5">
        <v>0.25800000000000001</v>
      </c>
      <c r="O203">
        <v>10</v>
      </c>
      <c r="P203" s="2">
        <f t="shared" si="27"/>
        <v>45320</v>
      </c>
      <c r="Q203" t="str">
        <f t="shared" si="28"/>
        <v>Ok</v>
      </c>
      <c r="R203">
        <f>ABS(Table2[[#This Row],[UnitPrice]])</f>
        <v>625.04</v>
      </c>
      <c r="S203">
        <f t="shared" si="29"/>
        <v>17</v>
      </c>
      <c r="T203" s="12">
        <f t="shared" si="30"/>
        <v>4637.7968000000001</v>
      </c>
      <c r="U203">
        <f>Table2[[#This Row],[UnitCost]]*Table2[[#This Row],[Quantity]]</f>
        <v>4937.6000000000004</v>
      </c>
      <c r="V203" s="13">
        <f t="shared" si="31"/>
        <v>-299.80320000000029</v>
      </c>
      <c r="W203" s="5">
        <f t="shared" si="32"/>
        <v>-6.464345311549663E-2</v>
      </c>
      <c r="X203" s="17" t="str">
        <f t="shared" si="33"/>
        <v>Jan-2024</v>
      </c>
      <c r="Z203" t="str">
        <f t="shared" si="34"/>
        <v>Americas. USA. Chicago</v>
      </c>
      <c r="AA203" t="str">
        <f t="shared" si="35"/>
        <v>Low</v>
      </c>
      <c r="AB203" t="str">
        <f t="array" ref="AB203">TEXT(MIN(IF($E$2:$E$633=E203, $B$2:$B$633)), "YYYY-MM")</f>
        <v>2023-01</v>
      </c>
      <c r="AC203" s="13">
        <f>SUM($T$2:T203)</f>
        <v>3448667.272580001</v>
      </c>
    </row>
    <row r="204" spans="1:29" x14ac:dyDescent="0.45">
      <c r="A204" t="s">
        <v>216</v>
      </c>
      <c r="B204" s="2">
        <v>45153</v>
      </c>
      <c r="C204" s="2">
        <v>45176</v>
      </c>
      <c r="D204" t="s">
        <v>648</v>
      </c>
      <c r="E204" t="s">
        <v>660</v>
      </c>
      <c r="F204" t="s">
        <v>700</v>
      </c>
      <c r="G204" t="s">
        <v>706</v>
      </c>
      <c r="H204" s="9" t="s">
        <v>708</v>
      </c>
      <c r="I204" s="9" t="s">
        <v>723</v>
      </c>
      <c r="J204" s="9" t="s">
        <v>730</v>
      </c>
      <c r="K204" t="s">
        <v>936</v>
      </c>
      <c r="L204" s="7">
        <v>590.33000000000004</v>
      </c>
      <c r="M204" s="7">
        <v>973.04</v>
      </c>
      <c r="N204" s="5">
        <v>0</v>
      </c>
      <c r="O204">
        <v>26</v>
      </c>
      <c r="P204" s="2">
        <f t="shared" si="27"/>
        <v>45176</v>
      </c>
      <c r="Q204" t="str">
        <f t="shared" si="28"/>
        <v>Ok</v>
      </c>
      <c r="R204">
        <f>ABS(Table2[[#This Row],[UnitPrice]])</f>
        <v>973.04</v>
      </c>
      <c r="S204">
        <f t="shared" si="29"/>
        <v>23</v>
      </c>
      <c r="T204" s="12">
        <f t="shared" si="30"/>
        <v>25299.040000000001</v>
      </c>
      <c r="U204">
        <f>Table2[[#This Row],[UnitCost]]*Table2[[#This Row],[Quantity]]</f>
        <v>15348.580000000002</v>
      </c>
      <c r="V204" s="13">
        <f t="shared" si="31"/>
        <v>9950.4599999999991</v>
      </c>
      <c r="W204" s="5">
        <f t="shared" si="32"/>
        <v>0.39331373838691108</v>
      </c>
      <c r="X204" s="17" t="str">
        <f t="shared" si="33"/>
        <v>Aug-2023</v>
      </c>
      <c r="Z204" t="str">
        <f t="shared" si="34"/>
        <v>Americas. USA. New York</v>
      </c>
      <c r="AA204" t="str">
        <f t="shared" si="35"/>
        <v>Low</v>
      </c>
      <c r="AB204" t="str">
        <f t="array" ref="AB204">TEXT(MIN(IF($E$2:$E$633=E204, $B$2:$B$633)), "YYYY-MM")</f>
        <v>2023-01</v>
      </c>
      <c r="AC204" s="13">
        <f>SUM($T$2:T204)</f>
        <v>3473966.3125800011</v>
      </c>
    </row>
    <row r="205" spans="1:29" x14ac:dyDescent="0.45">
      <c r="A205" t="s">
        <v>217</v>
      </c>
      <c r="B205" s="2">
        <v>44946</v>
      </c>
      <c r="C205" s="2">
        <v>44960</v>
      </c>
      <c r="D205" t="s">
        <v>646</v>
      </c>
      <c r="E205" t="s">
        <v>650</v>
      </c>
      <c r="F205" t="s">
        <v>662</v>
      </c>
      <c r="G205" t="s">
        <v>701</v>
      </c>
      <c r="H205" s="9" t="s">
        <v>707</v>
      </c>
      <c r="I205" s="9" t="s">
        <v>724</v>
      </c>
      <c r="J205" s="9" t="s">
        <v>729</v>
      </c>
      <c r="K205" t="s">
        <v>937</v>
      </c>
      <c r="L205" s="7">
        <v>884.36</v>
      </c>
      <c r="M205" s="7">
        <v>1545.34</v>
      </c>
      <c r="N205" s="5">
        <v>0.24299999999999999</v>
      </c>
      <c r="O205">
        <v>41</v>
      </c>
      <c r="P205" s="2">
        <f t="shared" si="27"/>
        <v>44960</v>
      </c>
      <c r="Q205" t="str">
        <f t="shared" si="28"/>
        <v>Ok</v>
      </c>
      <c r="R205">
        <f>ABS(Table2[[#This Row],[UnitPrice]])</f>
        <v>1545.34</v>
      </c>
      <c r="S205">
        <f t="shared" si="29"/>
        <v>14</v>
      </c>
      <c r="T205" s="12">
        <f t="shared" si="30"/>
        <v>47962.717579999997</v>
      </c>
      <c r="U205">
        <f>Table2[[#This Row],[UnitCost]]*Table2[[#This Row],[Quantity]]</f>
        <v>36258.76</v>
      </c>
      <c r="V205" s="13">
        <f t="shared" si="31"/>
        <v>11703.957579999995</v>
      </c>
      <c r="W205" s="5">
        <f t="shared" si="32"/>
        <v>0.24402198562827965</v>
      </c>
      <c r="X205" s="17" t="str">
        <f t="shared" si="33"/>
        <v>Jan-2023</v>
      </c>
      <c r="Z205" t="str">
        <f t="shared" si="34"/>
        <v>Africa. Kenya. Kisumu</v>
      </c>
      <c r="AA205" t="str">
        <f t="shared" si="35"/>
        <v>High</v>
      </c>
      <c r="AB205" t="str">
        <f t="array" ref="AB205">TEXT(MIN(IF($E$2:$E$633=E205, $B$2:$B$633)), "YYYY-MM")</f>
        <v>2023-01</v>
      </c>
      <c r="AC205" s="13">
        <f>SUM($T$2:T205)</f>
        <v>3521929.030160001</v>
      </c>
    </row>
    <row r="206" spans="1:29" x14ac:dyDescent="0.45">
      <c r="A206" t="s">
        <v>218</v>
      </c>
      <c r="B206" s="2">
        <v>45692</v>
      </c>
      <c r="C206" s="2">
        <v>45713</v>
      </c>
      <c r="D206" t="s">
        <v>649</v>
      </c>
      <c r="E206" t="s">
        <v>658</v>
      </c>
      <c r="F206" t="s">
        <v>674</v>
      </c>
      <c r="G206" t="s">
        <v>701</v>
      </c>
      <c r="H206" s="9" t="s">
        <v>709</v>
      </c>
      <c r="I206" s="9" t="s">
        <v>726</v>
      </c>
      <c r="J206" s="9" t="s">
        <v>732</v>
      </c>
      <c r="K206" t="s">
        <v>938</v>
      </c>
      <c r="L206" s="7">
        <v>1016.32</v>
      </c>
      <c r="M206" s="7">
        <v>2253.42</v>
      </c>
      <c r="N206" s="5">
        <v>5.5E-2</v>
      </c>
      <c r="O206">
        <v>12</v>
      </c>
      <c r="P206" s="2">
        <f t="shared" si="27"/>
        <v>45713</v>
      </c>
      <c r="Q206" t="str">
        <f t="shared" si="28"/>
        <v>Ok</v>
      </c>
      <c r="R206">
        <f>ABS(Table2[[#This Row],[UnitPrice]])</f>
        <v>2253.42</v>
      </c>
      <c r="S206">
        <f t="shared" si="29"/>
        <v>21</v>
      </c>
      <c r="T206" s="12">
        <f t="shared" si="30"/>
        <v>25553.782800000001</v>
      </c>
      <c r="U206">
        <f>Table2[[#This Row],[UnitCost]]*Table2[[#This Row],[Quantity]]</f>
        <v>12195.84</v>
      </c>
      <c r="V206" s="13">
        <f t="shared" si="31"/>
        <v>13357.942800000001</v>
      </c>
      <c r="W206" s="5">
        <f t="shared" si="32"/>
        <v>0.52273837124419797</v>
      </c>
      <c r="X206" s="17" t="str">
        <f t="shared" si="33"/>
        <v>Feb-2025</v>
      </c>
      <c r="Z206" t="str">
        <f t="shared" si="34"/>
        <v>Europe. United Kingdom. Birmingham</v>
      </c>
      <c r="AA206" t="str">
        <f t="shared" si="35"/>
        <v>High</v>
      </c>
      <c r="AB206" t="str">
        <f t="array" ref="AB206">TEXT(MIN(IF($E$2:$E$633=E206, $B$2:$B$633)), "YYYY-MM")</f>
        <v>2023-01</v>
      </c>
      <c r="AC206" s="13">
        <f>SUM($T$2:T206)</f>
        <v>3547482.8129600012</v>
      </c>
    </row>
    <row r="207" spans="1:29" x14ac:dyDescent="0.45">
      <c r="A207" t="s">
        <v>219</v>
      </c>
      <c r="B207" s="2">
        <v>45035</v>
      </c>
      <c r="C207" s="2">
        <v>45044</v>
      </c>
      <c r="D207" t="s">
        <v>649</v>
      </c>
      <c r="E207" t="s">
        <v>656</v>
      </c>
      <c r="F207" t="s">
        <v>671</v>
      </c>
      <c r="G207" t="s">
        <v>702</v>
      </c>
      <c r="H207" s="9" t="s">
        <v>708</v>
      </c>
      <c r="I207" s="9" t="s">
        <v>718</v>
      </c>
      <c r="J207" s="9" t="s">
        <v>732</v>
      </c>
      <c r="K207" t="s">
        <v>939</v>
      </c>
      <c r="L207" s="7">
        <v>1178.42</v>
      </c>
      <c r="M207" s="7">
        <v>2446.56</v>
      </c>
      <c r="N207" s="5">
        <v>2.9000000000000001E-2</v>
      </c>
      <c r="O207">
        <v>11</v>
      </c>
      <c r="P207" s="2">
        <f t="shared" si="27"/>
        <v>45044</v>
      </c>
      <c r="Q207" t="str">
        <f t="shared" si="28"/>
        <v>Ok</v>
      </c>
      <c r="R207">
        <f>ABS(Table2[[#This Row],[UnitPrice]])</f>
        <v>2446.56</v>
      </c>
      <c r="S207">
        <f t="shared" si="29"/>
        <v>9</v>
      </c>
      <c r="T207" s="12">
        <f t="shared" si="30"/>
        <v>26131.70736</v>
      </c>
      <c r="U207">
        <f>Table2[[#This Row],[UnitCost]]*Table2[[#This Row],[Quantity]]</f>
        <v>12962.62</v>
      </c>
      <c r="V207" s="13">
        <f t="shared" si="31"/>
        <v>13169.08736</v>
      </c>
      <c r="W207" s="5">
        <f t="shared" si="32"/>
        <v>0.5039505141618883</v>
      </c>
      <c r="X207" s="17" t="str">
        <f t="shared" si="33"/>
        <v>Apr-2023</v>
      </c>
      <c r="Z207" t="str">
        <f t="shared" si="34"/>
        <v>Europe. Germany. Berlin</v>
      </c>
      <c r="AA207" t="str">
        <f t="shared" si="35"/>
        <v>High</v>
      </c>
      <c r="AB207" t="str">
        <f t="array" ref="AB207">TEXT(MIN(IF($E$2:$E$633=E207, $B$2:$B$633)), "YYYY-MM")</f>
        <v>2023-01</v>
      </c>
      <c r="AC207" s="13">
        <f>SUM($T$2:T207)</f>
        <v>3573614.5203200011</v>
      </c>
    </row>
    <row r="208" spans="1:29" x14ac:dyDescent="0.45">
      <c r="A208" t="s">
        <v>220</v>
      </c>
      <c r="B208" s="2">
        <v>45109</v>
      </c>
      <c r="C208" s="2">
        <v>45139</v>
      </c>
      <c r="D208" t="s">
        <v>649</v>
      </c>
      <c r="E208" t="s">
        <v>658</v>
      </c>
      <c r="F208" t="s">
        <v>674</v>
      </c>
      <c r="G208" t="s">
        <v>705</v>
      </c>
      <c r="H208" s="9" t="s">
        <v>707</v>
      </c>
      <c r="I208" s="9" t="s">
        <v>717</v>
      </c>
      <c r="J208" s="9" t="s">
        <v>727</v>
      </c>
      <c r="K208" t="s">
        <v>940</v>
      </c>
      <c r="L208" s="7">
        <v>137.46</v>
      </c>
      <c r="M208" s="7">
        <v>188.3</v>
      </c>
      <c r="N208" s="5">
        <v>3.7999999999999999E-2</v>
      </c>
      <c r="O208">
        <v>37</v>
      </c>
      <c r="P208" s="2">
        <f t="shared" si="27"/>
        <v>45139</v>
      </c>
      <c r="Q208" t="str">
        <f t="shared" si="28"/>
        <v>Ok</v>
      </c>
      <c r="R208">
        <f>ABS(Table2[[#This Row],[UnitPrice]])</f>
        <v>188.3</v>
      </c>
      <c r="S208">
        <f t="shared" si="29"/>
        <v>30</v>
      </c>
      <c r="T208" s="12">
        <f t="shared" si="30"/>
        <v>6702.3501999999999</v>
      </c>
      <c r="U208">
        <f>Table2[[#This Row],[UnitCost]]*Table2[[#This Row],[Quantity]]</f>
        <v>5086.0200000000004</v>
      </c>
      <c r="V208" s="13">
        <f t="shared" si="31"/>
        <v>1616.3301999999994</v>
      </c>
      <c r="W208" s="5">
        <f t="shared" si="32"/>
        <v>0.24115872071262398</v>
      </c>
      <c r="X208" s="17" t="str">
        <f t="shared" si="33"/>
        <v>Jul-2023</v>
      </c>
      <c r="Z208" t="str">
        <f t="shared" si="34"/>
        <v>Europe. United Kingdom. Birmingham</v>
      </c>
      <c r="AA208" t="str">
        <f t="shared" si="35"/>
        <v>Low</v>
      </c>
      <c r="AB208" t="str">
        <f t="array" ref="AB208">TEXT(MIN(IF($E$2:$E$633=E208, $B$2:$B$633)), "YYYY-MM")</f>
        <v>2023-01</v>
      </c>
      <c r="AC208" s="13">
        <f>SUM($T$2:T208)</f>
        <v>3580316.8705200013</v>
      </c>
    </row>
    <row r="209" spans="1:29" x14ac:dyDescent="0.45">
      <c r="A209" t="s">
        <v>221</v>
      </c>
      <c r="B209" s="2">
        <v>45678</v>
      </c>
      <c r="C209" s="2">
        <v>45702</v>
      </c>
      <c r="D209" t="s">
        <v>646</v>
      </c>
      <c r="E209" t="s">
        <v>650</v>
      </c>
      <c r="F209" t="s">
        <v>664</v>
      </c>
      <c r="G209" t="s">
        <v>705</v>
      </c>
      <c r="H209" s="9" t="s">
        <v>707</v>
      </c>
      <c r="I209" s="9" t="s">
        <v>713</v>
      </c>
      <c r="J209" s="9" t="s">
        <v>733</v>
      </c>
      <c r="K209" t="s">
        <v>941</v>
      </c>
      <c r="L209" s="7">
        <v>1030.44</v>
      </c>
      <c r="M209" s="7">
        <v>2562.84</v>
      </c>
      <c r="N209" s="5">
        <v>0.14799999999999999</v>
      </c>
      <c r="O209">
        <v>13</v>
      </c>
      <c r="P209" s="2">
        <f t="shared" si="27"/>
        <v>45702</v>
      </c>
      <c r="Q209" t="str">
        <f t="shared" si="28"/>
        <v>Ok</v>
      </c>
      <c r="R209">
        <f>ABS(Table2[[#This Row],[UnitPrice]])</f>
        <v>2562.84</v>
      </c>
      <c r="S209">
        <f t="shared" si="29"/>
        <v>24</v>
      </c>
      <c r="T209" s="12">
        <f t="shared" si="30"/>
        <v>28386.015839999996</v>
      </c>
      <c r="U209">
        <f>Table2[[#This Row],[UnitCost]]*Table2[[#This Row],[Quantity]]</f>
        <v>13395.720000000001</v>
      </c>
      <c r="V209" s="13">
        <f t="shared" si="31"/>
        <v>14990.295839999995</v>
      </c>
      <c r="W209" s="5">
        <f t="shared" si="32"/>
        <v>0.52808734852027039</v>
      </c>
      <c r="X209" s="17" t="str">
        <f t="shared" si="33"/>
        <v>Jan-2025</v>
      </c>
      <c r="Z209" t="str">
        <f t="shared" si="34"/>
        <v>Africa. Kenya. Nairobi</v>
      </c>
      <c r="AA209" t="str">
        <f t="shared" si="35"/>
        <v>High</v>
      </c>
      <c r="AB209" t="str">
        <f t="array" ref="AB209">TEXT(MIN(IF($E$2:$E$633=E209, $B$2:$B$633)), "YYYY-MM")</f>
        <v>2023-01</v>
      </c>
      <c r="AC209" s="13">
        <f>SUM($T$2:T209)</f>
        <v>3608702.8863600013</v>
      </c>
    </row>
    <row r="210" spans="1:29" x14ac:dyDescent="0.45">
      <c r="A210" t="s">
        <v>222</v>
      </c>
      <c r="B210" s="2">
        <v>45545</v>
      </c>
      <c r="C210" s="2">
        <v>45572</v>
      </c>
      <c r="D210" t="s">
        <v>646</v>
      </c>
      <c r="E210" t="s">
        <v>650</v>
      </c>
      <c r="F210" t="s">
        <v>662</v>
      </c>
      <c r="G210" t="s">
        <v>704</v>
      </c>
      <c r="H210" s="9" t="s">
        <v>707</v>
      </c>
      <c r="I210" s="9" t="s">
        <v>716</v>
      </c>
      <c r="J210" s="9" t="s">
        <v>728</v>
      </c>
      <c r="K210" t="s">
        <v>942</v>
      </c>
      <c r="L210" s="7">
        <v>1248.3900000000001</v>
      </c>
      <c r="M210" s="7">
        <v>1805.11</v>
      </c>
      <c r="N210" s="5">
        <v>0.20300000000000001</v>
      </c>
      <c r="O210">
        <v>11</v>
      </c>
      <c r="P210" s="2">
        <f t="shared" si="27"/>
        <v>45572</v>
      </c>
      <c r="Q210" t="str">
        <f t="shared" si="28"/>
        <v>Ok</v>
      </c>
      <c r="R210">
        <f>ABS(Table2[[#This Row],[UnitPrice]])</f>
        <v>1805.11</v>
      </c>
      <c r="S210">
        <f t="shared" si="29"/>
        <v>27</v>
      </c>
      <c r="T210" s="12">
        <f t="shared" si="30"/>
        <v>15825.399369999997</v>
      </c>
      <c r="U210">
        <f>Table2[[#This Row],[UnitCost]]*Table2[[#This Row],[Quantity]]</f>
        <v>13732.29</v>
      </c>
      <c r="V210" s="13">
        <f t="shared" si="31"/>
        <v>2093.1093699999965</v>
      </c>
      <c r="W210" s="5">
        <f t="shared" si="32"/>
        <v>0.13226265707820786</v>
      </c>
      <c r="X210" s="17" t="str">
        <f t="shared" si="33"/>
        <v>Sep-2024</v>
      </c>
      <c r="Z210" t="str">
        <f t="shared" si="34"/>
        <v>Africa. Kenya. Kisumu</v>
      </c>
      <c r="AA210" t="str">
        <f t="shared" si="35"/>
        <v>High</v>
      </c>
      <c r="AB210" t="str">
        <f t="array" ref="AB210">TEXT(MIN(IF($E$2:$E$633=E210, $B$2:$B$633)), "YYYY-MM")</f>
        <v>2023-01</v>
      </c>
      <c r="AC210" s="13">
        <f>SUM($T$2:T210)</f>
        <v>3624528.2857300011</v>
      </c>
    </row>
    <row r="211" spans="1:29" x14ac:dyDescent="0.45">
      <c r="A211" t="s">
        <v>223</v>
      </c>
      <c r="B211" s="2">
        <v>45859</v>
      </c>
      <c r="C211" s="2">
        <v>45876</v>
      </c>
      <c r="D211" t="s">
        <v>646</v>
      </c>
      <c r="E211" t="s">
        <v>651</v>
      </c>
      <c r="F211" t="s">
        <v>665</v>
      </c>
      <c r="G211" t="s">
        <v>706</v>
      </c>
      <c r="H211" s="9" t="s">
        <v>711</v>
      </c>
      <c r="I211" s="9" t="s">
        <v>724</v>
      </c>
      <c r="J211" s="9" t="s">
        <v>733</v>
      </c>
      <c r="K211" t="s">
        <v>943</v>
      </c>
      <c r="L211" s="7">
        <v>1204.95</v>
      </c>
      <c r="M211" s="7">
        <v>2065.73</v>
      </c>
      <c r="N211" s="5">
        <v>0.13600000000000001</v>
      </c>
      <c r="O211">
        <v>10</v>
      </c>
      <c r="P211" s="2">
        <f t="shared" si="27"/>
        <v>45876</v>
      </c>
      <c r="Q211" t="str">
        <f t="shared" si="28"/>
        <v>Ok</v>
      </c>
      <c r="R211">
        <f>ABS(Table2[[#This Row],[UnitPrice]])</f>
        <v>2065.73</v>
      </c>
      <c r="S211">
        <f t="shared" si="29"/>
        <v>17</v>
      </c>
      <c r="T211" s="12">
        <f t="shared" si="30"/>
        <v>17847.907199999998</v>
      </c>
      <c r="U211">
        <f>Table2[[#This Row],[UnitCost]]*Table2[[#This Row],[Quantity]]</f>
        <v>12049.5</v>
      </c>
      <c r="V211" s="13">
        <f t="shared" si="31"/>
        <v>5798.4071999999978</v>
      </c>
      <c r="W211" s="5">
        <f t="shared" si="32"/>
        <v>0.32487882949100039</v>
      </c>
      <c r="X211" s="17" t="str">
        <f t="shared" si="33"/>
        <v>Jul-2025</v>
      </c>
      <c r="Z211" t="str">
        <f t="shared" si="34"/>
        <v>Africa. Nigeria. Lagos</v>
      </c>
      <c r="AA211" t="str">
        <f t="shared" si="35"/>
        <v>High</v>
      </c>
      <c r="AB211" t="str">
        <f t="array" ref="AB211">TEXT(MIN(IF($E$2:$E$633=E211, $B$2:$B$633)), "YYYY-MM")</f>
        <v>2023-01</v>
      </c>
      <c r="AC211" s="13">
        <f>SUM($T$2:T211)</f>
        <v>3642376.1929300008</v>
      </c>
    </row>
    <row r="212" spans="1:29" x14ac:dyDescent="0.45">
      <c r="A212" t="s">
        <v>224</v>
      </c>
      <c r="B212" s="2">
        <v>45567</v>
      </c>
      <c r="C212" s="2">
        <v>45588</v>
      </c>
      <c r="D212" t="s">
        <v>646</v>
      </c>
      <c r="E212" t="s">
        <v>661</v>
      </c>
      <c r="F212" t="s">
        <v>687</v>
      </c>
      <c r="G212" t="s">
        <v>701</v>
      </c>
      <c r="H212" s="9" t="s">
        <v>709</v>
      </c>
      <c r="I212" s="9" t="s">
        <v>720</v>
      </c>
      <c r="J212" s="9" t="s">
        <v>727</v>
      </c>
      <c r="K212" t="s">
        <v>944</v>
      </c>
      <c r="L212" s="7">
        <v>1095.6099999999999</v>
      </c>
      <c r="M212" s="7">
        <v>2366.5100000000002</v>
      </c>
      <c r="N212" s="5">
        <v>0.152</v>
      </c>
      <c r="O212">
        <v>9</v>
      </c>
      <c r="P212" s="2">
        <f t="shared" si="27"/>
        <v>45588</v>
      </c>
      <c r="Q212" t="str">
        <f t="shared" si="28"/>
        <v>Ok</v>
      </c>
      <c r="R212">
        <f>ABS(Table2[[#This Row],[UnitPrice]])</f>
        <v>2366.5100000000002</v>
      </c>
      <c r="S212">
        <f t="shared" si="29"/>
        <v>21</v>
      </c>
      <c r="T212" s="12">
        <f t="shared" si="30"/>
        <v>18061.204320000004</v>
      </c>
      <c r="U212">
        <f>Table2[[#This Row],[UnitCost]]*Table2[[#This Row],[Quantity]]</f>
        <v>9860.49</v>
      </c>
      <c r="V212" s="13">
        <f t="shared" si="31"/>
        <v>8200.7143200000046</v>
      </c>
      <c r="W212" s="5">
        <f t="shared" si="32"/>
        <v>0.4540513564158607</v>
      </c>
      <c r="X212" s="17" t="str">
        <f t="shared" si="33"/>
        <v>Oct-2024</v>
      </c>
      <c r="Z212" t="str">
        <f t="shared" si="34"/>
        <v>Africa. South Africa. Durban</v>
      </c>
      <c r="AA212" t="str">
        <f t="shared" si="35"/>
        <v>High</v>
      </c>
      <c r="AB212" t="str">
        <f t="array" ref="AB212">TEXT(MIN(IF($E$2:$E$633=E212, $B$2:$B$633)), "YYYY-MM")</f>
        <v>2023-01</v>
      </c>
      <c r="AC212" s="13">
        <f>SUM($T$2:T212)</f>
        <v>3660437.3972500009</v>
      </c>
    </row>
    <row r="213" spans="1:29" x14ac:dyDescent="0.45">
      <c r="A213" t="s">
        <v>225</v>
      </c>
      <c r="B213" s="2">
        <v>45852</v>
      </c>
      <c r="C213" s="2">
        <v>45873</v>
      </c>
      <c r="D213" t="s">
        <v>648</v>
      </c>
      <c r="E213" t="s">
        <v>653</v>
      </c>
      <c r="F213" t="s">
        <v>681</v>
      </c>
      <c r="G213" t="s">
        <v>704</v>
      </c>
      <c r="H213" s="9" t="s">
        <v>708</v>
      </c>
      <c r="I213" s="9" t="s">
        <v>722</v>
      </c>
      <c r="J213" s="9" t="s">
        <v>732</v>
      </c>
      <c r="K213" t="s">
        <v>945</v>
      </c>
      <c r="L213" s="7">
        <v>90.3</v>
      </c>
      <c r="M213" s="7">
        <v>131.76</v>
      </c>
      <c r="N213" s="5">
        <v>0.10199999999999999</v>
      </c>
      <c r="O213">
        <v>15</v>
      </c>
      <c r="P213" s="2">
        <f t="shared" si="27"/>
        <v>45873</v>
      </c>
      <c r="Q213" t="str">
        <f t="shared" si="28"/>
        <v>Ok</v>
      </c>
      <c r="R213">
        <f>ABS(Table2[[#This Row],[UnitPrice]])</f>
        <v>131.76</v>
      </c>
      <c r="S213">
        <f t="shared" si="29"/>
        <v>21</v>
      </c>
      <c r="T213" s="12">
        <f t="shared" si="30"/>
        <v>1774.8072</v>
      </c>
      <c r="U213">
        <f>Table2[[#This Row],[UnitCost]]*Table2[[#This Row],[Quantity]]</f>
        <v>1354.5</v>
      </c>
      <c r="V213" s="13">
        <f t="shared" si="31"/>
        <v>420.30719999999997</v>
      </c>
      <c r="W213" s="5">
        <f t="shared" si="32"/>
        <v>0.23681851189244668</v>
      </c>
      <c r="X213" s="17" t="str">
        <f t="shared" si="33"/>
        <v>Jul-2025</v>
      </c>
      <c r="Z213" t="str">
        <f t="shared" si="34"/>
        <v>Americas. Canada. Montreal</v>
      </c>
      <c r="AA213" t="str">
        <f t="shared" si="35"/>
        <v>Low</v>
      </c>
      <c r="AB213" t="str">
        <f t="array" ref="AB213">TEXT(MIN(IF($E$2:$E$633=E213, $B$2:$B$633)), "YYYY-MM")</f>
        <v>2023-01</v>
      </c>
      <c r="AC213" s="13">
        <f>SUM($T$2:T213)</f>
        <v>3662212.204450001</v>
      </c>
    </row>
    <row r="214" spans="1:29" x14ac:dyDescent="0.45">
      <c r="A214" t="s">
        <v>226</v>
      </c>
      <c r="B214" s="2">
        <v>45544</v>
      </c>
      <c r="C214" s="2">
        <v>45566</v>
      </c>
      <c r="D214" t="s">
        <v>647</v>
      </c>
      <c r="E214" t="s">
        <v>659</v>
      </c>
      <c r="F214" t="s">
        <v>676</v>
      </c>
      <c r="G214" t="s">
        <v>704</v>
      </c>
      <c r="H214" s="9" t="s">
        <v>711</v>
      </c>
      <c r="I214" s="9" t="s">
        <v>716</v>
      </c>
      <c r="J214" s="9" t="s">
        <v>728</v>
      </c>
      <c r="K214" t="s">
        <v>946</v>
      </c>
      <c r="L214" s="7">
        <v>1166.18</v>
      </c>
      <c r="M214" s="7">
        <v>1335.02</v>
      </c>
      <c r="N214" s="5">
        <v>0.128</v>
      </c>
      <c r="O214">
        <v>6</v>
      </c>
      <c r="P214" s="2">
        <f t="shared" si="27"/>
        <v>45566</v>
      </c>
      <c r="Q214" t="str">
        <f t="shared" si="28"/>
        <v>Ok</v>
      </c>
      <c r="R214">
        <f>ABS(Table2[[#This Row],[UnitPrice]])</f>
        <v>1335.02</v>
      </c>
      <c r="S214">
        <f t="shared" si="29"/>
        <v>22</v>
      </c>
      <c r="T214" s="12">
        <f t="shared" si="30"/>
        <v>6984.8246399999998</v>
      </c>
      <c r="U214">
        <f>Table2[[#This Row],[UnitCost]]*Table2[[#This Row],[Quantity]]</f>
        <v>6997.08</v>
      </c>
      <c r="V214" s="13">
        <f t="shared" si="31"/>
        <v>-12.25536000000011</v>
      </c>
      <c r="W214" s="5">
        <f t="shared" si="32"/>
        <v>-1.7545694604582242E-3</v>
      </c>
      <c r="X214" s="17" t="str">
        <f t="shared" si="33"/>
        <v>Sep-2024</v>
      </c>
      <c r="Z214" t="str">
        <f t="shared" si="34"/>
        <v>Asia. China. Shenzhen</v>
      </c>
      <c r="AA214" t="str">
        <f t="shared" si="35"/>
        <v>High</v>
      </c>
      <c r="AB214" t="str">
        <f t="array" ref="AB214">TEXT(MIN(IF($E$2:$E$633=E214, $B$2:$B$633)), "YYYY-MM")</f>
        <v>2023-01</v>
      </c>
      <c r="AC214" s="13">
        <f>SUM($T$2:T214)</f>
        <v>3669197.0290900008</v>
      </c>
    </row>
    <row r="215" spans="1:29" x14ac:dyDescent="0.45">
      <c r="A215" t="s">
        <v>227</v>
      </c>
      <c r="B215" s="2">
        <v>45686</v>
      </c>
      <c r="C215" s="2">
        <v>45694</v>
      </c>
      <c r="D215" t="s">
        <v>646</v>
      </c>
      <c r="E215" t="s">
        <v>650</v>
      </c>
      <c r="F215" t="s">
        <v>662</v>
      </c>
      <c r="G215" t="s">
        <v>702</v>
      </c>
      <c r="H215" s="9" t="s">
        <v>707</v>
      </c>
      <c r="I215" s="9" t="s">
        <v>717</v>
      </c>
      <c r="J215" s="9" t="s">
        <v>730</v>
      </c>
      <c r="K215" t="s">
        <v>947</v>
      </c>
      <c r="L215" s="7">
        <v>1445.27</v>
      </c>
      <c r="M215" s="7">
        <v>2691.45</v>
      </c>
      <c r="N215" s="5">
        <v>0</v>
      </c>
      <c r="O215">
        <v>9</v>
      </c>
      <c r="P215" s="2">
        <f t="shared" si="27"/>
        <v>45694</v>
      </c>
      <c r="Q215" t="str">
        <f t="shared" si="28"/>
        <v>Ok</v>
      </c>
      <c r="R215">
        <f>ABS(Table2[[#This Row],[UnitPrice]])</f>
        <v>2691.45</v>
      </c>
      <c r="S215">
        <f t="shared" si="29"/>
        <v>8</v>
      </c>
      <c r="T215" s="12">
        <f t="shared" si="30"/>
        <v>24223.05</v>
      </c>
      <c r="U215">
        <f>Table2[[#This Row],[UnitCost]]*Table2[[#This Row],[Quantity]]</f>
        <v>13007.43</v>
      </c>
      <c r="V215" s="13">
        <f t="shared" si="31"/>
        <v>11215.619999999999</v>
      </c>
      <c r="W215" s="5">
        <f t="shared" si="32"/>
        <v>0.46301436028906351</v>
      </c>
      <c r="X215" s="17" t="str">
        <f t="shared" si="33"/>
        <v>Jan-2025</v>
      </c>
      <c r="Z215" t="str">
        <f t="shared" si="34"/>
        <v>Africa. Kenya. Kisumu</v>
      </c>
      <c r="AA215" t="str">
        <f t="shared" si="35"/>
        <v>High</v>
      </c>
      <c r="AB215" t="str">
        <f t="array" ref="AB215">TEXT(MIN(IF($E$2:$E$633=E215, $B$2:$B$633)), "YYYY-MM")</f>
        <v>2023-01</v>
      </c>
      <c r="AC215" s="13">
        <f>SUM($T$2:T215)</f>
        <v>3693420.0790900006</v>
      </c>
    </row>
    <row r="216" spans="1:29" x14ac:dyDescent="0.45">
      <c r="A216" t="s">
        <v>228</v>
      </c>
      <c r="B216" s="2">
        <v>45240</v>
      </c>
      <c r="C216" s="2">
        <v>45258</v>
      </c>
      <c r="D216" t="s">
        <v>648</v>
      </c>
      <c r="E216" t="s">
        <v>655</v>
      </c>
      <c r="F216" t="s">
        <v>672</v>
      </c>
      <c r="G216" t="s">
        <v>702</v>
      </c>
      <c r="H216" s="9" t="s">
        <v>709</v>
      </c>
      <c r="I216" s="9" t="s">
        <v>716</v>
      </c>
      <c r="J216" s="9" t="s">
        <v>733</v>
      </c>
      <c r="K216" t="s">
        <v>948</v>
      </c>
      <c r="L216" s="7">
        <v>388.51</v>
      </c>
      <c r="M216" s="7">
        <v>776.46</v>
      </c>
      <c r="N216" s="5">
        <v>0.157</v>
      </c>
      <c r="O216">
        <v>12</v>
      </c>
      <c r="P216" s="2">
        <f t="shared" si="27"/>
        <v>45258</v>
      </c>
      <c r="Q216" t="str">
        <f t="shared" si="28"/>
        <v>Ok</v>
      </c>
      <c r="R216">
        <f>ABS(Table2[[#This Row],[UnitPrice]])</f>
        <v>776.46</v>
      </c>
      <c r="S216">
        <f t="shared" si="29"/>
        <v>18</v>
      </c>
      <c r="T216" s="12">
        <f t="shared" si="30"/>
        <v>7854.6693599999999</v>
      </c>
      <c r="U216">
        <f>Table2[[#This Row],[UnitCost]]*Table2[[#This Row],[Quantity]]</f>
        <v>4662.12</v>
      </c>
      <c r="V216" s="13">
        <f t="shared" si="31"/>
        <v>3192.54936</v>
      </c>
      <c r="W216" s="5">
        <f t="shared" si="32"/>
        <v>0.40645241876864946</v>
      </c>
      <c r="X216" s="17" t="str">
        <f t="shared" si="33"/>
        <v>Nov-2023</v>
      </c>
      <c r="Z216" t="str">
        <f t="shared" si="34"/>
        <v>Americas. Brazil. Brasília</v>
      </c>
      <c r="AA216" t="str">
        <f t="shared" si="35"/>
        <v>Low</v>
      </c>
      <c r="AB216" t="str">
        <f t="array" ref="AB216">TEXT(MIN(IF($E$2:$E$633=E216, $B$2:$B$633)), "YYYY-MM")</f>
        <v>2023-01</v>
      </c>
      <c r="AC216" s="13">
        <f>SUM($T$2:T216)</f>
        <v>3701274.7484500008</v>
      </c>
    </row>
    <row r="217" spans="1:29" x14ac:dyDescent="0.45">
      <c r="A217" t="s">
        <v>229</v>
      </c>
      <c r="B217" s="2">
        <v>45351</v>
      </c>
      <c r="C217" s="2">
        <v>45381</v>
      </c>
      <c r="D217" t="s">
        <v>647</v>
      </c>
      <c r="E217" t="s">
        <v>652</v>
      </c>
      <c r="F217" t="s">
        <v>694</v>
      </c>
      <c r="G217" t="s">
        <v>705</v>
      </c>
      <c r="H217" s="9" t="s">
        <v>711</v>
      </c>
      <c r="I217" s="9" t="s">
        <v>714</v>
      </c>
      <c r="J217" s="9" t="s">
        <v>729</v>
      </c>
      <c r="K217" t="s">
        <v>949</v>
      </c>
      <c r="L217" s="7">
        <v>231.11</v>
      </c>
      <c r="M217" s="7">
        <v>318.17</v>
      </c>
      <c r="N217" s="5">
        <v>0.20100000000000001</v>
      </c>
      <c r="O217">
        <v>60</v>
      </c>
      <c r="P217" s="2">
        <f t="shared" si="27"/>
        <v>45381</v>
      </c>
      <c r="Q217" t="str">
        <f t="shared" si="28"/>
        <v>Ok</v>
      </c>
      <c r="R217">
        <f>ABS(Table2[[#This Row],[UnitPrice]])</f>
        <v>318.17</v>
      </c>
      <c r="S217">
        <f t="shared" si="29"/>
        <v>30</v>
      </c>
      <c r="T217" s="12">
        <f t="shared" si="30"/>
        <v>15253.069799999999</v>
      </c>
      <c r="U217">
        <f>Table2[[#This Row],[UnitCost]]*Table2[[#This Row],[Quantity]]</f>
        <v>13866.6</v>
      </c>
      <c r="V217" s="13">
        <f t="shared" si="31"/>
        <v>1386.4697999999989</v>
      </c>
      <c r="W217" s="5">
        <f t="shared" si="32"/>
        <v>9.0897754889969692E-2</v>
      </c>
      <c r="X217" s="17" t="str">
        <f t="shared" si="33"/>
        <v>Feb-2024</v>
      </c>
      <c r="Z217" t="str">
        <f t="shared" si="34"/>
        <v>Asia. Japan. Nagoya</v>
      </c>
      <c r="AA217" t="str">
        <f t="shared" si="35"/>
        <v>Low</v>
      </c>
      <c r="AB217" t="str">
        <f t="array" ref="AB217">TEXT(MIN(IF($E$2:$E$633=E217, $B$2:$B$633)), "YYYY-MM")</f>
        <v>2023-03</v>
      </c>
      <c r="AC217" s="13">
        <f>SUM($T$2:T217)</f>
        <v>3716527.8182500009</v>
      </c>
    </row>
    <row r="218" spans="1:29" x14ac:dyDescent="0.45">
      <c r="A218" t="s">
        <v>230</v>
      </c>
      <c r="B218" s="2">
        <v>45280</v>
      </c>
      <c r="C218" s="2">
        <v>45305</v>
      </c>
      <c r="D218" t="s">
        <v>647</v>
      </c>
      <c r="E218" t="s">
        <v>654</v>
      </c>
      <c r="F218" t="s">
        <v>691</v>
      </c>
      <c r="G218" t="s">
        <v>703</v>
      </c>
      <c r="H218" s="9" t="s">
        <v>709</v>
      </c>
      <c r="I218" s="9" t="s">
        <v>716</v>
      </c>
      <c r="J218" s="9" t="s">
        <v>732</v>
      </c>
      <c r="K218" t="s">
        <v>950</v>
      </c>
      <c r="L218" s="7">
        <v>1085.6099999999999</v>
      </c>
      <c r="M218" s="7">
        <v>1246.4100000000001</v>
      </c>
      <c r="N218" s="5">
        <v>0.113</v>
      </c>
      <c r="O218">
        <v>7</v>
      </c>
      <c r="P218" s="2">
        <f t="shared" si="27"/>
        <v>45305</v>
      </c>
      <c r="Q218" t="str">
        <f t="shared" si="28"/>
        <v>Ok</v>
      </c>
      <c r="R218">
        <f>ABS(Table2[[#This Row],[UnitPrice]])</f>
        <v>1246.4100000000001</v>
      </c>
      <c r="S218">
        <f t="shared" si="29"/>
        <v>25</v>
      </c>
      <c r="T218" s="12">
        <f t="shared" si="30"/>
        <v>7738.9596900000006</v>
      </c>
      <c r="U218">
        <f>Table2[[#This Row],[UnitCost]]*Table2[[#This Row],[Quantity]]</f>
        <v>7599.2699999999995</v>
      </c>
      <c r="V218" s="13">
        <f t="shared" si="31"/>
        <v>139.68969000000106</v>
      </c>
      <c r="W218" s="5">
        <f t="shared" si="32"/>
        <v>1.8050189637310417E-2</v>
      </c>
      <c r="X218" s="17" t="str">
        <f t="shared" si="33"/>
        <v>Dec-2023</v>
      </c>
      <c r="Z218" t="str">
        <f t="shared" si="34"/>
        <v>Asia. India. Mumbai</v>
      </c>
      <c r="AA218" t="str">
        <f t="shared" si="35"/>
        <v>High</v>
      </c>
      <c r="AB218" t="str">
        <f t="array" ref="AB218">TEXT(MIN(IF($E$2:$E$633=E218, $B$2:$B$633)), "YYYY-MM")</f>
        <v>2023-01</v>
      </c>
      <c r="AC218" s="13">
        <f>SUM($T$2:T218)</f>
        <v>3724266.7779400009</v>
      </c>
    </row>
    <row r="219" spans="1:29" x14ac:dyDescent="0.45">
      <c r="A219" t="s">
        <v>231</v>
      </c>
      <c r="B219" s="2">
        <v>44948</v>
      </c>
      <c r="C219" s="2">
        <v>44947</v>
      </c>
      <c r="D219" t="s">
        <v>649</v>
      </c>
      <c r="E219" t="s">
        <v>656</v>
      </c>
      <c r="F219" t="s">
        <v>684</v>
      </c>
      <c r="G219" t="s">
        <v>701</v>
      </c>
      <c r="H219" s="9" t="s">
        <v>711</v>
      </c>
      <c r="I219" s="9" t="s">
        <v>721</v>
      </c>
      <c r="J219" s="9" t="s">
        <v>732</v>
      </c>
      <c r="K219" t="s">
        <v>951</v>
      </c>
      <c r="L219" s="7">
        <v>150.86000000000001</v>
      </c>
      <c r="M219" s="7">
        <v>346.96</v>
      </c>
      <c r="N219" s="5">
        <v>0.19600000000000001</v>
      </c>
      <c r="O219">
        <v>8</v>
      </c>
      <c r="P219" s="2">
        <f t="shared" si="27"/>
        <v>44955</v>
      </c>
      <c r="Q219" t="str">
        <f t="shared" si="28"/>
        <v>Ok</v>
      </c>
      <c r="R219">
        <f>ABS(Table2[[#This Row],[UnitPrice]])</f>
        <v>346.96</v>
      </c>
      <c r="S219">
        <f t="shared" si="29"/>
        <v>7</v>
      </c>
      <c r="T219" s="12">
        <f t="shared" si="30"/>
        <v>2231.6467200000002</v>
      </c>
      <c r="U219">
        <f>Table2[[#This Row],[UnitCost]]*Table2[[#This Row],[Quantity]]</f>
        <v>1206.8800000000001</v>
      </c>
      <c r="V219" s="13">
        <f t="shared" si="31"/>
        <v>1024.7667200000001</v>
      </c>
      <c r="W219" s="5">
        <f t="shared" si="32"/>
        <v>0.45919755614365343</v>
      </c>
      <c r="X219" s="17" t="str">
        <f t="shared" si="33"/>
        <v>Jan-2023</v>
      </c>
      <c r="Z219" t="str">
        <f t="shared" si="34"/>
        <v>Europe. Germany. Munich</v>
      </c>
      <c r="AA219" t="str">
        <f t="shared" si="35"/>
        <v>Low</v>
      </c>
      <c r="AB219" t="str">
        <f t="array" ref="AB219">TEXT(MIN(IF($E$2:$E$633=E219, $B$2:$B$633)), "YYYY-MM")</f>
        <v>2023-01</v>
      </c>
      <c r="AC219" s="13">
        <f>SUM($T$2:T219)</f>
        <v>3726498.424660001</v>
      </c>
    </row>
    <row r="220" spans="1:29" x14ac:dyDescent="0.45">
      <c r="A220" t="s">
        <v>232</v>
      </c>
      <c r="B220" s="2">
        <v>45576</v>
      </c>
      <c r="C220" s="2">
        <v>45605</v>
      </c>
      <c r="D220" t="s">
        <v>647</v>
      </c>
      <c r="E220" t="s">
        <v>659</v>
      </c>
      <c r="F220" t="s">
        <v>685</v>
      </c>
      <c r="G220" t="s">
        <v>703</v>
      </c>
      <c r="H220" s="9" t="s">
        <v>708</v>
      </c>
      <c r="I220" s="9" t="s">
        <v>721</v>
      </c>
      <c r="J220" s="9" t="s">
        <v>728</v>
      </c>
      <c r="K220" t="s">
        <v>952</v>
      </c>
      <c r="L220" s="7">
        <v>391.64</v>
      </c>
      <c r="M220" s="7">
        <v>504.76</v>
      </c>
      <c r="N220" s="5">
        <v>4.0000000000000001E-3</v>
      </c>
      <c r="O220">
        <v>13</v>
      </c>
      <c r="P220" s="2">
        <f t="shared" si="27"/>
        <v>45605</v>
      </c>
      <c r="Q220" t="str">
        <f t="shared" si="28"/>
        <v>Ok</v>
      </c>
      <c r="R220">
        <f>ABS(Table2[[#This Row],[UnitPrice]])</f>
        <v>504.76</v>
      </c>
      <c r="S220">
        <f t="shared" si="29"/>
        <v>29</v>
      </c>
      <c r="T220" s="12">
        <f t="shared" si="30"/>
        <v>6535.6324800000002</v>
      </c>
      <c r="U220">
        <f>Table2[[#This Row],[UnitCost]]*Table2[[#This Row],[Quantity]]</f>
        <v>5091.32</v>
      </c>
      <c r="V220" s="13">
        <f t="shared" si="31"/>
        <v>1444.3124800000005</v>
      </c>
      <c r="W220" s="5">
        <f t="shared" si="32"/>
        <v>0.22099046793402319</v>
      </c>
      <c r="X220" s="17" t="str">
        <f t="shared" si="33"/>
        <v>Oct-2024</v>
      </c>
      <c r="Z220" t="str">
        <f t="shared" si="34"/>
        <v>Asia. China. Shanghai</v>
      </c>
      <c r="AA220" t="str">
        <f t="shared" si="35"/>
        <v>Low</v>
      </c>
      <c r="AB220" t="str">
        <f t="array" ref="AB220">TEXT(MIN(IF($E$2:$E$633=E220, $B$2:$B$633)), "YYYY-MM")</f>
        <v>2023-01</v>
      </c>
      <c r="AC220" s="13">
        <f>SUM($T$2:T220)</f>
        <v>3733034.0571400011</v>
      </c>
    </row>
    <row r="221" spans="1:29" x14ac:dyDescent="0.45">
      <c r="A221" t="s">
        <v>233</v>
      </c>
      <c r="B221" s="2">
        <v>45554</v>
      </c>
      <c r="C221" s="2">
        <v>45579</v>
      </c>
      <c r="D221" t="s">
        <v>648</v>
      </c>
      <c r="E221" t="s">
        <v>655</v>
      </c>
      <c r="F221" t="s">
        <v>692</v>
      </c>
      <c r="G221" t="s">
        <v>705</v>
      </c>
      <c r="H221" s="9" t="s">
        <v>707</v>
      </c>
      <c r="I221" s="9" t="s">
        <v>723</v>
      </c>
      <c r="J221" s="9" t="s">
        <v>728</v>
      </c>
      <c r="K221" t="s">
        <v>953</v>
      </c>
      <c r="L221" s="7">
        <v>386.96</v>
      </c>
      <c r="M221" s="7">
        <v>937.46</v>
      </c>
      <c r="N221" s="5">
        <v>0.26600000000000001</v>
      </c>
      <c r="O221">
        <v>41</v>
      </c>
      <c r="P221" s="2">
        <f t="shared" si="27"/>
        <v>45579</v>
      </c>
      <c r="Q221" t="str">
        <f t="shared" si="28"/>
        <v>Ok</v>
      </c>
      <c r="R221">
        <f>ABS(Table2[[#This Row],[UnitPrice]])</f>
        <v>937.46</v>
      </c>
      <c r="S221">
        <f t="shared" si="29"/>
        <v>25</v>
      </c>
      <c r="T221" s="12">
        <f t="shared" si="30"/>
        <v>28211.92124</v>
      </c>
      <c r="U221">
        <f>Table2[[#This Row],[UnitCost]]*Table2[[#This Row],[Quantity]]</f>
        <v>15865.359999999999</v>
      </c>
      <c r="V221" s="13">
        <f t="shared" si="31"/>
        <v>12346.561240000001</v>
      </c>
      <c r="W221" s="5">
        <f t="shared" si="32"/>
        <v>0.43763631462626335</v>
      </c>
      <c r="X221" s="17" t="str">
        <f t="shared" si="33"/>
        <v>Sep-2024</v>
      </c>
      <c r="Z221" t="str">
        <f t="shared" si="34"/>
        <v>Americas. Brazil. Rio de Janeiro</v>
      </c>
      <c r="AA221" t="str">
        <f t="shared" si="35"/>
        <v>Low</v>
      </c>
      <c r="AB221" t="str">
        <f t="array" ref="AB221">TEXT(MIN(IF($E$2:$E$633=E221, $B$2:$B$633)), "YYYY-MM")</f>
        <v>2023-01</v>
      </c>
      <c r="AC221" s="13">
        <f>SUM($T$2:T221)</f>
        <v>3761245.9783800012</v>
      </c>
    </row>
    <row r="222" spans="1:29" x14ac:dyDescent="0.45">
      <c r="A222" t="s">
        <v>234</v>
      </c>
      <c r="B222" s="2">
        <v>45894</v>
      </c>
      <c r="C222" s="2">
        <v>45924</v>
      </c>
      <c r="D222" t="s">
        <v>646</v>
      </c>
      <c r="E222" t="s">
        <v>650</v>
      </c>
      <c r="F222" t="s">
        <v>664</v>
      </c>
      <c r="G222" t="s">
        <v>704</v>
      </c>
      <c r="H222" s="9" t="s">
        <v>711</v>
      </c>
      <c r="I222" s="9" t="s">
        <v>717</v>
      </c>
      <c r="J222" s="9" t="s">
        <v>727</v>
      </c>
      <c r="K222" t="s">
        <v>954</v>
      </c>
      <c r="L222" s="7">
        <v>589.14</v>
      </c>
      <c r="M222" s="7">
        <v>1300.58</v>
      </c>
      <c r="N222" s="5">
        <v>5.5E-2</v>
      </c>
      <c r="O222">
        <v>11</v>
      </c>
      <c r="P222" s="2">
        <f t="shared" si="27"/>
        <v>45924</v>
      </c>
      <c r="Q222" t="str">
        <f t="shared" si="28"/>
        <v>Ok</v>
      </c>
      <c r="R222">
        <f>ABS(Table2[[#This Row],[UnitPrice]])</f>
        <v>1300.58</v>
      </c>
      <c r="S222">
        <f t="shared" si="29"/>
        <v>30</v>
      </c>
      <c r="T222" s="12">
        <f t="shared" si="30"/>
        <v>13519.529099999998</v>
      </c>
      <c r="U222">
        <f>Table2[[#This Row],[UnitCost]]*Table2[[#This Row],[Quantity]]</f>
        <v>6480.54</v>
      </c>
      <c r="V222" s="13">
        <f t="shared" si="31"/>
        <v>7038.989099999998</v>
      </c>
      <c r="W222" s="5">
        <f t="shared" si="32"/>
        <v>0.52065342275863724</v>
      </c>
      <c r="X222" s="17" t="str">
        <f t="shared" si="33"/>
        <v>Aug-2025</v>
      </c>
      <c r="Z222" t="str">
        <f t="shared" si="34"/>
        <v>Africa. Kenya. Nairobi</v>
      </c>
      <c r="AA222" t="str">
        <f t="shared" si="35"/>
        <v>High</v>
      </c>
      <c r="AB222" t="str">
        <f t="array" ref="AB222">TEXT(MIN(IF($E$2:$E$633=E222, $B$2:$B$633)), "YYYY-MM")</f>
        <v>2023-01</v>
      </c>
      <c r="AC222" s="13">
        <f>SUM($T$2:T222)</f>
        <v>3774765.5074800011</v>
      </c>
    </row>
    <row r="223" spans="1:29" x14ac:dyDescent="0.45">
      <c r="A223" t="s">
        <v>235</v>
      </c>
      <c r="B223" s="2">
        <v>45194</v>
      </c>
      <c r="C223" s="2">
        <v>45201</v>
      </c>
      <c r="D223" t="s">
        <v>648</v>
      </c>
      <c r="E223" t="s">
        <v>660</v>
      </c>
      <c r="F223" t="s">
        <v>700</v>
      </c>
      <c r="G223" t="s">
        <v>702</v>
      </c>
      <c r="H223" s="9" t="s">
        <v>709</v>
      </c>
      <c r="I223" s="9" t="s">
        <v>714</v>
      </c>
      <c r="J223" s="9" t="s">
        <v>733</v>
      </c>
      <c r="K223" t="s">
        <v>955</v>
      </c>
      <c r="L223" s="7">
        <v>145.58000000000001</v>
      </c>
      <c r="M223" s="7">
        <v>228.15</v>
      </c>
      <c r="N223" s="5">
        <v>0.20399999999999999</v>
      </c>
      <c r="O223">
        <v>5</v>
      </c>
      <c r="P223" s="2">
        <f t="shared" si="27"/>
        <v>45201</v>
      </c>
      <c r="Q223" t="str">
        <f t="shared" si="28"/>
        <v>Ok</v>
      </c>
      <c r="R223">
        <f>ABS(Table2[[#This Row],[UnitPrice]])</f>
        <v>228.15</v>
      </c>
      <c r="S223">
        <f t="shared" si="29"/>
        <v>7</v>
      </c>
      <c r="T223" s="12">
        <f t="shared" si="30"/>
        <v>908.03700000000003</v>
      </c>
      <c r="U223">
        <f>Table2[[#This Row],[UnitCost]]*Table2[[#This Row],[Quantity]]</f>
        <v>727.90000000000009</v>
      </c>
      <c r="V223" s="13">
        <f t="shared" si="31"/>
        <v>180.13699999999994</v>
      </c>
      <c r="W223" s="5">
        <f t="shared" si="32"/>
        <v>0.19838068272548359</v>
      </c>
      <c r="X223" s="17" t="str">
        <f t="shared" si="33"/>
        <v>Sep-2023</v>
      </c>
      <c r="Z223" t="str">
        <f t="shared" si="34"/>
        <v>Americas. USA. New York</v>
      </c>
      <c r="AA223" t="str">
        <f t="shared" si="35"/>
        <v>Low</v>
      </c>
      <c r="AB223" t="str">
        <f t="array" ref="AB223">TEXT(MIN(IF($E$2:$E$633=E223, $B$2:$B$633)), "YYYY-MM")</f>
        <v>2023-01</v>
      </c>
      <c r="AC223" s="13">
        <f>SUM($T$2:T223)</f>
        <v>3775673.5444800011</v>
      </c>
    </row>
    <row r="224" spans="1:29" x14ac:dyDescent="0.45">
      <c r="A224" t="s">
        <v>236</v>
      </c>
      <c r="B224" s="2">
        <v>45164</v>
      </c>
      <c r="C224" s="2">
        <v>45179</v>
      </c>
      <c r="D224" t="s">
        <v>646</v>
      </c>
      <c r="E224" t="s">
        <v>661</v>
      </c>
      <c r="F224" t="s">
        <v>695</v>
      </c>
      <c r="G224" t="s">
        <v>703</v>
      </c>
      <c r="H224" s="9" t="s">
        <v>711</v>
      </c>
      <c r="I224" s="9" t="s">
        <v>725</v>
      </c>
      <c r="J224" s="9" t="s">
        <v>727</v>
      </c>
      <c r="K224" t="s">
        <v>956</v>
      </c>
      <c r="L224" s="7">
        <v>241.14</v>
      </c>
      <c r="M224" s="7">
        <v>496.52</v>
      </c>
      <c r="N224" s="5">
        <v>9.2999999999999999E-2</v>
      </c>
      <c r="O224">
        <v>10</v>
      </c>
      <c r="P224" s="2">
        <f t="shared" si="27"/>
        <v>45179</v>
      </c>
      <c r="Q224" t="str">
        <f t="shared" si="28"/>
        <v>Ok</v>
      </c>
      <c r="R224">
        <f>ABS(Table2[[#This Row],[UnitPrice]])</f>
        <v>496.52</v>
      </c>
      <c r="S224">
        <f t="shared" si="29"/>
        <v>15</v>
      </c>
      <c r="T224" s="12">
        <f t="shared" si="30"/>
        <v>4503.4363999999996</v>
      </c>
      <c r="U224">
        <f>Table2[[#This Row],[UnitCost]]*Table2[[#This Row],[Quantity]]</f>
        <v>2411.3999999999996</v>
      </c>
      <c r="V224" s="13">
        <f t="shared" si="31"/>
        <v>2092.0364</v>
      </c>
      <c r="W224" s="5">
        <f t="shared" si="32"/>
        <v>0.46454223268257994</v>
      </c>
      <c r="X224" s="17" t="str">
        <f t="shared" si="33"/>
        <v>Aug-2023</v>
      </c>
      <c r="Z224" t="str">
        <f t="shared" si="34"/>
        <v>Africa. South Africa. Cape Town</v>
      </c>
      <c r="AA224" t="str">
        <f t="shared" si="35"/>
        <v>Low</v>
      </c>
      <c r="AB224" t="str">
        <f t="array" ref="AB224">TEXT(MIN(IF($E$2:$E$633=E224, $B$2:$B$633)), "YYYY-MM")</f>
        <v>2023-01</v>
      </c>
      <c r="AC224" s="13">
        <f>SUM($T$2:T224)</f>
        <v>3780176.9808800011</v>
      </c>
    </row>
    <row r="225" spans="1:29" x14ac:dyDescent="0.45">
      <c r="A225" t="s">
        <v>237</v>
      </c>
      <c r="B225" s="2">
        <v>45854</v>
      </c>
      <c r="C225" s="2">
        <v>45855</v>
      </c>
      <c r="D225" t="s">
        <v>646</v>
      </c>
      <c r="E225" t="s">
        <v>661</v>
      </c>
      <c r="F225" t="s">
        <v>687</v>
      </c>
      <c r="G225" t="s">
        <v>705</v>
      </c>
      <c r="H225" s="9" t="s">
        <v>710</v>
      </c>
      <c r="I225" s="9" t="s">
        <v>717</v>
      </c>
      <c r="J225" s="9" t="s">
        <v>729</v>
      </c>
      <c r="K225" t="s">
        <v>957</v>
      </c>
      <c r="L225" s="7">
        <v>1198.9000000000001</v>
      </c>
      <c r="M225" s="7">
        <v>2941.2</v>
      </c>
      <c r="N225" s="5">
        <v>5.0999999999999997E-2</v>
      </c>
      <c r="O225">
        <v>24</v>
      </c>
      <c r="P225" s="2">
        <f t="shared" si="27"/>
        <v>45855</v>
      </c>
      <c r="Q225" t="str">
        <f t="shared" si="28"/>
        <v>Ok</v>
      </c>
      <c r="R225">
        <f>ABS(Table2[[#This Row],[UnitPrice]])</f>
        <v>2941.2</v>
      </c>
      <c r="S225">
        <f t="shared" si="29"/>
        <v>1</v>
      </c>
      <c r="T225" s="12">
        <f t="shared" si="30"/>
        <v>66988.771199999988</v>
      </c>
      <c r="U225">
        <f>Table2[[#This Row],[UnitCost]]*Table2[[#This Row],[Quantity]]</f>
        <v>28773.600000000002</v>
      </c>
      <c r="V225" s="13">
        <f t="shared" si="31"/>
        <v>38215.171199999982</v>
      </c>
      <c r="W225" s="5">
        <f t="shared" si="32"/>
        <v>0.57047129713583977</v>
      </c>
      <c r="X225" s="17" t="str">
        <f t="shared" si="33"/>
        <v>Jul-2025</v>
      </c>
      <c r="Z225" t="str">
        <f t="shared" si="34"/>
        <v>Africa. South Africa. Durban</v>
      </c>
      <c r="AA225" t="str">
        <f t="shared" si="35"/>
        <v>High</v>
      </c>
      <c r="AB225" t="str">
        <f t="array" ref="AB225">TEXT(MIN(IF($E$2:$E$633=E225, $B$2:$B$633)), "YYYY-MM")</f>
        <v>2023-01</v>
      </c>
      <c r="AC225" s="13">
        <f>SUM($T$2:T225)</f>
        <v>3847165.7520800009</v>
      </c>
    </row>
    <row r="226" spans="1:29" x14ac:dyDescent="0.45">
      <c r="A226" t="s">
        <v>238</v>
      </c>
      <c r="B226" s="2">
        <v>45035</v>
      </c>
      <c r="C226" s="2">
        <v>45053</v>
      </c>
      <c r="D226" t="s">
        <v>649</v>
      </c>
      <c r="E226" t="s">
        <v>658</v>
      </c>
      <c r="F226" t="s">
        <v>674</v>
      </c>
      <c r="G226" t="s">
        <v>706</v>
      </c>
      <c r="H226" s="9" t="s">
        <v>707</v>
      </c>
      <c r="I226" s="9" t="s">
        <v>725</v>
      </c>
      <c r="J226" s="9" t="s">
        <v>731</v>
      </c>
      <c r="K226" t="s">
        <v>958</v>
      </c>
      <c r="L226" s="7">
        <v>1089.1500000000001</v>
      </c>
      <c r="M226" s="7">
        <v>1088.2</v>
      </c>
      <c r="N226" s="5">
        <v>5.0999999999999997E-2</v>
      </c>
      <c r="O226">
        <v>15</v>
      </c>
      <c r="P226" s="2">
        <f t="shared" si="27"/>
        <v>45053</v>
      </c>
      <c r="Q226" t="str">
        <f t="shared" si="28"/>
        <v>Ok</v>
      </c>
      <c r="R226">
        <f>ABS(Table2[[#This Row],[UnitPrice]])</f>
        <v>1088.2</v>
      </c>
      <c r="S226">
        <f t="shared" si="29"/>
        <v>18</v>
      </c>
      <c r="T226" s="12">
        <f t="shared" si="30"/>
        <v>15490.527</v>
      </c>
      <c r="U226">
        <f>Table2[[#This Row],[UnitCost]]*Table2[[#This Row],[Quantity]]</f>
        <v>16337.250000000002</v>
      </c>
      <c r="V226" s="13">
        <f t="shared" si="31"/>
        <v>-846.72300000000178</v>
      </c>
      <c r="W226" s="5">
        <f t="shared" si="32"/>
        <v>-5.4660696824582002E-2</v>
      </c>
      <c r="X226" s="17" t="str">
        <f t="shared" si="33"/>
        <v>Apr-2023</v>
      </c>
      <c r="Z226" t="str">
        <f t="shared" si="34"/>
        <v>Europe. United Kingdom. Birmingham</v>
      </c>
      <c r="AA226" t="str">
        <f t="shared" si="35"/>
        <v>Low</v>
      </c>
      <c r="AB226" t="str">
        <f t="array" ref="AB226">TEXT(MIN(IF($E$2:$E$633=E226, $B$2:$B$633)), "YYYY-MM")</f>
        <v>2023-01</v>
      </c>
      <c r="AC226" s="13">
        <f>SUM($T$2:T226)</f>
        <v>3862656.2790800007</v>
      </c>
    </row>
    <row r="227" spans="1:29" x14ac:dyDescent="0.45">
      <c r="A227" t="s">
        <v>239</v>
      </c>
      <c r="B227" s="2">
        <v>45279</v>
      </c>
      <c r="C227" s="2">
        <v>45280</v>
      </c>
      <c r="D227" t="s">
        <v>648</v>
      </c>
      <c r="E227" t="s">
        <v>655</v>
      </c>
      <c r="F227" t="s">
        <v>692</v>
      </c>
      <c r="G227" t="s">
        <v>704</v>
      </c>
      <c r="H227" s="9" t="s">
        <v>710</v>
      </c>
      <c r="I227" s="9" t="s">
        <v>713</v>
      </c>
      <c r="J227" s="9" t="s">
        <v>730</v>
      </c>
      <c r="K227" t="s">
        <v>959</v>
      </c>
      <c r="L227" s="7">
        <v>1080.43</v>
      </c>
      <c r="M227" s="7">
        <v>2529.15</v>
      </c>
      <c r="N227" s="5">
        <v>0.14699999999999999</v>
      </c>
      <c r="O227">
        <v>10</v>
      </c>
      <c r="P227" s="2">
        <f t="shared" si="27"/>
        <v>45280</v>
      </c>
      <c r="Q227" t="str">
        <f t="shared" si="28"/>
        <v>Ok</v>
      </c>
      <c r="R227">
        <f>ABS(Table2[[#This Row],[UnitPrice]])</f>
        <v>2529.15</v>
      </c>
      <c r="S227">
        <f t="shared" si="29"/>
        <v>1</v>
      </c>
      <c r="T227" s="12">
        <f t="shared" si="30"/>
        <v>21573.6495</v>
      </c>
      <c r="U227">
        <f>Table2[[#This Row],[UnitCost]]*Table2[[#This Row],[Quantity]]</f>
        <v>10804.300000000001</v>
      </c>
      <c r="V227" s="13">
        <f t="shared" si="31"/>
        <v>10769.349499999998</v>
      </c>
      <c r="W227" s="5">
        <f t="shared" si="32"/>
        <v>0.49918997247081437</v>
      </c>
      <c r="X227" s="17" t="str">
        <f t="shared" si="33"/>
        <v>Dec-2023</v>
      </c>
      <c r="Z227" t="str">
        <f t="shared" si="34"/>
        <v>Americas. Brazil. Rio de Janeiro</v>
      </c>
      <c r="AA227" t="str">
        <f t="shared" si="35"/>
        <v>High</v>
      </c>
      <c r="AB227" t="str">
        <f t="array" ref="AB227">TEXT(MIN(IF($E$2:$E$633=E227, $B$2:$B$633)), "YYYY-MM")</f>
        <v>2023-01</v>
      </c>
      <c r="AC227" s="13">
        <f>SUM($T$2:T227)</f>
        <v>3884229.9285800005</v>
      </c>
    </row>
    <row r="228" spans="1:29" x14ac:dyDescent="0.45">
      <c r="A228" t="s">
        <v>240</v>
      </c>
      <c r="B228" s="2">
        <v>45137</v>
      </c>
      <c r="C228" s="2">
        <v>45145</v>
      </c>
      <c r="D228" t="s">
        <v>647</v>
      </c>
      <c r="E228" t="s">
        <v>652</v>
      </c>
      <c r="F228" t="s">
        <v>694</v>
      </c>
      <c r="G228" t="s">
        <v>702</v>
      </c>
      <c r="H228" s="9" t="s">
        <v>709</v>
      </c>
      <c r="I228" s="9" t="s">
        <v>720</v>
      </c>
      <c r="J228" s="9" t="s">
        <v>729</v>
      </c>
      <c r="K228" t="s">
        <v>960</v>
      </c>
      <c r="L228" s="7">
        <v>1352.44</v>
      </c>
      <c r="M228" s="7">
        <v>2698.01</v>
      </c>
      <c r="N228" s="5">
        <v>0.13100000000000001</v>
      </c>
      <c r="O228">
        <v>13</v>
      </c>
      <c r="P228" s="2">
        <f t="shared" si="27"/>
        <v>45145</v>
      </c>
      <c r="Q228" t="str">
        <f t="shared" si="28"/>
        <v>Ok</v>
      </c>
      <c r="R228">
        <f>ABS(Table2[[#This Row],[UnitPrice]])</f>
        <v>2698.01</v>
      </c>
      <c r="S228">
        <f t="shared" si="29"/>
        <v>8</v>
      </c>
      <c r="T228" s="12">
        <f t="shared" si="30"/>
        <v>30479.418970000002</v>
      </c>
      <c r="U228">
        <f>Table2[[#This Row],[UnitCost]]*Table2[[#This Row],[Quantity]]</f>
        <v>17581.72</v>
      </c>
      <c r="V228" s="13">
        <f t="shared" si="31"/>
        <v>12897.698970000001</v>
      </c>
      <c r="W228" s="5">
        <f t="shared" si="32"/>
        <v>0.42316091992090887</v>
      </c>
      <c r="X228" s="17" t="str">
        <f t="shared" si="33"/>
        <v>Jul-2023</v>
      </c>
      <c r="Z228" t="str">
        <f t="shared" si="34"/>
        <v>Asia. Japan. Nagoya</v>
      </c>
      <c r="AA228" t="str">
        <f t="shared" si="35"/>
        <v>High</v>
      </c>
      <c r="AB228" t="str">
        <f t="array" ref="AB228">TEXT(MIN(IF($E$2:$E$633=E228, $B$2:$B$633)), "YYYY-MM")</f>
        <v>2023-03</v>
      </c>
      <c r="AC228" s="13">
        <f>SUM($T$2:T228)</f>
        <v>3914709.3475500005</v>
      </c>
    </row>
    <row r="229" spans="1:29" x14ac:dyDescent="0.45">
      <c r="A229" t="s">
        <v>241</v>
      </c>
      <c r="B229" s="2">
        <v>45203</v>
      </c>
      <c r="C229" s="2">
        <v>45228</v>
      </c>
      <c r="D229" t="s">
        <v>648</v>
      </c>
      <c r="E229" t="s">
        <v>660</v>
      </c>
      <c r="F229" t="s">
        <v>686</v>
      </c>
      <c r="G229" t="s">
        <v>705</v>
      </c>
      <c r="H229" s="9" t="s">
        <v>710</v>
      </c>
      <c r="I229" s="9" t="s">
        <v>719</v>
      </c>
      <c r="J229" s="9" t="s">
        <v>733</v>
      </c>
      <c r="K229" t="s">
        <v>961</v>
      </c>
      <c r="L229" s="7">
        <v>1239.8399999999999</v>
      </c>
      <c r="M229" s="7">
        <v>1482.75</v>
      </c>
      <c r="N229" s="5">
        <v>6.7000000000000004E-2</v>
      </c>
      <c r="O229">
        <v>4</v>
      </c>
      <c r="P229" s="2">
        <f t="shared" si="27"/>
        <v>45228</v>
      </c>
      <c r="Q229" t="str">
        <f t="shared" si="28"/>
        <v>Ok</v>
      </c>
      <c r="R229">
        <f>ABS(Table2[[#This Row],[UnitPrice]])</f>
        <v>1482.75</v>
      </c>
      <c r="S229">
        <f t="shared" si="29"/>
        <v>25</v>
      </c>
      <c r="T229" s="12">
        <f t="shared" si="30"/>
        <v>5533.6230000000005</v>
      </c>
      <c r="U229">
        <f>Table2[[#This Row],[UnitCost]]*Table2[[#This Row],[Quantity]]</f>
        <v>4959.3599999999997</v>
      </c>
      <c r="V229" s="13">
        <f t="shared" si="31"/>
        <v>574.26300000000083</v>
      </c>
      <c r="W229" s="5">
        <f t="shared" si="32"/>
        <v>0.10377703721413634</v>
      </c>
      <c r="X229" s="17" t="str">
        <f t="shared" si="33"/>
        <v>Oct-2023</v>
      </c>
      <c r="Z229" t="str">
        <f t="shared" si="34"/>
        <v>Americas. USA. San Francisco</v>
      </c>
      <c r="AA229" t="str">
        <f t="shared" si="35"/>
        <v>High</v>
      </c>
      <c r="AB229" t="str">
        <f t="array" ref="AB229">TEXT(MIN(IF($E$2:$E$633=E229, $B$2:$B$633)), "YYYY-MM")</f>
        <v>2023-01</v>
      </c>
      <c r="AC229" s="13">
        <f>SUM($T$2:T229)</f>
        <v>3920242.9705500007</v>
      </c>
    </row>
    <row r="230" spans="1:29" x14ac:dyDescent="0.45">
      <c r="A230" t="s">
        <v>242</v>
      </c>
      <c r="B230" s="2">
        <v>45879</v>
      </c>
      <c r="C230" s="2">
        <v>45899</v>
      </c>
      <c r="D230" t="s">
        <v>648</v>
      </c>
      <c r="E230" t="s">
        <v>660</v>
      </c>
      <c r="F230" t="s">
        <v>686</v>
      </c>
      <c r="G230" t="s">
        <v>701</v>
      </c>
      <c r="H230" s="9" t="s">
        <v>709</v>
      </c>
      <c r="I230" s="9" t="s">
        <v>723</v>
      </c>
      <c r="J230" s="9" t="s">
        <v>728</v>
      </c>
      <c r="K230" t="s">
        <v>962</v>
      </c>
      <c r="L230" s="7">
        <v>933.29</v>
      </c>
      <c r="M230" s="7">
        <v>1456.81</v>
      </c>
      <c r="N230" s="5">
        <v>0.123</v>
      </c>
      <c r="O230">
        <v>13</v>
      </c>
      <c r="P230" s="2">
        <f t="shared" si="27"/>
        <v>45899</v>
      </c>
      <c r="Q230" t="str">
        <f t="shared" si="28"/>
        <v>Ok</v>
      </c>
      <c r="R230">
        <f>ABS(Table2[[#This Row],[UnitPrice]])</f>
        <v>1456.81</v>
      </c>
      <c r="S230">
        <f t="shared" si="29"/>
        <v>20</v>
      </c>
      <c r="T230" s="12">
        <f t="shared" si="30"/>
        <v>16609.090809999998</v>
      </c>
      <c r="U230">
        <f>Table2[[#This Row],[UnitCost]]*Table2[[#This Row],[Quantity]]</f>
        <v>12132.77</v>
      </c>
      <c r="V230" s="13">
        <f t="shared" si="31"/>
        <v>4476.3208099999974</v>
      </c>
      <c r="W230" s="5">
        <f t="shared" si="32"/>
        <v>0.26951028573489977</v>
      </c>
      <c r="X230" s="17" t="str">
        <f t="shared" si="33"/>
        <v>Aug-2025</v>
      </c>
      <c r="Z230" t="str">
        <f t="shared" si="34"/>
        <v>Americas. USA. San Francisco</v>
      </c>
      <c r="AA230" t="str">
        <f t="shared" si="35"/>
        <v>High</v>
      </c>
      <c r="AB230" t="str">
        <f t="array" ref="AB230">TEXT(MIN(IF($E$2:$E$633=E230, $B$2:$B$633)), "YYYY-MM")</f>
        <v>2023-01</v>
      </c>
      <c r="AC230" s="13">
        <f>SUM($T$2:T230)</f>
        <v>3936852.0613600006</v>
      </c>
    </row>
    <row r="231" spans="1:29" x14ac:dyDescent="0.45">
      <c r="A231" t="s">
        <v>243</v>
      </c>
      <c r="B231" s="2">
        <v>44992</v>
      </c>
      <c r="C231" s="2">
        <v>45017</v>
      </c>
      <c r="D231" t="s">
        <v>646</v>
      </c>
      <c r="E231" t="s">
        <v>650</v>
      </c>
      <c r="F231" t="s">
        <v>664</v>
      </c>
      <c r="G231" t="s">
        <v>704</v>
      </c>
      <c r="H231" s="9" t="s">
        <v>709</v>
      </c>
      <c r="I231" s="9" t="s">
        <v>726</v>
      </c>
      <c r="J231" s="9" t="s">
        <v>728</v>
      </c>
      <c r="K231" t="s">
        <v>963</v>
      </c>
      <c r="L231" s="7">
        <v>1024.0999999999999</v>
      </c>
      <c r="M231" s="7">
        <v>918.19</v>
      </c>
      <c r="N231" s="5">
        <v>0.189</v>
      </c>
      <c r="O231">
        <v>10</v>
      </c>
      <c r="P231" s="2">
        <f t="shared" si="27"/>
        <v>45017</v>
      </c>
      <c r="Q231" t="str">
        <f t="shared" si="28"/>
        <v>Ok</v>
      </c>
      <c r="R231">
        <f>ABS(Table2[[#This Row],[UnitPrice]])</f>
        <v>918.19</v>
      </c>
      <c r="S231">
        <f t="shared" si="29"/>
        <v>25</v>
      </c>
      <c r="T231" s="12">
        <f t="shared" si="30"/>
        <v>7446.5209000000004</v>
      </c>
      <c r="U231">
        <f>Table2[[#This Row],[UnitCost]]*Table2[[#This Row],[Quantity]]</f>
        <v>10241</v>
      </c>
      <c r="V231" s="13">
        <f t="shared" si="31"/>
        <v>-2794.4790999999996</v>
      </c>
      <c r="W231" s="5">
        <f t="shared" si="32"/>
        <v>-0.37527311579827827</v>
      </c>
      <c r="X231" s="17" t="str">
        <f t="shared" si="33"/>
        <v>Mar-2023</v>
      </c>
      <c r="Z231" t="str">
        <f t="shared" si="34"/>
        <v>Africa. Kenya. Nairobi</v>
      </c>
      <c r="AA231" t="str">
        <f t="shared" si="35"/>
        <v>Low</v>
      </c>
      <c r="AB231" t="str">
        <f t="array" ref="AB231">TEXT(MIN(IF($E$2:$E$633=E231, $B$2:$B$633)), "YYYY-MM")</f>
        <v>2023-01</v>
      </c>
      <c r="AC231" s="13">
        <f>SUM($T$2:T231)</f>
        <v>3944298.5822600005</v>
      </c>
    </row>
    <row r="232" spans="1:29" x14ac:dyDescent="0.45">
      <c r="A232" t="s">
        <v>244</v>
      </c>
      <c r="B232" s="2">
        <v>45069</v>
      </c>
      <c r="C232" s="2">
        <v>45087</v>
      </c>
      <c r="D232" t="s">
        <v>647</v>
      </c>
      <c r="E232" t="s">
        <v>659</v>
      </c>
      <c r="F232" t="s">
        <v>685</v>
      </c>
      <c r="G232" t="s">
        <v>701</v>
      </c>
      <c r="H232" s="9" t="s">
        <v>710</v>
      </c>
      <c r="I232" s="9" t="s">
        <v>718</v>
      </c>
      <c r="J232" s="9" t="s">
        <v>727</v>
      </c>
      <c r="K232" t="s">
        <v>964</v>
      </c>
      <c r="L232" s="7">
        <v>54.62</v>
      </c>
      <c r="M232" s="7">
        <v>48.94</v>
      </c>
      <c r="N232" s="5">
        <v>0.14799999999999999</v>
      </c>
      <c r="O232">
        <v>16</v>
      </c>
      <c r="P232" s="2">
        <f t="shared" si="27"/>
        <v>45087</v>
      </c>
      <c r="Q232" t="str">
        <f t="shared" si="28"/>
        <v>Ok</v>
      </c>
      <c r="R232">
        <f>ABS(Table2[[#This Row],[UnitPrice]])</f>
        <v>48.94</v>
      </c>
      <c r="S232">
        <f t="shared" si="29"/>
        <v>18</v>
      </c>
      <c r="T232" s="12">
        <f t="shared" si="30"/>
        <v>667.15008</v>
      </c>
      <c r="U232">
        <f>Table2[[#This Row],[UnitCost]]*Table2[[#This Row],[Quantity]]</f>
        <v>873.92</v>
      </c>
      <c r="V232" s="13">
        <f t="shared" si="31"/>
        <v>-206.76991999999996</v>
      </c>
      <c r="W232" s="5">
        <f t="shared" si="32"/>
        <v>-0.3099301434543783</v>
      </c>
      <c r="X232" s="17" t="str">
        <f t="shared" si="33"/>
        <v>May-2023</v>
      </c>
      <c r="Z232" t="str">
        <f t="shared" si="34"/>
        <v>Asia. China. Shanghai</v>
      </c>
      <c r="AA232" t="str">
        <f t="shared" si="35"/>
        <v>Low</v>
      </c>
      <c r="AB232" t="str">
        <f t="array" ref="AB232">TEXT(MIN(IF($E$2:$E$633=E232, $B$2:$B$633)), "YYYY-MM")</f>
        <v>2023-01</v>
      </c>
      <c r="AC232" s="13">
        <f>SUM($T$2:T232)</f>
        <v>3944965.7323400006</v>
      </c>
    </row>
    <row r="233" spans="1:29" x14ac:dyDescent="0.45">
      <c r="A233" t="s">
        <v>245</v>
      </c>
      <c r="B233" s="2">
        <v>45771</v>
      </c>
      <c r="C233" s="2">
        <v>45783</v>
      </c>
      <c r="D233" t="s">
        <v>648</v>
      </c>
      <c r="E233" t="s">
        <v>655</v>
      </c>
      <c r="F233" t="s">
        <v>672</v>
      </c>
      <c r="G233" t="s">
        <v>704</v>
      </c>
      <c r="H233" s="9" t="s">
        <v>708</v>
      </c>
      <c r="I233" s="9" t="s">
        <v>712</v>
      </c>
      <c r="J233" s="9" t="s">
        <v>730</v>
      </c>
      <c r="K233" t="s">
        <v>965</v>
      </c>
      <c r="L233" s="7">
        <v>394.13</v>
      </c>
      <c r="M233" s="7">
        <v>932.29</v>
      </c>
      <c r="N233" s="5">
        <v>0.109</v>
      </c>
      <c r="O233">
        <v>7</v>
      </c>
      <c r="P233" s="2">
        <f t="shared" si="27"/>
        <v>45783</v>
      </c>
      <c r="Q233" t="str">
        <f t="shared" si="28"/>
        <v>Ok</v>
      </c>
      <c r="R233">
        <f>ABS(Table2[[#This Row],[UnitPrice]])</f>
        <v>932.29</v>
      </c>
      <c r="S233">
        <f t="shared" si="29"/>
        <v>12</v>
      </c>
      <c r="T233" s="12">
        <f t="shared" si="30"/>
        <v>5814.6927299999998</v>
      </c>
      <c r="U233">
        <f>Table2[[#This Row],[UnitCost]]*Table2[[#This Row],[Quantity]]</f>
        <v>2758.91</v>
      </c>
      <c r="V233" s="13">
        <f t="shared" si="31"/>
        <v>3055.7827299999999</v>
      </c>
      <c r="W233" s="5">
        <f t="shared" si="32"/>
        <v>0.5255278089303268</v>
      </c>
      <c r="X233" s="17" t="str">
        <f t="shared" si="33"/>
        <v>Apr-2025</v>
      </c>
      <c r="Z233" t="str">
        <f t="shared" si="34"/>
        <v>Americas. Brazil. Brasília</v>
      </c>
      <c r="AA233" t="str">
        <f t="shared" si="35"/>
        <v>Low</v>
      </c>
      <c r="AB233" t="str">
        <f t="array" ref="AB233">TEXT(MIN(IF($E$2:$E$633=E233, $B$2:$B$633)), "YYYY-MM")</f>
        <v>2023-01</v>
      </c>
      <c r="AC233" s="13">
        <f>SUM($T$2:T233)</f>
        <v>3950780.4250700003</v>
      </c>
    </row>
    <row r="234" spans="1:29" x14ac:dyDescent="0.45">
      <c r="A234" t="s">
        <v>246</v>
      </c>
      <c r="B234" s="2">
        <v>45538</v>
      </c>
      <c r="C234" s="2">
        <v>45543</v>
      </c>
      <c r="D234" t="s">
        <v>646</v>
      </c>
      <c r="E234" t="s">
        <v>651</v>
      </c>
      <c r="F234" t="s">
        <v>665</v>
      </c>
      <c r="G234" t="s">
        <v>705</v>
      </c>
      <c r="H234" s="9" t="s">
        <v>711</v>
      </c>
      <c r="I234" s="9" t="s">
        <v>723</v>
      </c>
      <c r="J234" s="9" t="s">
        <v>728</v>
      </c>
      <c r="K234" t="s">
        <v>966</v>
      </c>
      <c r="L234" s="7">
        <v>197.63</v>
      </c>
      <c r="M234" s="7">
        <v>325.79000000000002</v>
      </c>
      <c r="N234" s="5">
        <v>0.11600000000000001</v>
      </c>
      <c r="O234">
        <v>10</v>
      </c>
      <c r="P234" s="2">
        <f t="shared" si="27"/>
        <v>45543</v>
      </c>
      <c r="Q234" t="str">
        <f t="shared" si="28"/>
        <v>Ok</v>
      </c>
      <c r="R234">
        <f>ABS(Table2[[#This Row],[UnitPrice]])</f>
        <v>325.79000000000002</v>
      </c>
      <c r="S234">
        <f t="shared" si="29"/>
        <v>5</v>
      </c>
      <c r="T234" s="12">
        <f t="shared" si="30"/>
        <v>2879.9836</v>
      </c>
      <c r="U234">
        <f>Table2[[#This Row],[UnitCost]]*Table2[[#This Row],[Quantity]]</f>
        <v>1976.3</v>
      </c>
      <c r="V234" s="13">
        <f t="shared" si="31"/>
        <v>903.68360000000007</v>
      </c>
      <c r="W234" s="5">
        <f t="shared" si="32"/>
        <v>0.31378081458519419</v>
      </c>
      <c r="X234" s="17" t="str">
        <f t="shared" si="33"/>
        <v>Sep-2024</v>
      </c>
      <c r="Z234" t="str">
        <f t="shared" si="34"/>
        <v>Africa. Nigeria. Lagos</v>
      </c>
      <c r="AA234" t="str">
        <f t="shared" si="35"/>
        <v>Low</v>
      </c>
      <c r="AB234" t="str">
        <f t="array" ref="AB234">TEXT(MIN(IF($E$2:$E$633=E234, $B$2:$B$633)), "YYYY-MM")</f>
        <v>2023-01</v>
      </c>
      <c r="AC234" s="13">
        <f>SUM($T$2:T234)</f>
        <v>3953660.4086700003</v>
      </c>
    </row>
    <row r="235" spans="1:29" x14ac:dyDescent="0.45">
      <c r="A235" t="s">
        <v>247</v>
      </c>
      <c r="B235" s="2">
        <v>45540</v>
      </c>
      <c r="C235" s="2">
        <v>45560</v>
      </c>
      <c r="D235" t="s">
        <v>647</v>
      </c>
      <c r="E235" t="s">
        <v>652</v>
      </c>
      <c r="F235" t="s">
        <v>666</v>
      </c>
      <c r="G235" t="s">
        <v>706</v>
      </c>
      <c r="H235" s="9" t="s">
        <v>710</v>
      </c>
      <c r="I235" s="9" t="s">
        <v>726</v>
      </c>
      <c r="J235" s="9" t="s">
        <v>732</v>
      </c>
      <c r="K235" t="s">
        <v>967</v>
      </c>
      <c r="L235" s="7">
        <v>195.54</v>
      </c>
      <c r="M235" s="7">
        <v>405.97</v>
      </c>
      <c r="N235" s="5">
        <v>0.187</v>
      </c>
      <c r="O235">
        <v>16</v>
      </c>
      <c r="P235" s="2">
        <f t="shared" si="27"/>
        <v>45560</v>
      </c>
      <c r="Q235" t="str">
        <f t="shared" si="28"/>
        <v>Ok</v>
      </c>
      <c r="R235">
        <f>ABS(Table2[[#This Row],[UnitPrice]])</f>
        <v>405.97</v>
      </c>
      <c r="S235">
        <f t="shared" si="29"/>
        <v>20</v>
      </c>
      <c r="T235" s="12">
        <f t="shared" si="30"/>
        <v>5280.8577599999999</v>
      </c>
      <c r="U235">
        <f>Table2[[#This Row],[UnitCost]]*Table2[[#This Row],[Quantity]]</f>
        <v>3128.64</v>
      </c>
      <c r="V235" s="13">
        <f t="shared" si="31"/>
        <v>2152.21776</v>
      </c>
      <c r="W235" s="5">
        <f t="shared" si="32"/>
        <v>0.40755079152141377</v>
      </c>
      <c r="X235" s="17" t="str">
        <f t="shared" si="33"/>
        <v>Sep-2024</v>
      </c>
      <c r="Z235" t="str">
        <f t="shared" si="34"/>
        <v>Asia. Japan. Osaka</v>
      </c>
      <c r="AA235" t="str">
        <f t="shared" si="35"/>
        <v>Low</v>
      </c>
      <c r="AB235" t="str">
        <f t="array" ref="AB235">TEXT(MIN(IF($E$2:$E$633=E235, $B$2:$B$633)), "YYYY-MM")</f>
        <v>2023-03</v>
      </c>
      <c r="AC235" s="13">
        <f>SUM($T$2:T235)</f>
        <v>3958941.2664300003</v>
      </c>
    </row>
    <row r="236" spans="1:29" x14ac:dyDescent="0.45">
      <c r="A236" t="s">
        <v>248</v>
      </c>
      <c r="B236" s="2">
        <v>44999</v>
      </c>
      <c r="C236" s="2">
        <v>45015</v>
      </c>
      <c r="D236" t="s">
        <v>646</v>
      </c>
      <c r="E236" t="s">
        <v>661</v>
      </c>
      <c r="F236" t="s">
        <v>695</v>
      </c>
      <c r="G236" t="s">
        <v>704</v>
      </c>
      <c r="H236" s="9" t="s">
        <v>710</v>
      </c>
      <c r="I236" s="9" t="s">
        <v>723</v>
      </c>
      <c r="J236" s="9" t="s">
        <v>727</v>
      </c>
      <c r="K236" t="s">
        <v>968</v>
      </c>
      <c r="L236" s="7">
        <v>1309.77</v>
      </c>
      <c r="M236" s="7">
        <v>1589.07</v>
      </c>
      <c r="N236" s="5">
        <v>0.10199999999999999</v>
      </c>
      <c r="O236">
        <v>10</v>
      </c>
      <c r="P236" s="2">
        <f t="shared" si="27"/>
        <v>45015</v>
      </c>
      <c r="Q236" t="str">
        <f t="shared" si="28"/>
        <v>Ok</v>
      </c>
      <c r="R236">
        <f>ABS(Table2[[#This Row],[UnitPrice]])</f>
        <v>1589.07</v>
      </c>
      <c r="S236">
        <f t="shared" si="29"/>
        <v>16</v>
      </c>
      <c r="T236" s="12">
        <f t="shared" si="30"/>
        <v>14269.848599999999</v>
      </c>
      <c r="U236">
        <f>Table2[[#This Row],[UnitCost]]*Table2[[#This Row],[Quantity]]</f>
        <v>13097.7</v>
      </c>
      <c r="V236" s="13">
        <f t="shared" si="31"/>
        <v>1172.1485999999986</v>
      </c>
      <c r="W236" s="5">
        <f t="shared" si="32"/>
        <v>8.2141628328137886E-2</v>
      </c>
      <c r="X236" s="17" t="str">
        <f t="shared" si="33"/>
        <v>Mar-2023</v>
      </c>
      <c r="Z236" t="str">
        <f t="shared" si="34"/>
        <v>Africa. South Africa. Cape Town</v>
      </c>
      <c r="AA236" t="str">
        <f t="shared" si="35"/>
        <v>High</v>
      </c>
      <c r="AB236" t="str">
        <f t="array" ref="AB236">TEXT(MIN(IF($E$2:$E$633=E236, $B$2:$B$633)), "YYYY-MM")</f>
        <v>2023-01</v>
      </c>
      <c r="AC236" s="13">
        <f>SUM($T$2:T236)</f>
        <v>3973211.1150300005</v>
      </c>
    </row>
    <row r="237" spans="1:29" x14ac:dyDescent="0.45">
      <c r="A237" t="s">
        <v>249</v>
      </c>
      <c r="B237" s="2">
        <v>45302</v>
      </c>
      <c r="C237" s="2">
        <v>45324</v>
      </c>
      <c r="D237" t="s">
        <v>647</v>
      </c>
      <c r="E237" t="s">
        <v>652</v>
      </c>
      <c r="F237" t="s">
        <v>694</v>
      </c>
      <c r="G237" t="s">
        <v>705</v>
      </c>
      <c r="H237" s="9" t="s">
        <v>708</v>
      </c>
      <c r="I237" s="9" t="s">
        <v>1422</v>
      </c>
      <c r="J237" s="9" t="s">
        <v>728</v>
      </c>
      <c r="K237" t="s">
        <v>969</v>
      </c>
      <c r="L237" s="7">
        <v>1237.68</v>
      </c>
      <c r="M237" s="7">
        <v>1432.8</v>
      </c>
      <c r="N237" s="5">
        <v>6.8000000000000005E-2</v>
      </c>
      <c r="O237">
        <v>13</v>
      </c>
      <c r="P237" s="2">
        <f t="shared" si="27"/>
        <v>45324</v>
      </c>
      <c r="Q237" t="str">
        <f t="shared" si="28"/>
        <v>Ok</v>
      </c>
      <c r="R237">
        <f>ABS(Table2[[#This Row],[UnitPrice]])</f>
        <v>1432.8</v>
      </c>
      <c r="S237">
        <f t="shared" si="29"/>
        <v>22</v>
      </c>
      <c r="T237" s="12">
        <f t="shared" si="30"/>
        <v>17359.804799999998</v>
      </c>
      <c r="U237">
        <f>Table2[[#This Row],[UnitCost]]*Table2[[#This Row],[Quantity]]</f>
        <v>16089.84</v>
      </c>
      <c r="V237" s="13">
        <f t="shared" si="31"/>
        <v>1269.9647999999979</v>
      </c>
      <c r="W237" s="5">
        <f t="shared" si="32"/>
        <v>7.315547695559331E-2</v>
      </c>
      <c r="X237" s="17" t="str">
        <f t="shared" si="33"/>
        <v>Jan-2024</v>
      </c>
      <c r="Z237" t="str">
        <f t="shared" si="34"/>
        <v>Asia. Japan. Nagoya</v>
      </c>
      <c r="AA237" t="str">
        <f t="shared" si="35"/>
        <v>High</v>
      </c>
      <c r="AB237" t="str">
        <f t="array" ref="AB237">TEXT(MIN(IF($E$2:$E$633=E237, $B$2:$B$633)), "YYYY-MM")</f>
        <v>2023-03</v>
      </c>
      <c r="AC237" s="13">
        <f>SUM($T$2:T237)</f>
        <v>3990570.9198300005</v>
      </c>
    </row>
    <row r="238" spans="1:29" x14ac:dyDescent="0.45">
      <c r="A238" t="s">
        <v>250</v>
      </c>
      <c r="B238" s="2">
        <v>45548</v>
      </c>
      <c r="C238" s="2">
        <v>45567</v>
      </c>
      <c r="D238" t="s">
        <v>646</v>
      </c>
      <c r="E238" t="s">
        <v>650</v>
      </c>
      <c r="F238" t="s">
        <v>675</v>
      </c>
      <c r="G238" t="s">
        <v>705</v>
      </c>
      <c r="H238" s="9" t="s">
        <v>707</v>
      </c>
      <c r="I238" s="9" t="s">
        <v>724</v>
      </c>
      <c r="J238" s="9" t="s">
        <v>730</v>
      </c>
      <c r="K238" t="s">
        <v>970</v>
      </c>
      <c r="L238" s="7">
        <v>1338.99</v>
      </c>
      <c r="M238" s="7">
        <v>1765.76</v>
      </c>
      <c r="N238" s="5">
        <v>0.126</v>
      </c>
      <c r="O238">
        <v>24</v>
      </c>
      <c r="P238" s="2">
        <f t="shared" si="27"/>
        <v>45567</v>
      </c>
      <c r="Q238" t="str">
        <f t="shared" si="28"/>
        <v>Ok</v>
      </c>
      <c r="R238">
        <f>ABS(Table2[[#This Row],[UnitPrice]])</f>
        <v>1765.76</v>
      </c>
      <c r="S238">
        <f t="shared" si="29"/>
        <v>19</v>
      </c>
      <c r="T238" s="12">
        <f t="shared" si="30"/>
        <v>37038.581760000001</v>
      </c>
      <c r="U238">
        <f>Table2[[#This Row],[UnitCost]]*Table2[[#This Row],[Quantity]]</f>
        <v>32135.760000000002</v>
      </c>
      <c r="V238" s="13">
        <f t="shared" si="31"/>
        <v>4902.8217599999989</v>
      </c>
      <c r="W238" s="5">
        <f t="shared" si="32"/>
        <v>0.1323706666677725</v>
      </c>
      <c r="X238" s="17" t="str">
        <f t="shared" si="33"/>
        <v>Sep-2024</v>
      </c>
      <c r="Z238" t="str">
        <f t="shared" si="34"/>
        <v>Africa. Kenya. Mombasa</v>
      </c>
      <c r="AA238" t="str">
        <f t="shared" si="35"/>
        <v>High</v>
      </c>
      <c r="AB238" t="str">
        <f t="array" ref="AB238">TEXT(MIN(IF($E$2:$E$633=E238, $B$2:$B$633)), "YYYY-MM")</f>
        <v>2023-01</v>
      </c>
      <c r="AC238" s="13">
        <f>SUM($T$2:T238)</f>
        <v>4027609.5015900005</v>
      </c>
    </row>
    <row r="239" spans="1:29" x14ac:dyDescent="0.45">
      <c r="A239" t="s">
        <v>251</v>
      </c>
      <c r="B239" s="2">
        <v>45855</v>
      </c>
      <c r="C239" s="2">
        <v>45861</v>
      </c>
      <c r="D239" t="s">
        <v>648</v>
      </c>
      <c r="E239" t="s">
        <v>653</v>
      </c>
      <c r="F239" t="s">
        <v>688</v>
      </c>
      <c r="G239" t="s">
        <v>704</v>
      </c>
      <c r="H239" s="9" t="s">
        <v>708</v>
      </c>
      <c r="I239" s="9" t="s">
        <v>722</v>
      </c>
      <c r="J239" s="9" t="s">
        <v>727</v>
      </c>
      <c r="K239" t="s">
        <v>971</v>
      </c>
      <c r="L239" s="7">
        <v>1364.89</v>
      </c>
      <c r="M239" s="7">
        <v>2757.54</v>
      </c>
      <c r="N239" s="5">
        <v>0.17199999999999999</v>
      </c>
      <c r="O239">
        <v>61</v>
      </c>
      <c r="P239" s="2">
        <f t="shared" si="27"/>
        <v>45861</v>
      </c>
      <c r="Q239" t="str">
        <f t="shared" si="28"/>
        <v>Ok</v>
      </c>
      <c r="R239">
        <f>ABS(Table2[[#This Row],[UnitPrice]])</f>
        <v>2757.54</v>
      </c>
      <c r="S239">
        <f t="shared" si="29"/>
        <v>6</v>
      </c>
      <c r="T239" s="12">
        <f t="shared" si="30"/>
        <v>139277.83032000001</v>
      </c>
      <c r="U239">
        <f>Table2[[#This Row],[UnitCost]]*Table2[[#This Row],[Quantity]]</f>
        <v>83258.290000000008</v>
      </c>
      <c r="V239" s="13">
        <f t="shared" si="31"/>
        <v>56019.54032</v>
      </c>
      <c r="W239" s="5">
        <f t="shared" si="32"/>
        <v>0.4022143379983118</v>
      </c>
      <c r="X239" s="17" t="str">
        <f t="shared" si="33"/>
        <v>Jul-2025</v>
      </c>
      <c r="Z239" t="str">
        <f t="shared" si="34"/>
        <v>Americas. Canada. Vancouver</v>
      </c>
      <c r="AA239" t="str">
        <f t="shared" si="35"/>
        <v>High</v>
      </c>
      <c r="AB239" t="str">
        <f t="array" ref="AB239">TEXT(MIN(IF($E$2:$E$633=E239, $B$2:$B$633)), "YYYY-MM")</f>
        <v>2023-01</v>
      </c>
      <c r="AC239" s="13">
        <f>SUM($T$2:T239)</f>
        <v>4166887.3319100006</v>
      </c>
    </row>
    <row r="240" spans="1:29" x14ac:dyDescent="0.45">
      <c r="A240" t="s">
        <v>252</v>
      </c>
      <c r="B240" s="2">
        <v>45258</v>
      </c>
      <c r="C240" s="2">
        <v>45267</v>
      </c>
      <c r="D240" t="s">
        <v>647</v>
      </c>
      <c r="E240" t="s">
        <v>654</v>
      </c>
      <c r="F240" t="s">
        <v>680</v>
      </c>
      <c r="G240" t="s">
        <v>706</v>
      </c>
      <c r="H240" s="9" t="s">
        <v>709</v>
      </c>
      <c r="I240" s="9" t="s">
        <v>716</v>
      </c>
      <c r="J240" s="9" t="s">
        <v>730</v>
      </c>
      <c r="K240" t="s">
        <v>972</v>
      </c>
      <c r="L240" s="7">
        <v>699.33</v>
      </c>
      <c r="M240" s="7">
        <v>873.75</v>
      </c>
      <c r="N240" s="5">
        <v>0.23499999999999999</v>
      </c>
      <c r="O240">
        <v>10</v>
      </c>
      <c r="P240" s="2">
        <f t="shared" si="27"/>
        <v>45267</v>
      </c>
      <c r="Q240" t="str">
        <f t="shared" si="28"/>
        <v>Ok</v>
      </c>
      <c r="R240">
        <f>ABS(Table2[[#This Row],[UnitPrice]])</f>
        <v>873.75</v>
      </c>
      <c r="S240">
        <f t="shared" si="29"/>
        <v>9</v>
      </c>
      <c r="T240" s="12">
        <f t="shared" si="30"/>
        <v>6684.1875</v>
      </c>
      <c r="U240">
        <f>Table2[[#This Row],[UnitCost]]*Table2[[#This Row],[Quantity]]</f>
        <v>6993.3</v>
      </c>
      <c r="V240" s="13">
        <f t="shared" si="31"/>
        <v>-309.11250000000018</v>
      </c>
      <c r="W240" s="5">
        <f t="shared" si="32"/>
        <v>-4.6245336475076469E-2</v>
      </c>
      <c r="X240" s="17" t="str">
        <f t="shared" si="33"/>
        <v>Nov-2023</v>
      </c>
      <c r="Z240" t="str">
        <f t="shared" si="34"/>
        <v>Asia. India. Delhi</v>
      </c>
      <c r="AA240" t="str">
        <f t="shared" si="35"/>
        <v>Low</v>
      </c>
      <c r="AB240" t="str">
        <f t="array" ref="AB240">TEXT(MIN(IF($E$2:$E$633=E240, $B$2:$B$633)), "YYYY-MM")</f>
        <v>2023-01</v>
      </c>
      <c r="AC240" s="13">
        <f>SUM($T$2:T240)</f>
        <v>4173571.5194100006</v>
      </c>
    </row>
    <row r="241" spans="1:29" x14ac:dyDescent="0.45">
      <c r="A241" t="s">
        <v>253</v>
      </c>
      <c r="B241" s="2">
        <v>45381</v>
      </c>
      <c r="C241" s="2">
        <v>45406</v>
      </c>
      <c r="D241" t="s">
        <v>648</v>
      </c>
      <c r="E241" t="s">
        <v>660</v>
      </c>
      <c r="F241" t="s">
        <v>697</v>
      </c>
      <c r="G241" t="s">
        <v>703</v>
      </c>
      <c r="H241" s="9" t="s">
        <v>708</v>
      </c>
      <c r="I241" s="9" t="s">
        <v>715</v>
      </c>
      <c r="J241" s="9" t="s">
        <v>731</v>
      </c>
      <c r="K241" t="s">
        <v>973</v>
      </c>
      <c r="L241" s="7">
        <v>160.82</v>
      </c>
      <c r="M241" s="7">
        <v>258.52</v>
      </c>
      <c r="N241" s="5">
        <v>0.13</v>
      </c>
      <c r="O241">
        <v>17</v>
      </c>
      <c r="P241" s="2">
        <f t="shared" si="27"/>
        <v>45406</v>
      </c>
      <c r="Q241" t="str">
        <f t="shared" si="28"/>
        <v>Ok</v>
      </c>
      <c r="R241">
        <f>ABS(Table2[[#This Row],[UnitPrice]])</f>
        <v>258.52</v>
      </c>
      <c r="S241">
        <f t="shared" si="29"/>
        <v>25</v>
      </c>
      <c r="T241" s="12">
        <f t="shared" si="30"/>
        <v>3823.5108</v>
      </c>
      <c r="U241">
        <f>Table2[[#This Row],[UnitCost]]*Table2[[#This Row],[Quantity]]</f>
        <v>2733.94</v>
      </c>
      <c r="V241" s="13">
        <f t="shared" si="31"/>
        <v>1089.5708</v>
      </c>
      <c r="W241" s="5">
        <f t="shared" si="32"/>
        <v>0.28496605789631874</v>
      </c>
      <c r="X241" s="17" t="str">
        <f t="shared" si="33"/>
        <v>Mar-2024</v>
      </c>
      <c r="Z241" t="str">
        <f t="shared" si="34"/>
        <v>Americas. USA. Austin</v>
      </c>
      <c r="AA241" t="str">
        <f t="shared" si="35"/>
        <v>Low</v>
      </c>
      <c r="AB241" t="str">
        <f t="array" ref="AB241">TEXT(MIN(IF($E$2:$E$633=E241, $B$2:$B$633)), "YYYY-MM")</f>
        <v>2023-01</v>
      </c>
      <c r="AC241" s="13">
        <f>SUM($T$2:T241)</f>
        <v>4177395.0302100005</v>
      </c>
    </row>
    <row r="242" spans="1:29" x14ac:dyDescent="0.45">
      <c r="A242" t="s">
        <v>254</v>
      </c>
      <c r="B242" s="2">
        <v>45188</v>
      </c>
      <c r="C242" s="2">
        <v>45207</v>
      </c>
      <c r="D242" t="s">
        <v>647</v>
      </c>
      <c r="E242" t="s">
        <v>654</v>
      </c>
      <c r="F242" t="s">
        <v>668</v>
      </c>
      <c r="G242" t="s">
        <v>702</v>
      </c>
      <c r="H242" s="9" t="s">
        <v>711</v>
      </c>
      <c r="I242" s="9" t="s">
        <v>713</v>
      </c>
      <c r="J242" s="9" t="s">
        <v>728</v>
      </c>
      <c r="K242" t="s">
        <v>974</v>
      </c>
      <c r="L242" s="7">
        <v>385.32</v>
      </c>
      <c r="M242" s="7">
        <v>606.76</v>
      </c>
      <c r="N242" s="5">
        <v>8.5999999999999993E-2</v>
      </c>
      <c r="O242">
        <v>8</v>
      </c>
      <c r="P242" s="2">
        <f t="shared" si="27"/>
        <v>45207</v>
      </c>
      <c r="Q242" t="str">
        <f t="shared" si="28"/>
        <v>Ok</v>
      </c>
      <c r="R242">
        <f>ABS(Table2[[#This Row],[UnitPrice]])</f>
        <v>606.76</v>
      </c>
      <c r="S242">
        <f t="shared" si="29"/>
        <v>19</v>
      </c>
      <c r="T242" s="12">
        <f t="shared" si="30"/>
        <v>4436.6291200000005</v>
      </c>
      <c r="U242">
        <f>Table2[[#This Row],[UnitCost]]*Table2[[#This Row],[Quantity]]</f>
        <v>3082.56</v>
      </c>
      <c r="V242" s="13">
        <f t="shared" si="31"/>
        <v>1354.0691200000006</v>
      </c>
      <c r="W242" s="5">
        <f t="shared" si="32"/>
        <v>0.30520223425842735</v>
      </c>
      <c r="X242" s="17" t="str">
        <f t="shared" si="33"/>
        <v>Sep-2023</v>
      </c>
      <c r="Z242" t="str">
        <f t="shared" si="34"/>
        <v>Asia. India. Bengaluru</v>
      </c>
      <c r="AA242" t="str">
        <f t="shared" si="35"/>
        <v>Low</v>
      </c>
      <c r="AB242" t="str">
        <f t="array" ref="AB242">TEXT(MIN(IF($E$2:$E$633=E242, $B$2:$B$633)), "YYYY-MM")</f>
        <v>2023-01</v>
      </c>
      <c r="AC242" s="13">
        <f>SUM($T$2:T242)</f>
        <v>4181831.6593300006</v>
      </c>
    </row>
    <row r="243" spans="1:29" x14ac:dyDescent="0.45">
      <c r="A243" t="s">
        <v>255</v>
      </c>
      <c r="B243" s="2">
        <v>45793</v>
      </c>
      <c r="C243" s="2">
        <v>45804</v>
      </c>
      <c r="D243" t="s">
        <v>647</v>
      </c>
      <c r="E243" t="s">
        <v>659</v>
      </c>
      <c r="F243" t="s">
        <v>699</v>
      </c>
      <c r="G243" t="s">
        <v>706</v>
      </c>
      <c r="H243" s="9" t="s">
        <v>708</v>
      </c>
      <c r="I243" s="9" t="s">
        <v>721</v>
      </c>
      <c r="J243" s="9" t="s">
        <v>730</v>
      </c>
      <c r="K243" t="s">
        <v>975</v>
      </c>
      <c r="L243" s="7">
        <v>918.12</v>
      </c>
      <c r="M243" s="7">
        <v>1337.69</v>
      </c>
      <c r="N243" s="5">
        <v>9.5000000000000001E-2</v>
      </c>
      <c r="O243">
        <v>8</v>
      </c>
      <c r="P243" s="2">
        <f t="shared" si="27"/>
        <v>45804</v>
      </c>
      <c r="Q243" t="str">
        <f t="shared" si="28"/>
        <v>Ok</v>
      </c>
      <c r="R243">
        <f>ABS(Table2[[#This Row],[UnitPrice]])</f>
        <v>1337.69</v>
      </c>
      <c r="S243">
        <f t="shared" si="29"/>
        <v>11</v>
      </c>
      <c r="T243" s="12">
        <f t="shared" si="30"/>
        <v>9684.8756000000012</v>
      </c>
      <c r="U243">
        <f>Table2[[#This Row],[UnitCost]]*Table2[[#This Row],[Quantity]]</f>
        <v>7344.96</v>
      </c>
      <c r="V243" s="13">
        <f t="shared" si="31"/>
        <v>2339.9156000000012</v>
      </c>
      <c r="W243" s="5">
        <f t="shared" si="32"/>
        <v>0.24160512707050164</v>
      </c>
      <c r="X243" s="17" t="str">
        <f t="shared" si="33"/>
        <v>May-2025</v>
      </c>
      <c r="Z243" t="str">
        <f t="shared" si="34"/>
        <v>Asia. China. Beijing</v>
      </c>
      <c r="AA243" t="str">
        <f t="shared" si="35"/>
        <v>High</v>
      </c>
      <c r="AB243" t="str">
        <f t="array" ref="AB243">TEXT(MIN(IF($E$2:$E$633=E243, $B$2:$B$633)), "YYYY-MM")</f>
        <v>2023-01</v>
      </c>
      <c r="AC243" s="13">
        <f>SUM($T$2:T243)</f>
        <v>4191516.5349300005</v>
      </c>
    </row>
    <row r="244" spans="1:29" x14ac:dyDescent="0.45">
      <c r="A244" t="s">
        <v>256</v>
      </c>
      <c r="B244" s="2">
        <v>45871</v>
      </c>
      <c r="C244" s="2">
        <v>45877</v>
      </c>
      <c r="D244" t="s">
        <v>647</v>
      </c>
      <c r="E244" t="s">
        <v>652</v>
      </c>
      <c r="F244" t="s">
        <v>666</v>
      </c>
      <c r="G244" t="s">
        <v>704</v>
      </c>
      <c r="H244" s="9" t="s">
        <v>711</v>
      </c>
      <c r="I244" s="9" t="s">
        <v>725</v>
      </c>
      <c r="J244" s="9" t="s">
        <v>731</v>
      </c>
      <c r="K244" t="s">
        <v>976</v>
      </c>
      <c r="L244" s="7">
        <v>1225.94</v>
      </c>
      <c r="M244" s="7">
        <v>1793.08</v>
      </c>
      <c r="N244" s="5">
        <v>0.13600000000000001</v>
      </c>
      <c r="O244">
        <v>22</v>
      </c>
      <c r="P244" s="2">
        <f t="shared" si="27"/>
        <v>45877</v>
      </c>
      <c r="Q244" t="str">
        <f t="shared" si="28"/>
        <v>Ok</v>
      </c>
      <c r="R244">
        <f>ABS(Table2[[#This Row],[UnitPrice]])</f>
        <v>1793.08</v>
      </c>
      <c r="S244">
        <f t="shared" si="29"/>
        <v>6</v>
      </c>
      <c r="T244" s="12">
        <f t="shared" si="30"/>
        <v>34082.864639999993</v>
      </c>
      <c r="U244">
        <f>Table2[[#This Row],[UnitCost]]*Table2[[#This Row],[Quantity]]</f>
        <v>26970.68</v>
      </c>
      <c r="V244" s="13">
        <f t="shared" si="31"/>
        <v>7112.1846399999922</v>
      </c>
      <c r="W244" s="5">
        <f t="shared" si="32"/>
        <v>0.20867332353434462</v>
      </c>
      <c r="X244" s="17" t="str">
        <f t="shared" si="33"/>
        <v>Aug-2025</v>
      </c>
      <c r="Z244" t="str">
        <f t="shared" si="34"/>
        <v>Asia. Japan. Osaka</v>
      </c>
      <c r="AA244" t="str">
        <f t="shared" si="35"/>
        <v>High</v>
      </c>
      <c r="AB244" t="str">
        <f t="array" ref="AB244">TEXT(MIN(IF($E$2:$E$633=E244, $B$2:$B$633)), "YYYY-MM")</f>
        <v>2023-03</v>
      </c>
      <c r="AC244" s="13">
        <f>SUM($T$2:T244)</f>
        <v>4225599.3995700004</v>
      </c>
    </row>
    <row r="245" spans="1:29" x14ac:dyDescent="0.45">
      <c r="A245" t="s">
        <v>257</v>
      </c>
      <c r="B245" s="2">
        <v>45630</v>
      </c>
      <c r="C245" s="2">
        <v>45638</v>
      </c>
      <c r="D245" t="s">
        <v>649</v>
      </c>
      <c r="E245" t="s">
        <v>656</v>
      </c>
      <c r="F245" t="s">
        <v>698</v>
      </c>
      <c r="G245" t="s">
        <v>706</v>
      </c>
      <c r="H245" s="9" t="s">
        <v>709</v>
      </c>
      <c r="I245" s="9" t="s">
        <v>717</v>
      </c>
      <c r="J245" s="9" t="s">
        <v>728</v>
      </c>
      <c r="K245" t="s">
        <v>977</v>
      </c>
      <c r="L245" s="7">
        <v>72.06</v>
      </c>
      <c r="M245" s="7">
        <v>122.74</v>
      </c>
      <c r="N245" s="5">
        <v>0.23799999999999999</v>
      </c>
      <c r="O245">
        <v>8</v>
      </c>
      <c r="P245" s="2">
        <f t="shared" si="27"/>
        <v>45638</v>
      </c>
      <c r="Q245" t="str">
        <f t="shared" si="28"/>
        <v>Ok</v>
      </c>
      <c r="R245">
        <f>ABS(Table2[[#This Row],[UnitPrice]])</f>
        <v>122.74</v>
      </c>
      <c r="S245">
        <f t="shared" si="29"/>
        <v>8</v>
      </c>
      <c r="T245" s="12">
        <f t="shared" si="30"/>
        <v>748.22303999999997</v>
      </c>
      <c r="U245">
        <f>Table2[[#This Row],[UnitCost]]*Table2[[#This Row],[Quantity]]</f>
        <v>576.48</v>
      </c>
      <c r="V245" s="13">
        <f t="shared" si="31"/>
        <v>171.74303999999995</v>
      </c>
      <c r="W245" s="5">
        <f t="shared" si="32"/>
        <v>0.22953455162246802</v>
      </c>
      <c r="X245" s="17" t="str">
        <f t="shared" si="33"/>
        <v>Dec-2024</v>
      </c>
      <c r="Z245" t="str">
        <f t="shared" si="34"/>
        <v>Europe. Germany. Frankfurt</v>
      </c>
      <c r="AA245" t="str">
        <f t="shared" si="35"/>
        <v>Low</v>
      </c>
      <c r="AB245" t="str">
        <f t="array" ref="AB245">TEXT(MIN(IF($E$2:$E$633=E245, $B$2:$B$633)), "YYYY-MM")</f>
        <v>2023-01</v>
      </c>
      <c r="AC245" s="13">
        <f>SUM($T$2:T245)</f>
        <v>4226347.62261</v>
      </c>
    </row>
    <row r="246" spans="1:29" x14ac:dyDescent="0.45">
      <c r="A246" t="s">
        <v>258</v>
      </c>
      <c r="B246" s="2">
        <v>45035</v>
      </c>
      <c r="C246" s="2">
        <v>45044</v>
      </c>
      <c r="D246" t="s">
        <v>648</v>
      </c>
      <c r="E246" t="s">
        <v>655</v>
      </c>
      <c r="F246" t="s">
        <v>692</v>
      </c>
      <c r="G246" t="s">
        <v>701</v>
      </c>
      <c r="H246" s="9" t="s">
        <v>710</v>
      </c>
      <c r="I246" s="9" t="s">
        <v>724</v>
      </c>
      <c r="J246" s="9" t="s">
        <v>730</v>
      </c>
      <c r="K246" t="s">
        <v>978</v>
      </c>
      <c r="L246" s="7">
        <v>1013.54</v>
      </c>
      <c r="M246" s="7">
        <v>927.93</v>
      </c>
      <c r="N246" s="5">
        <v>0.17499999999999999</v>
      </c>
      <c r="O246">
        <v>16</v>
      </c>
      <c r="P246" s="2">
        <f t="shared" si="27"/>
        <v>45044</v>
      </c>
      <c r="Q246" t="str">
        <f t="shared" si="28"/>
        <v>Ok</v>
      </c>
      <c r="R246">
        <f>ABS(Table2[[#This Row],[UnitPrice]])</f>
        <v>927.93</v>
      </c>
      <c r="S246">
        <f t="shared" si="29"/>
        <v>9</v>
      </c>
      <c r="T246" s="12">
        <f t="shared" si="30"/>
        <v>12248.675999999999</v>
      </c>
      <c r="U246">
        <f>Table2[[#This Row],[UnitCost]]*Table2[[#This Row],[Quantity]]</f>
        <v>16216.64</v>
      </c>
      <c r="V246" s="13">
        <f t="shared" si="31"/>
        <v>-3967.9639999999999</v>
      </c>
      <c r="W246" s="5">
        <f t="shared" si="32"/>
        <v>-0.32395044166406234</v>
      </c>
      <c r="X246" s="17" t="str">
        <f t="shared" si="33"/>
        <v>Apr-2023</v>
      </c>
      <c r="Z246" t="str">
        <f t="shared" si="34"/>
        <v>Americas. Brazil. Rio de Janeiro</v>
      </c>
      <c r="AA246" t="str">
        <f t="shared" si="35"/>
        <v>Low</v>
      </c>
      <c r="AB246" t="str">
        <f t="array" ref="AB246">TEXT(MIN(IF($E$2:$E$633=E246, $B$2:$B$633)), "YYYY-MM")</f>
        <v>2023-01</v>
      </c>
      <c r="AC246" s="13">
        <f>SUM($T$2:T246)</f>
        <v>4238596.2986099999</v>
      </c>
    </row>
    <row r="247" spans="1:29" x14ac:dyDescent="0.45">
      <c r="A247" t="s">
        <v>259</v>
      </c>
      <c r="B247" s="2">
        <v>45357</v>
      </c>
      <c r="C247" s="2">
        <v>45377</v>
      </c>
      <c r="D247" t="s">
        <v>646</v>
      </c>
      <c r="E247" t="s">
        <v>651</v>
      </c>
      <c r="F247" t="s">
        <v>663</v>
      </c>
      <c r="G247" t="s">
        <v>704</v>
      </c>
      <c r="H247" s="9" t="s">
        <v>709</v>
      </c>
      <c r="I247" s="9" t="s">
        <v>714</v>
      </c>
      <c r="J247" s="9" t="s">
        <v>730</v>
      </c>
      <c r="K247" t="s">
        <v>979</v>
      </c>
      <c r="L247" s="7">
        <v>65.64</v>
      </c>
      <c r="M247" s="7">
        <v>151.88</v>
      </c>
      <c r="N247" s="5">
        <v>0.16700000000000001</v>
      </c>
      <c r="O247">
        <v>23</v>
      </c>
      <c r="P247" s="2">
        <f t="shared" si="27"/>
        <v>45377</v>
      </c>
      <c r="Q247" t="str">
        <f t="shared" si="28"/>
        <v>Ok</v>
      </c>
      <c r="R247">
        <f>ABS(Table2[[#This Row],[UnitPrice]])</f>
        <v>151.88</v>
      </c>
      <c r="S247">
        <f t="shared" si="29"/>
        <v>20</v>
      </c>
      <c r="T247" s="12">
        <f t="shared" si="30"/>
        <v>2909.8689199999999</v>
      </c>
      <c r="U247">
        <f>Table2[[#This Row],[UnitCost]]*Table2[[#This Row],[Quantity]]</f>
        <v>1509.72</v>
      </c>
      <c r="V247" s="13">
        <f t="shared" si="31"/>
        <v>1400.1489199999999</v>
      </c>
      <c r="W247" s="5">
        <f t="shared" si="32"/>
        <v>0.48117250587356353</v>
      </c>
      <c r="X247" s="17" t="str">
        <f t="shared" si="33"/>
        <v>Mar-2024</v>
      </c>
      <c r="Z247" t="str">
        <f t="shared" si="34"/>
        <v>Africa. Nigeria. Port Harcourt</v>
      </c>
      <c r="AA247" t="str">
        <f t="shared" si="35"/>
        <v>Low</v>
      </c>
      <c r="AB247" t="str">
        <f t="array" ref="AB247">TEXT(MIN(IF($E$2:$E$633=E247, $B$2:$B$633)), "YYYY-MM")</f>
        <v>2023-01</v>
      </c>
      <c r="AC247" s="13">
        <f>SUM($T$2:T247)</f>
        <v>4241506.1675300002</v>
      </c>
    </row>
    <row r="248" spans="1:29" x14ac:dyDescent="0.45">
      <c r="A248" t="s">
        <v>260</v>
      </c>
      <c r="B248" s="2">
        <v>45338</v>
      </c>
      <c r="C248" s="2">
        <v>45355</v>
      </c>
      <c r="D248" t="s">
        <v>648</v>
      </c>
      <c r="E248" t="s">
        <v>653</v>
      </c>
      <c r="F248" t="s">
        <v>681</v>
      </c>
      <c r="G248" t="s">
        <v>703</v>
      </c>
      <c r="H248" s="9" t="s">
        <v>707</v>
      </c>
      <c r="I248" s="9" t="s">
        <v>726</v>
      </c>
      <c r="J248" s="9" t="s">
        <v>731</v>
      </c>
      <c r="K248" t="s">
        <v>980</v>
      </c>
      <c r="L248" s="7">
        <v>1350.98</v>
      </c>
      <c r="M248" s="7">
        <v>2210.4</v>
      </c>
      <c r="N248" s="5">
        <v>0.26300000000000001</v>
      </c>
      <c r="O248">
        <v>6</v>
      </c>
      <c r="P248" s="2">
        <f t="shared" si="27"/>
        <v>45355</v>
      </c>
      <c r="Q248" t="str">
        <f t="shared" si="28"/>
        <v>Ok</v>
      </c>
      <c r="R248">
        <f>ABS(Table2[[#This Row],[UnitPrice]])</f>
        <v>2210.4</v>
      </c>
      <c r="S248">
        <f t="shared" si="29"/>
        <v>17</v>
      </c>
      <c r="T248" s="12">
        <f t="shared" si="30"/>
        <v>9774.3888000000006</v>
      </c>
      <c r="U248">
        <f>Table2[[#This Row],[UnitCost]]*Table2[[#This Row],[Quantity]]</f>
        <v>8105.88</v>
      </c>
      <c r="V248" s="13">
        <f t="shared" si="31"/>
        <v>1668.5088000000005</v>
      </c>
      <c r="W248" s="5">
        <f t="shared" si="32"/>
        <v>0.17070211080615091</v>
      </c>
      <c r="X248" s="17" t="str">
        <f t="shared" si="33"/>
        <v>Feb-2024</v>
      </c>
      <c r="Z248" t="str">
        <f t="shared" si="34"/>
        <v>Americas. Canada. Montreal</v>
      </c>
      <c r="AA248" t="str">
        <f t="shared" si="35"/>
        <v>High</v>
      </c>
      <c r="AB248" t="str">
        <f t="array" ref="AB248">TEXT(MIN(IF($E$2:$E$633=E248, $B$2:$B$633)), "YYYY-MM")</f>
        <v>2023-01</v>
      </c>
      <c r="AC248" s="13">
        <f>SUM($T$2:T248)</f>
        <v>4251280.5563300001</v>
      </c>
    </row>
    <row r="249" spans="1:29" x14ac:dyDescent="0.45">
      <c r="A249" t="s">
        <v>261</v>
      </c>
      <c r="B249" s="2">
        <v>45769</v>
      </c>
      <c r="C249" s="2">
        <v>45779</v>
      </c>
      <c r="D249" t="s">
        <v>649</v>
      </c>
      <c r="E249" t="s">
        <v>656</v>
      </c>
      <c r="F249" t="s">
        <v>671</v>
      </c>
      <c r="G249" t="s">
        <v>701</v>
      </c>
      <c r="H249" s="9" t="s">
        <v>709</v>
      </c>
      <c r="I249" s="9" t="s">
        <v>712</v>
      </c>
      <c r="J249" s="9" t="s">
        <v>732</v>
      </c>
      <c r="K249" t="s">
        <v>981</v>
      </c>
      <c r="L249" s="7">
        <v>20.149999999999999</v>
      </c>
      <c r="M249" s="7">
        <v>39.74</v>
      </c>
      <c r="N249" s="5">
        <v>0.151</v>
      </c>
      <c r="O249">
        <v>18</v>
      </c>
      <c r="P249" s="2">
        <f t="shared" si="27"/>
        <v>45779</v>
      </c>
      <c r="Q249" t="str">
        <f t="shared" si="28"/>
        <v>Ok</v>
      </c>
      <c r="R249">
        <f>ABS(Table2[[#This Row],[UnitPrice]])</f>
        <v>39.74</v>
      </c>
      <c r="S249">
        <f t="shared" si="29"/>
        <v>10</v>
      </c>
      <c r="T249" s="12">
        <f t="shared" si="30"/>
        <v>607.30668000000003</v>
      </c>
      <c r="U249">
        <f>Table2[[#This Row],[UnitCost]]*Table2[[#This Row],[Quantity]]</f>
        <v>362.7</v>
      </c>
      <c r="V249" s="13">
        <f t="shared" si="31"/>
        <v>244.60668000000004</v>
      </c>
      <c r="W249" s="5">
        <f t="shared" si="32"/>
        <v>0.4027729120318585</v>
      </c>
      <c r="X249" s="17" t="str">
        <f t="shared" si="33"/>
        <v>Apr-2025</v>
      </c>
      <c r="Z249" t="str">
        <f t="shared" si="34"/>
        <v>Europe. Germany. Berlin</v>
      </c>
      <c r="AA249" t="str">
        <f t="shared" si="35"/>
        <v>Low</v>
      </c>
      <c r="AB249" t="str">
        <f t="array" ref="AB249">TEXT(MIN(IF($E$2:$E$633=E249, $B$2:$B$633)), "YYYY-MM")</f>
        <v>2023-01</v>
      </c>
      <c r="AC249" s="13">
        <f>SUM($T$2:T249)</f>
        <v>4251887.8630100004</v>
      </c>
    </row>
    <row r="250" spans="1:29" x14ac:dyDescent="0.45">
      <c r="A250" t="s">
        <v>262</v>
      </c>
      <c r="B250" s="2">
        <v>45604</v>
      </c>
      <c r="C250" s="2">
        <v>45604</v>
      </c>
      <c r="D250" t="s">
        <v>646</v>
      </c>
      <c r="E250" t="s">
        <v>650</v>
      </c>
      <c r="F250" t="s">
        <v>678</v>
      </c>
      <c r="G250" t="s">
        <v>706</v>
      </c>
      <c r="H250" s="9" t="s">
        <v>709</v>
      </c>
      <c r="I250" s="9" t="s">
        <v>724</v>
      </c>
      <c r="J250" s="9" t="s">
        <v>729</v>
      </c>
      <c r="K250" t="s">
        <v>982</v>
      </c>
      <c r="L250" s="7">
        <v>803.28</v>
      </c>
      <c r="M250" s="7">
        <v>1009</v>
      </c>
      <c r="N250" s="5">
        <v>0.11</v>
      </c>
      <c r="O250">
        <v>4</v>
      </c>
      <c r="P250" s="2">
        <f t="shared" si="27"/>
        <v>45604</v>
      </c>
      <c r="Q250" t="str">
        <f t="shared" si="28"/>
        <v>Ok</v>
      </c>
      <c r="R250">
        <f>ABS(Table2[[#This Row],[UnitPrice]])</f>
        <v>1009</v>
      </c>
      <c r="S250">
        <f t="shared" si="29"/>
        <v>0</v>
      </c>
      <c r="T250" s="12">
        <f t="shared" si="30"/>
        <v>3592.04</v>
      </c>
      <c r="U250">
        <f>Table2[[#This Row],[UnitCost]]*Table2[[#This Row],[Quantity]]</f>
        <v>3213.12</v>
      </c>
      <c r="V250" s="13">
        <f t="shared" si="31"/>
        <v>378.92000000000007</v>
      </c>
      <c r="W250" s="5">
        <f t="shared" si="32"/>
        <v>0.10548880302001093</v>
      </c>
      <c r="X250" s="17" t="str">
        <f t="shared" si="33"/>
        <v>Nov-2024</v>
      </c>
      <c r="Z250" t="str">
        <f t="shared" si="34"/>
        <v>Africa. Kenya. Nakuru</v>
      </c>
      <c r="AA250" t="str">
        <f t="shared" si="35"/>
        <v>Low</v>
      </c>
      <c r="AB250" t="str">
        <f t="array" ref="AB250">TEXT(MIN(IF($E$2:$E$633=E250, $B$2:$B$633)), "YYYY-MM")</f>
        <v>2023-01</v>
      </c>
      <c r="AC250" s="13">
        <f>SUM($T$2:T250)</f>
        <v>4255479.9030100005</v>
      </c>
    </row>
    <row r="251" spans="1:29" x14ac:dyDescent="0.45">
      <c r="A251" t="s">
        <v>263</v>
      </c>
      <c r="B251" s="2">
        <v>45912</v>
      </c>
      <c r="C251" s="2">
        <v>45930</v>
      </c>
      <c r="D251" t="s">
        <v>647</v>
      </c>
      <c r="E251" t="s">
        <v>652</v>
      </c>
      <c r="F251" t="s">
        <v>694</v>
      </c>
      <c r="G251" t="s">
        <v>703</v>
      </c>
      <c r="H251" s="9" t="s">
        <v>709</v>
      </c>
      <c r="I251" s="9" t="s">
        <v>721</v>
      </c>
      <c r="J251" s="9" t="s">
        <v>732</v>
      </c>
      <c r="K251" t="s">
        <v>983</v>
      </c>
      <c r="L251" s="7">
        <v>1212.99</v>
      </c>
      <c r="M251" s="7">
        <v>1653.64</v>
      </c>
      <c r="N251" s="5">
        <v>0.107</v>
      </c>
      <c r="O251">
        <v>8</v>
      </c>
      <c r="P251" s="2">
        <f t="shared" si="27"/>
        <v>45930</v>
      </c>
      <c r="Q251" t="str">
        <f t="shared" si="28"/>
        <v>Ok</v>
      </c>
      <c r="R251">
        <f>ABS(Table2[[#This Row],[UnitPrice]])</f>
        <v>1653.64</v>
      </c>
      <c r="S251">
        <f t="shared" si="29"/>
        <v>18</v>
      </c>
      <c r="T251" s="12">
        <f t="shared" si="30"/>
        <v>11813.604160000001</v>
      </c>
      <c r="U251">
        <f>Table2[[#This Row],[UnitCost]]*Table2[[#This Row],[Quantity]]</f>
        <v>9703.92</v>
      </c>
      <c r="V251" s="13">
        <f t="shared" si="31"/>
        <v>2109.6841600000007</v>
      </c>
      <c r="W251" s="5">
        <f t="shared" si="32"/>
        <v>0.17858090819931455</v>
      </c>
      <c r="X251" s="17" t="str">
        <f t="shared" si="33"/>
        <v>Sep-2025</v>
      </c>
      <c r="Z251" t="str">
        <f t="shared" si="34"/>
        <v>Asia. Japan. Nagoya</v>
      </c>
      <c r="AA251" t="str">
        <f t="shared" si="35"/>
        <v>High</v>
      </c>
      <c r="AB251" t="str">
        <f t="array" ref="AB251">TEXT(MIN(IF($E$2:$E$633=E251, $B$2:$B$633)), "YYYY-MM")</f>
        <v>2023-03</v>
      </c>
      <c r="AC251" s="13">
        <f>SUM($T$2:T251)</f>
        <v>4267293.5071700001</v>
      </c>
    </row>
    <row r="252" spans="1:29" x14ac:dyDescent="0.45">
      <c r="A252" t="s">
        <v>264</v>
      </c>
      <c r="B252" s="2">
        <v>45537</v>
      </c>
      <c r="C252" s="2">
        <v>45543</v>
      </c>
      <c r="D252" t="s">
        <v>648</v>
      </c>
      <c r="E252" t="s">
        <v>660</v>
      </c>
      <c r="F252" t="s">
        <v>697</v>
      </c>
      <c r="G252" t="s">
        <v>704</v>
      </c>
      <c r="H252" s="9" t="s">
        <v>711</v>
      </c>
      <c r="I252" s="9" t="s">
        <v>722</v>
      </c>
      <c r="J252" s="9" t="s">
        <v>727</v>
      </c>
      <c r="K252" t="s">
        <v>984</v>
      </c>
      <c r="L252" s="7">
        <v>462.94</v>
      </c>
      <c r="M252" s="7">
        <v>1015.7</v>
      </c>
      <c r="N252" s="5">
        <v>0.14299999999999999</v>
      </c>
      <c r="O252">
        <v>14</v>
      </c>
      <c r="P252" s="2">
        <f t="shared" si="27"/>
        <v>45543</v>
      </c>
      <c r="Q252" t="str">
        <f t="shared" si="28"/>
        <v>Ok</v>
      </c>
      <c r="R252">
        <f>ABS(Table2[[#This Row],[UnitPrice]])</f>
        <v>1015.7</v>
      </c>
      <c r="S252">
        <f t="shared" si="29"/>
        <v>6</v>
      </c>
      <c r="T252" s="12">
        <f t="shared" si="30"/>
        <v>12186.368600000002</v>
      </c>
      <c r="U252">
        <f>Table2[[#This Row],[UnitCost]]*Table2[[#This Row],[Quantity]]</f>
        <v>6481.16</v>
      </c>
      <c r="V252" s="13">
        <f t="shared" si="31"/>
        <v>5705.2086000000018</v>
      </c>
      <c r="W252" s="5">
        <f t="shared" si="32"/>
        <v>0.46816314090483041</v>
      </c>
      <c r="X252" s="17" t="str">
        <f t="shared" si="33"/>
        <v>Sep-2024</v>
      </c>
      <c r="Z252" t="str">
        <f t="shared" si="34"/>
        <v>Americas. USA. Austin</v>
      </c>
      <c r="AA252" t="str">
        <f t="shared" si="35"/>
        <v>Low</v>
      </c>
      <c r="AB252" t="str">
        <f t="array" ref="AB252">TEXT(MIN(IF($E$2:$E$633=E252, $B$2:$B$633)), "YYYY-MM")</f>
        <v>2023-01</v>
      </c>
      <c r="AC252" s="13">
        <f>SUM($T$2:T252)</f>
        <v>4279479.8757699998</v>
      </c>
    </row>
    <row r="253" spans="1:29" x14ac:dyDescent="0.45">
      <c r="A253" t="s">
        <v>265</v>
      </c>
      <c r="B253" s="2">
        <v>44989</v>
      </c>
      <c r="C253" s="2">
        <v>45009</v>
      </c>
      <c r="D253" t="s">
        <v>648</v>
      </c>
      <c r="E253" t="s">
        <v>653</v>
      </c>
      <c r="F253" t="s">
        <v>681</v>
      </c>
      <c r="G253" t="s">
        <v>704</v>
      </c>
      <c r="H253" s="9" t="s">
        <v>710</v>
      </c>
      <c r="I253" s="9" t="s">
        <v>714</v>
      </c>
      <c r="J253" s="9" t="s">
        <v>731</v>
      </c>
      <c r="K253" t="s">
        <v>985</v>
      </c>
      <c r="L253" s="7">
        <v>481.71</v>
      </c>
      <c r="M253" s="7">
        <v>912.45</v>
      </c>
      <c r="N253" s="5">
        <v>0.20300000000000001</v>
      </c>
      <c r="O253">
        <v>24</v>
      </c>
      <c r="P253" s="2">
        <f t="shared" si="27"/>
        <v>45009</v>
      </c>
      <c r="Q253" t="str">
        <f t="shared" si="28"/>
        <v>Ok</v>
      </c>
      <c r="R253">
        <f>ABS(Table2[[#This Row],[UnitPrice]])</f>
        <v>912.45</v>
      </c>
      <c r="S253">
        <f t="shared" si="29"/>
        <v>20</v>
      </c>
      <c r="T253" s="12">
        <f t="shared" si="30"/>
        <v>17453.3436</v>
      </c>
      <c r="U253">
        <f>Table2[[#This Row],[UnitCost]]*Table2[[#This Row],[Quantity]]</f>
        <v>11561.039999999999</v>
      </c>
      <c r="V253" s="13">
        <f t="shared" si="31"/>
        <v>5892.3036000000011</v>
      </c>
      <c r="W253" s="5">
        <f t="shared" si="32"/>
        <v>0.33760313983619739</v>
      </c>
      <c r="X253" s="17" t="str">
        <f t="shared" si="33"/>
        <v>Mar-2023</v>
      </c>
      <c r="Z253" t="str">
        <f t="shared" si="34"/>
        <v>Americas. Canada. Montreal</v>
      </c>
      <c r="AA253" t="str">
        <f t="shared" si="35"/>
        <v>Low</v>
      </c>
      <c r="AB253" t="str">
        <f t="array" ref="AB253">TEXT(MIN(IF($E$2:$E$633=E253, $B$2:$B$633)), "YYYY-MM")</f>
        <v>2023-01</v>
      </c>
      <c r="AC253" s="13">
        <f>SUM($T$2:T253)</f>
        <v>4296933.2193700001</v>
      </c>
    </row>
    <row r="254" spans="1:29" x14ac:dyDescent="0.45">
      <c r="A254" t="s">
        <v>266</v>
      </c>
      <c r="B254" s="2">
        <v>45366</v>
      </c>
      <c r="C254" s="2">
        <v>45391</v>
      </c>
      <c r="D254" t="s">
        <v>648</v>
      </c>
      <c r="E254" t="s">
        <v>653</v>
      </c>
      <c r="F254" t="s">
        <v>688</v>
      </c>
      <c r="G254" t="s">
        <v>704</v>
      </c>
      <c r="H254" s="9" t="s">
        <v>708</v>
      </c>
      <c r="I254" s="9" t="s">
        <v>721</v>
      </c>
      <c r="J254" s="9" t="s">
        <v>732</v>
      </c>
      <c r="K254" t="s">
        <v>986</v>
      </c>
      <c r="L254" s="7">
        <v>648.64</v>
      </c>
      <c r="M254" s="7">
        <v>815.19</v>
      </c>
      <c r="N254" s="5">
        <v>0.22500000000000001</v>
      </c>
      <c r="O254">
        <v>28</v>
      </c>
      <c r="P254" s="2">
        <f t="shared" si="27"/>
        <v>45391</v>
      </c>
      <c r="Q254" t="str">
        <f t="shared" si="28"/>
        <v>Ok</v>
      </c>
      <c r="R254">
        <f>ABS(Table2[[#This Row],[UnitPrice]])</f>
        <v>815.19</v>
      </c>
      <c r="S254">
        <f t="shared" si="29"/>
        <v>25</v>
      </c>
      <c r="T254" s="12">
        <f t="shared" si="30"/>
        <v>17689.623</v>
      </c>
      <c r="U254">
        <f>Table2[[#This Row],[UnitCost]]*Table2[[#This Row],[Quantity]]</f>
        <v>18161.919999999998</v>
      </c>
      <c r="V254" s="13">
        <f t="shared" si="31"/>
        <v>-472.29699999999866</v>
      </c>
      <c r="W254" s="5">
        <f t="shared" si="32"/>
        <v>-2.6699099240272032E-2</v>
      </c>
      <c r="X254" s="17" t="str">
        <f t="shared" si="33"/>
        <v>Mar-2024</v>
      </c>
      <c r="Z254" t="str">
        <f t="shared" si="34"/>
        <v>Americas. Canada. Vancouver</v>
      </c>
      <c r="AA254" t="str">
        <f t="shared" si="35"/>
        <v>Low</v>
      </c>
      <c r="AB254" t="str">
        <f t="array" ref="AB254">TEXT(MIN(IF($E$2:$E$633=E254, $B$2:$B$633)), "YYYY-MM")</f>
        <v>2023-01</v>
      </c>
      <c r="AC254" s="13">
        <f>SUM($T$2:T254)</f>
        <v>4314622.8423699997</v>
      </c>
    </row>
    <row r="255" spans="1:29" x14ac:dyDescent="0.45">
      <c r="A255" t="s">
        <v>267</v>
      </c>
      <c r="B255" s="2">
        <v>45502</v>
      </c>
      <c r="C255" s="2">
        <v>45504</v>
      </c>
      <c r="D255" t="s">
        <v>648</v>
      </c>
      <c r="E255" t="s">
        <v>660</v>
      </c>
      <c r="F255" t="s">
        <v>700</v>
      </c>
      <c r="G255" t="s">
        <v>702</v>
      </c>
      <c r="H255" s="9" t="s">
        <v>709</v>
      </c>
      <c r="I255" s="9" t="s">
        <v>714</v>
      </c>
      <c r="J255" s="9" t="s">
        <v>728</v>
      </c>
      <c r="K255" t="s">
        <v>987</v>
      </c>
      <c r="L255" s="7">
        <v>798.97</v>
      </c>
      <c r="M255" s="7">
        <v>1814.06</v>
      </c>
      <c r="N255" s="5">
        <v>0.122</v>
      </c>
      <c r="O255">
        <v>16</v>
      </c>
      <c r="P255" s="2">
        <f t="shared" si="27"/>
        <v>45504</v>
      </c>
      <c r="Q255" t="str">
        <f t="shared" si="28"/>
        <v>Ok</v>
      </c>
      <c r="R255">
        <f>ABS(Table2[[#This Row],[UnitPrice]])</f>
        <v>1814.06</v>
      </c>
      <c r="S255">
        <f t="shared" si="29"/>
        <v>2</v>
      </c>
      <c r="T255" s="12">
        <f t="shared" si="30"/>
        <v>25483.91488</v>
      </c>
      <c r="U255">
        <f>Table2[[#This Row],[UnitCost]]*Table2[[#This Row],[Quantity]]</f>
        <v>12783.52</v>
      </c>
      <c r="V255" s="13">
        <f t="shared" si="31"/>
        <v>12700.39488</v>
      </c>
      <c r="W255" s="5">
        <f t="shared" si="32"/>
        <v>0.49836906691159061</v>
      </c>
      <c r="X255" s="17" t="str">
        <f t="shared" si="33"/>
        <v>Jul-2024</v>
      </c>
      <c r="Z255" t="str">
        <f t="shared" si="34"/>
        <v>Americas. USA. New York</v>
      </c>
      <c r="AA255" t="str">
        <f t="shared" si="35"/>
        <v>High</v>
      </c>
      <c r="AB255" t="str">
        <f t="array" ref="AB255">TEXT(MIN(IF($E$2:$E$633=E255, $B$2:$B$633)), "YYYY-MM")</f>
        <v>2023-01</v>
      </c>
      <c r="AC255" s="13">
        <f>SUM($T$2:T255)</f>
        <v>4340106.7572499998</v>
      </c>
    </row>
    <row r="256" spans="1:29" x14ac:dyDescent="0.45">
      <c r="A256" t="s">
        <v>268</v>
      </c>
      <c r="B256" s="2">
        <v>45592</v>
      </c>
      <c r="C256" s="2">
        <v>45616</v>
      </c>
      <c r="D256" t="s">
        <v>647</v>
      </c>
      <c r="E256" t="s">
        <v>652</v>
      </c>
      <c r="F256" t="s">
        <v>694</v>
      </c>
      <c r="G256" t="s">
        <v>703</v>
      </c>
      <c r="H256" s="9" t="s">
        <v>708</v>
      </c>
      <c r="I256" s="9" t="s">
        <v>722</v>
      </c>
      <c r="J256" s="9" t="s">
        <v>732</v>
      </c>
      <c r="K256" t="s">
        <v>988</v>
      </c>
      <c r="L256" s="7">
        <v>317.25</v>
      </c>
      <c r="M256" s="7">
        <v>758.92</v>
      </c>
      <c r="N256" s="5">
        <v>5.2999999999999999E-2</v>
      </c>
      <c r="O256">
        <v>9</v>
      </c>
      <c r="P256" s="2">
        <f t="shared" si="27"/>
        <v>45616</v>
      </c>
      <c r="Q256" t="str">
        <f t="shared" si="28"/>
        <v>Ok</v>
      </c>
      <c r="R256">
        <f>ABS(Table2[[#This Row],[UnitPrice]])</f>
        <v>758.92</v>
      </c>
      <c r="S256">
        <f t="shared" si="29"/>
        <v>24</v>
      </c>
      <c r="T256" s="12">
        <f t="shared" si="30"/>
        <v>6468.2751599999992</v>
      </c>
      <c r="U256">
        <f>Table2[[#This Row],[UnitCost]]*Table2[[#This Row],[Quantity]]</f>
        <v>2855.25</v>
      </c>
      <c r="V256" s="13">
        <f t="shared" si="31"/>
        <v>3613.0251599999992</v>
      </c>
      <c r="W256" s="5">
        <f t="shared" si="32"/>
        <v>0.5585762928489888</v>
      </c>
      <c r="X256" s="17" t="str">
        <f t="shared" si="33"/>
        <v>Oct-2024</v>
      </c>
      <c r="Z256" t="str">
        <f t="shared" si="34"/>
        <v>Asia. Japan. Nagoya</v>
      </c>
      <c r="AA256" t="str">
        <f t="shared" si="35"/>
        <v>Low</v>
      </c>
      <c r="AB256" t="str">
        <f t="array" ref="AB256">TEXT(MIN(IF($E$2:$E$633=E256, $B$2:$B$633)), "YYYY-MM")</f>
        <v>2023-03</v>
      </c>
      <c r="AC256" s="13">
        <f>SUM($T$2:T256)</f>
        <v>4346575.0324099995</v>
      </c>
    </row>
    <row r="257" spans="1:29" x14ac:dyDescent="0.45">
      <c r="A257" t="s">
        <v>269</v>
      </c>
      <c r="B257" s="2">
        <v>45411</v>
      </c>
      <c r="C257" s="2">
        <v>45431</v>
      </c>
      <c r="D257" t="s">
        <v>649</v>
      </c>
      <c r="E257" t="s">
        <v>656</v>
      </c>
      <c r="F257" t="s">
        <v>698</v>
      </c>
      <c r="G257" t="s">
        <v>706</v>
      </c>
      <c r="H257" s="9" t="s">
        <v>709</v>
      </c>
      <c r="I257" s="9" t="s">
        <v>712</v>
      </c>
      <c r="J257" s="9" t="s">
        <v>731</v>
      </c>
      <c r="K257" t="s">
        <v>989</v>
      </c>
      <c r="L257" s="7">
        <v>668.97</v>
      </c>
      <c r="M257" s="7">
        <v>1667.44</v>
      </c>
      <c r="N257" s="5">
        <v>3.4000000000000002E-2</v>
      </c>
      <c r="O257">
        <v>15</v>
      </c>
      <c r="P257" s="2">
        <f t="shared" si="27"/>
        <v>45431</v>
      </c>
      <c r="Q257" t="str">
        <f t="shared" si="28"/>
        <v>Ok</v>
      </c>
      <c r="R257">
        <f>ABS(Table2[[#This Row],[UnitPrice]])</f>
        <v>1667.44</v>
      </c>
      <c r="S257">
        <f t="shared" si="29"/>
        <v>20</v>
      </c>
      <c r="T257" s="12">
        <f t="shared" si="30"/>
        <v>24161.205600000001</v>
      </c>
      <c r="U257">
        <f>Table2[[#This Row],[UnitCost]]*Table2[[#This Row],[Quantity]]</f>
        <v>10034.550000000001</v>
      </c>
      <c r="V257" s="13">
        <f t="shared" si="31"/>
        <v>14126.6556</v>
      </c>
      <c r="W257" s="5">
        <f t="shared" si="32"/>
        <v>0.58468339013679016</v>
      </c>
      <c r="X257" s="17" t="str">
        <f t="shared" si="33"/>
        <v>Apr-2024</v>
      </c>
      <c r="Z257" t="str">
        <f t="shared" si="34"/>
        <v>Europe. Germany. Frankfurt</v>
      </c>
      <c r="AA257" t="str">
        <f t="shared" si="35"/>
        <v>High</v>
      </c>
      <c r="AB257" t="str">
        <f t="array" ref="AB257">TEXT(MIN(IF($E$2:$E$633=E257, $B$2:$B$633)), "YYYY-MM")</f>
        <v>2023-01</v>
      </c>
      <c r="AC257" s="13">
        <f>SUM($T$2:T257)</f>
        <v>4370736.2380099995</v>
      </c>
    </row>
    <row r="258" spans="1:29" x14ac:dyDescent="0.45">
      <c r="A258" t="s">
        <v>270</v>
      </c>
      <c r="B258" s="2">
        <v>45204</v>
      </c>
      <c r="C258" s="2">
        <v>45205</v>
      </c>
      <c r="D258" t="s">
        <v>647</v>
      </c>
      <c r="E258" t="s">
        <v>654</v>
      </c>
      <c r="F258" t="s">
        <v>668</v>
      </c>
      <c r="G258" t="s">
        <v>703</v>
      </c>
      <c r="H258" s="9" t="s">
        <v>708</v>
      </c>
      <c r="I258" s="9" t="s">
        <v>714</v>
      </c>
      <c r="J258" s="9" t="s">
        <v>727</v>
      </c>
      <c r="K258" t="s">
        <v>990</v>
      </c>
      <c r="L258" s="7">
        <v>1470.26</v>
      </c>
      <c r="M258" s="7">
        <v>2562.5500000000002</v>
      </c>
      <c r="N258" s="5">
        <v>0.17299999999999999</v>
      </c>
      <c r="O258">
        <v>9</v>
      </c>
      <c r="P258" s="2">
        <f t="shared" ref="P258:P321" si="36">IF(C258&lt;B258,B258+7,C258)</f>
        <v>45205</v>
      </c>
      <c r="Q258" t="str">
        <f t="shared" ref="Q258:Q321" si="37">IF(M258&lt;0, "Invalid Price","Ok")</f>
        <v>Ok</v>
      </c>
      <c r="R258">
        <f>ABS(Table2[[#This Row],[UnitPrice]])</f>
        <v>2562.5500000000002</v>
      </c>
      <c r="S258">
        <f t="shared" si="29"/>
        <v>1</v>
      </c>
      <c r="T258" s="12">
        <f t="shared" si="30"/>
        <v>19073.059649999999</v>
      </c>
      <c r="U258">
        <f>Table2[[#This Row],[UnitCost]]*Table2[[#This Row],[Quantity]]</f>
        <v>13232.34</v>
      </c>
      <c r="V258" s="13">
        <f t="shared" si="31"/>
        <v>5840.7196499999991</v>
      </c>
      <c r="W258" s="5">
        <f t="shared" si="32"/>
        <v>0.30622877279157462</v>
      </c>
      <c r="X258" s="17" t="str">
        <f t="shared" si="33"/>
        <v>Oct-2023</v>
      </c>
      <c r="Z258" t="str">
        <f t="shared" si="34"/>
        <v>Asia. India. Bengaluru</v>
      </c>
      <c r="AA258" t="str">
        <f t="shared" si="35"/>
        <v>High</v>
      </c>
      <c r="AB258" t="str">
        <f t="array" ref="AB258">TEXT(MIN(IF($E$2:$E$633=E258, $B$2:$B$633)), "YYYY-MM")</f>
        <v>2023-01</v>
      </c>
      <c r="AC258" s="13">
        <f>SUM($T$2:T258)</f>
        <v>4389809.2976599997</v>
      </c>
    </row>
    <row r="259" spans="1:29" x14ac:dyDescent="0.45">
      <c r="A259" t="s">
        <v>271</v>
      </c>
      <c r="B259" s="2">
        <v>45035</v>
      </c>
      <c r="C259" s="2">
        <v>45053</v>
      </c>
      <c r="D259" t="s">
        <v>649</v>
      </c>
      <c r="E259" t="s">
        <v>658</v>
      </c>
      <c r="F259" t="s">
        <v>683</v>
      </c>
      <c r="G259" t="s">
        <v>703</v>
      </c>
      <c r="H259" s="9" t="s">
        <v>711</v>
      </c>
      <c r="I259" s="9" t="s">
        <v>722</v>
      </c>
      <c r="J259" s="9" t="s">
        <v>729</v>
      </c>
      <c r="K259" t="s">
        <v>991</v>
      </c>
      <c r="L259" s="7">
        <v>516.96</v>
      </c>
      <c r="M259" s="7">
        <v>745.38</v>
      </c>
      <c r="N259" s="5">
        <v>0.19700000000000001</v>
      </c>
      <c r="O259">
        <v>4</v>
      </c>
      <c r="P259" s="2">
        <f t="shared" si="36"/>
        <v>45053</v>
      </c>
      <c r="Q259" t="str">
        <f t="shared" si="37"/>
        <v>Ok</v>
      </c>
      <c r="R259">
        <f>ABS(Table2[[#This Row],[UnitPrice]])</f>
        <v>745.38</v>
      </c>
      <c r="S259">
        <f t="shared" ref="S259:S322" si="38">P259-B259</f>
        <v>18</v>
      </c>
      <c r="T259" s="12">
        <f t="shared" ref="T259:T322" si="39">R259*O259*(1-N259)</f>
        <v>2394.1605599999998</v>
      </c>
      <c r="U259">
        <f>Table2[[#This Row],[UnitCost]]*Table2[[#This Row],[Quantity]]</f>
        <v>2067.84</v>
      </c>
      <c r="V259" s="13">
        <f t="shared" ref="V259:V322" si="40">T259-U259</f>
        <v>326.32055999999966</v>
      </c>
      <c r="W259" s="5">
        <f t="shared" ref="W259:W322" si="41">IF(V259=0,0,V259/T259)</f>
        <v>0.13629852794835101</v>
      </c>
      <c r="X259" s="17" t="str">
        <f t="shared" ref="X259:X322" si="42">TEXT(B259,"mmm-yyyy")</f>
        <v>Apr-2023</v>
      </c>
      <c r="Z259" t="str">
        <f t="shared" ref="Z259:Z322" si="43">CONCATENATE(D259,". ",E259,". ",F259)</f>
        <v>Europe. United Kingdom. London</v>
      </c>
      <c r="AA259" t="str">
        <f t="shared" ref="AA259:AA322" si="44">IF(M259&lt;1193.87, "Low",IF(M259&gt;1193.87,"High","Medium"))</f>
        <v>Low</v>
      </c>
      <c r="AB259" t="str">
        <f t="array" ref="AB259">TEXT(MIN(IF($E$2:$E$633=E259, $B$2:$B$633)), "YYYY-MM")</f>
        <v>2023-01</v>
      </c>
      <c r="AC259" s="13">
        <f>SUM($T$2:T259)</f>
        <v>4392203.4582199994</v>
      </c>
    </row>
    <row r="260" spans="1:29" x14ac:dyDescent="0.45">
      <c r="A260" t="s">
        <v>272</v>
      </c>
      <c r="B260" s="2">
        <v>45835</v>
      </c>
      <c r="C260" s="2">
        <v>45843</v>
      </c>
      <c r="D260" t="s">
        <v>649</v>
      </c>
      <c r="E260" t="s">
        <v>656</v>
      </c>
      <c r="F260" t="s">
        <v>684</v>
      </c>
      <c r="G260" t="s">
        <v>705</v>
      </c>
      <c r="H260" s="9" t="s">
        <v>711</v>
      </c>
      <c r="I260" s="9" t="s">
        <v>715</v>
      </c>
      <c r="J260" s="9" t="s">
        <v>732</v>
      </c>
      <c r="K260" t="s">
        <v>992</v>
      </c>
      <c r="L260" s="7">
        <v>314.93</v>
      </c>
      <c r="M260" s="7">
        <v>687.95</v>
      </c>
      <c r="N260" s="5">
        <v>0.20499999999999999</v>
      </c>
      <c r="O260">
        <v>8</v>
      </c>
      <c r="P260" s="2">
        <f t="shared" si="36"/>
        <v>45843</v>
      </c>
      <c r="Q260" t="str">
        <f t="shared" si="37"/>
        <v>Ok</v>
      </c>
      <c r="R260">
        <f>ABS(Table2[[#This Row],[UnitPrice]])</f>
        <v>687.95</v>
      </c>
      <c r="S260">
        <f t="shared" si="38"/>
        <v>8</v>
      </c>
      <c r="T260" s="12">
        <f t="shared" si="39"/>
        <v>4375.3620000000001</v>
      </c>
      <c r="U260">
        <f>Table2[[#This Row],[UnitCost]]*Table2[[#This Row],[Quantity]]</f>
        <v>2519.44</v>
      </c>
      <c r="V260" s="13">
        <f t="shared" si="40"/>
        <v>1855.922</v>
      </c>
      <c r="W260" s="5">
        <f t="shared" si="41"/>
        <v>0.424175645352316</v>
      </c>
      <c r="X260" s="17" t="str">
        <f t="shared" si="42"/>
        <v>Jun-2025</v>
      </c>
      <c r="Z260" t="str">
        <f t="shared" si="43"/>
        <v>Europe. Germany. Munich</v>
      </c>
      <c r="AA260" t="str">
        <f t="shared" si="44"/>
        <v>Low</v>
      </c>
      <c r="AB260" t="str">
        <f t="array" ref="AB260">TEXT(MIN(IF($E$2:$E$633=E260, $B$2:$B$633)), "YYYY-MM")</f>
        <v>2023-01</v>
      </c>
      <c r="AC260" s="13">
        <f>SUM($T$2:T260)</f>
        <v>4396578.8202199992</v>
      </c>
    </row>
    <row r="261" spans="1:29" x14ac:dyDescent="0.45">
      <c r="A261" t="s">
        <v>273</v>
      </c>
      <c r="B261" s="2">
        <v>45210</v>
      </c>
      <c r="C261" s="2">
        <v>45212</v>
      </c>
      <c r="D261" t="s">
        <v>648</v>
      </c>
      <c r="E261" t="s">
        <v>655</v>
      </c>
      <c r="F261" t="s">
        <v>672</v>
      </c>
      <c r="G261" t="s">
        <v>704</v>
      </c>
      <c r="H261" s="9" t="s">
        <v>710</v>
      </c>
      <c r="I261" s="9" t="s">
        <v>1422</v>
      </c>
      <c r="J261" s="9" t="s">
        <v>733</v>
      </c>
      <c r="K261" t="s">
        <v>993</v>
      </c>
      <c r="L261" s="7">
        <v>715.94</v>
      </c>
      <c r="M261" s="7">
        <v>550.07000000000005</v>
      </c>
      <c r="N261" s="5">
        <v>0.14000000000000001</v>
      </c>
      <c r="O261">
        <v>16</v>
      </c>
      <c r="P261" s="2">
        <f t="shared" si="36"/>
        <v>45212</v>
      </c>
      <c r="Q261" t="str">
        <f t="shared" si="37"/>
        <v>Ok</v>
      </c>
      <c r="R261">
        <f>ABS(Table2[[#This Row],[UnitPrice]])</f>
        <v>550.07000000000005</v>
      </c>
      <c r="S261">
        <f t="shared" si="38"/>
        <v>2</v>
      </c>
      <c r="T261" s="12">
        <f t="shared" si="39"/>
        <v>7568.9632000000001</v>
      </c>
      <c r="U261">
        <f>Table2[[#This Row],[UnitCost]]*Table2[[#This Row],[Quantity]]</f>
        <v>11455.04</v>
      </c>
      <c r="V261" s="13">
        <f t="shared" si="40"/>
        <v>-3886.0768000000007</v>
      </c>
      <c r="W261" s="5">
        <f t="shared" si="41"/>
        <v>-0.51342260456491595</v>
      </c>
      <c r="X261" s="17" t="str">
        <f t="shared" si="42"/>
        <v>Oct-2023</v>
      </c>
      <c r="Z261" t="str">
        <f t="shared" si="43"/>
        <v>Americas. Brazil. Brasília</v>
      </c>
      <c r="AA261" t="str">
        <f t="shared" si="44"/>
        <v>Low</v>
      </c>
      <c r="AB261" t="str">
        <f t="array" ref="AB261">TEXT(MIN(IF($E$2:$E$633=E261, $B$2:$B$633)), "YYYY-MM")</f>
        <v>2023-01</v>
      </c>
      <c r="AC261" s="13">
        <f>SUM($T$2:T261)</f>
        <v>4404147.7834199993</v>
      </c>
    </row>
    <row r="262" spans="1:29" x14ac:dyDescent="0.45">
      <c r="A262" t="s">
        <v>274</v>
      </c>
      <c r="B262" s="2">
        <v>45066</v>
      </c>
      <c r="C262" s="2">
        <v>45084</v>
      </c>
      <c r="D262" t="s">
        <v>646</v>
      </c>
      <c r="E262" t="s">
        <v>651</v>
      </c>
      <c r="F262" t="s">
        <v>663</v>
      </c>
      <c r="G262" t="s">
        <v>706</v>
      </c>
      <c r="H262" s="9" t="s">
        <v>710</v>
      </c>
      <c r="I262" s="9" t="s">
        <v>718</v>
      </c>
      <c r="J262" s="9" t="s">
        <v>727</v>
      </c>
      <c r="K262" t="s">
        <v>994</v>
      </c>
      <c r="L262" s="7">
        <v>1120.06</v>
      </c>
      <c r="M262" s="7">
        <v>2068.21</v>
      </c>
      <c r="N262" s="5">
        <v>7.8E-2</v>
      </c>
      <c r="O262">
        <v>12</v>
      </c>
      <c r="P262" s="2">
        <f t="shared" si="36"/>
        <v>45084</v>
      </c>
      <c r="Q262" t="str">
        <f t="shared" si="37"/>
        <v>Ok</v>
      </c>
      <c r="R262">
        <f>ABS(Table2[[#This Row],[UnitPrice]])</f>
        <v>2068.21</v>
      </c>
      <c r="S262">
        <f t="shared" si="38"/>
        <v>18</v>
      </c>
      <c r="T262" s="12">
        <f t="shared" si="39"/>
        <v>22882.675440000003</v>
      </c>
      <c r="U262">
        <f>Table2[[#This Row],[UnitCost]]*Table2[[#This Row],[Quantity]]</f>
        <v>13440.72</v>
      </c>
      <c r="V262" s="13">
        <f t="shared" si="40"/>
        <v>9441.9554400000034</v>
      </c>
      <c r="W262" s="5">
        <f t="shared" si="41"/>
        <v>0.41262462795303284</v>
      </c>
      <c r="X262" s="17" t="str">
        <f t="shared" si="42"/>
        <v>May-2023</v>
      </c>
      <c r="Z262" t="str">
        <f t="shared" si="43"/>
        <v>Africa. Nigeria. Port Harcourt</v>
      </c>
      <c r="AA262" t="str">
        <f t="shared" si="44"/>
        <v>High</v>
      </c>
      <c r="AB262" t="str">
        <f t="array" ref="AB262">TEXT(MIN(IF($E$2:$E$633=E262, $B$2:$B$633)), "YYYY-MM")</f>
        <v>2023-01</v>
      </c>
      <c r="AC262" s="13">
        <f>SUM($T$2:T262)</f>
        <v>4427030.4588599997</v>
      </c>
    </row>
    <row r="263" spans="1:29" x14ac:dyDescent="0.45">
      <c r="A263" t="s">
        <v>275</v>
      </c>
      <c r="B263" s="2">
        <v>45073</v>
      </c>
      <c r="C263" s="2">
        <v>45096</v>
      </c>
      <c r="D263" t="s">
        <v>649</v>
      </c>
      <c r="E263" t="s">
        <v>656</v>
      </c>
      <c r="F263" t="s">
        <v>671</v>
      </c>
      <c r="G263" t="s">
        <v>702</v>
      </c>
      <c r="H263" s="9" t="s">
        <v>707</v>
      </c>
      <c r="I263" s="9" t="s">
        <v>719</v>
      </c>
      <c r="J263" s="9" t="s">
        <v>733</v>
      </c>
      <c r="K263" t="s">
        <v>995</v>
      </c>
      <c r="L263" s="7">
        <v>1471.58</v>
      </c>
      <c r="M263" s="7">
        <v>2576.65</v>
      </c>
      <c r="N263" s="5">
        <v>4.0000000000000001E-3</v>
      </c>
      <c r="O263">
        <v>7</v>
      </c>
      <c r="P263" s="2">
        <f t="shared" si="36"/>
        <v>45096</v>
      </c>
      <c r="Q263" t="str">
        <f t="shared" si="37"/>
        <v>Ok</v>
      </c>
      <c r="R263">
        <f>ABS(Table2[[#This Row],[UnitPrice]])</f>
        <v>2576.65</v>
      </c>
      <c r="S263">
        <f t="shared" si="38"/>
        <v>23</v>
      </c>
      <c r="T263" s="12">
        <f t="shared" si="39"/>
        <v>17964.4038</v>
      </c>
      <c r="U263">
        <f>Table2[[#This Row],[UnitCost]]*Table2[[#This Row],[Quantity]]</f>
        <v>10301.06</v>
      </c>
      <c r="V263" s="13">
        <f t="shared" si="40"/>
        <v>7663.3438000000006</v>
      </c>
      <c r="W263" s="5">
        <f t="shared" si="41"/>
        <v>0.4265849223451546</v>
      </c>
      <c r="X263" s="17" t="str">
        <f t="shared" si="42"/>
        <v>May-2023</v>
      </c>
      <c r="Z263" t="str">
        <f t="shared" si="43"/>
        <v>Europe. Germany. Berlin</v>
      </c>
      <c r="AA263" t="str">
        <f t="shared" si="44"/>
        <v>High</v>
      </c>
      <c r="AB263" t="str">
        <f t="array" ref="AB263">TEXT(MIN(IF($E$2:$E$633=E263, $B$2:$B$633)), "YYYY-MM")</f>
        <v>2023-01</v>
      </c>
      <c r="AC263" s="13">
        <f>SUM($T$2:T263)</f>
        <v>4444994.8626600001</v>
      </c>
    </row>
    <row r="264" spans="1:29" x14ac:dyDescent="0.45">
      <c r="A264" t="s">
        <v>276</v>
      </c>
      <c r="B264" s="2">
        <v>45142</v>
      </c>
      <c r="C264" s="2">
        <v>45162</v>
      </c>
      <c r="D264" t="s">
        <v>648</v>
      </c>
      <c r="E264" t="s">
        <v>655</v>
      </c>
      <c r="F264" t="s">
        <v>672</v>
      </c>
      <c r="G264" t="s">
        <v>703</v>
      </c>
      <c r="H264" s="9" t="s">
        <v>711</v>
      </c>
      <c r="I264" s="9" t="s">
        <v>1422</v>
      </c>
      <c r="J264" s="9" t="s">
        <v>729</v>
      </c>
      <c r="K264" t="s">
        <v>996</v>
      </c>
      <c r="L264" s="7">
        <v>582.88</v>
      </c>
      <c r="M264" s="7">
        <v>1044.1400000000001</v>
      </c>
      <c r="N264" s="5">
        <v>0.216</v>
      </c>
      <c r="O264">
        <v>10</v>
      </c>
      <c r="P264" s="2">
        <f t="shared" si="36"/>
        <v>45162</v>
      </c>
      <c r="Q264" t="str">
        <f t="shared" si="37"/>
        <v>Ok</v>
      </c>
      <c r="R264">
        <f>ABS(Table2[[#This Row],[UnitPrice]])</f>
        <v>1044.1400000000001</v>
      </c>
      <c r="S264">
        <f t="shared" si="38"/>
        <v>20</v>
      </c>
      <c r="T264" s="12">
        <f t="shared" si="39"/>
        <v>8186.057600000001</v>
      </c>
      <c r="U264">
        <f>Table2[[#This Row],[UnitCost]]*Table2[[#This Row],[Quantity]]</f>
        <v>5828.8</v>
      </c>
      <c r="V264" s="13">
        <f t="shared" si="40"/>
        <v>2357.2576000000008</v>
      </c>
      <c r="W264" s="5">
        <f t="shared" si="41"/>
        <v>0.28796005539956138</v>
      </c>
      <c r="X264" s="17" t="str">
        <f t="shared" si="42"/>
        <v>Aug-2023</v>
      </c>
      <c r="Z264" t="str">
        <f t="shared" si="43"/>
        <v>Americas. Brazil. Brasília</v>
      </c>
      <c r="AA264" t="str">
        <f t="shared" si="44"/>
        <v>Low</v>
      </c>
      <c r="AB264" t="str">
        <f t="array" ref="AB264">TEXT(MIN(IF($E$2:$E$633=E264, $B$2:$B$633)), "YYYY-MM")</f>
        <v>2023-01</v>
      </c>
      <c r="AC264" s="13">
        <f>SUM($T$2:T264)</f>
        <v>4453180.92026</v>
      </c>
    </row>
    <row r="265" spans="1:29" x14ac:dyDescent="0.45">
      <c r="A265" t="s">
        <v>277</v>
      </c>
      <c r="B265" s="2">
        <v>45829</v>
      </c>
      <c r="C265" s="2">
        <v>45835</v>
      </c>
      <c r="D265" t="s">
        <v>646</v>
      </c>
      <c r="E265" t="s">
        <v>661</v>
      </c>
      <c r="F265" t="s">
        <v>687</v>
      </c>
      <c r="G265" t="s">
        <v>706</v>
      </c>
      <c r="H265" s="9" t="s">
        <v>710</v>
      </c>
      <c r="I265" s="9" t="s">
        <v>725</v>
      </c>
      <c r="J265" s="9" t="s">
        <v>730</v>
      </c>
      <c r="K265" t="s">
        <v>997</v>
      </c>
      <c r="L265" s="7">
        <v>93.91</v>
      </c>
      <c r="M265" s="7">
        <v>99.04</v>
      </c>
      <c r="N265" s="5">
        <v>5.7000000000000002E-2</v>
      </c>
      <c r="O265">
        <v>6</v>
      </c>
      <c r="P265" s="2">
        <f t="shared" si="36"/>
        <v>45835</v>
      </c>
      <c r="Q265" t="str">
        <f t="shared" si="37"/>
        <v>Ok</v>
      </c>
      <c r="R265">
        <f>ABS(Table2[[#This Row],[UnitPrice]])</f>
        <v>99.04</v>
      </c>
      <c r="S265">
        <f t="shared" si="38"/>
        <v>6</v>
      </c>
      <c r="T265" s="12">
        <f t="shared" si="39"/>
        <v>560.36831999999993</v>
      </c>
      <c r="U265">
        <f>Table2[[#This Row],[UnitCost]]*Table2[[#This Row],[Quantity]]</f>
        <v>563.46</v>
      </c>
      <c r="V265" s="13">
        <f t="shared" si="40"/>
        <v>-3.0916800000001103</v>
      </c>
      <c r="W265" s="5">
        <f t="shared" si="41"/>
        <v>-5.5172283829323376E-3</v>
      </c>
      <c r="X265" s="17" t="str">
        <f t="shared" si="42"/>
        <v>Jun-2025</v>
      </c>
      <c r="Z265" t="str">
        <f t="shared" si="43"/>
        <v>Africa. South Africa. Durban</v>
      </c>
      <c r="AA265" t="str">
        <f t="shared" si="44"/>
        <v>Low</v>
      </c>
      <c r="AB265" t="str">
        <f t="array" ref="AB265">TEXT(MIN(IF($E$2:$E$633=E265, $B$2:$B$633)), "YYYY-MM")</f>
        <v>2023-01</v>
      </c>
      <c r="AC265" s="13">
        <f>SUM($T$2:T265)</f>
        <v>4453741.2885800004</v>
      </c>
    </row>
    <row r="266" spans="1:29" x14ac:dyDescent="0.45">
      <c r="A266" t="s">
        <v>278</v>
      </c>
      <c r="B266" s="2">
        <v>45763</v>
      </c>
      <c r="C266" s="2">
        <v>45773</v>
      </c>
      <c r="D266" t="s">
        <v>646</v>
      </c>
      <c r="E266" t="s">
        <v>651</v>
      </c>
      <c r="F266" t="s">
        <v>663</v>
      </c>
      <c r="G266" t="s">
        <v>706</v>
      </c>
      <c r="H266" s="9" t="s">
        <v>709</v>
      </c>
      <c r="I266" s="9" t="s">
        <v>721</v>
      </c>
      <c r="J266" s="9" t="s">
        <v>731</v>
      </c>
      <c r="K266" t="s">
        <v>998</v>
      </c>
      <c r="L266" s="7">
        <v>1457.44</v>
      </c>
      <c r="M266" s="7">
        <v>1996.81</v>
      </c>
      <c r="N266" s="5">
        <v>0.126</v>
      </c>
      <c r="O266">
        <v>23</v>
      </c>
      <c r="P266" s="2">
        <f t="shared" si="36"/>
        <v>45773</v>
      </c>
      <c r="Q266" t="str">
        <f t="shared" si="37"/>
        <v>Ok</v>
      </c>
      <c r="R266">
        <f>ABS(Table2[[#This Row],[UnitPrice]])</f>
        <v>1996.81</v>
      </c>
      <c r="S266">
        <f t="shared" si="38"/>
        <v>10</v>
      </c>
      <c r="T266" s="12">
        <f t="shared" si="39"/>
        <v>40139.874619999995</v>
      </c>
      <c r="U266">
        <f>Table2[[#This Row],[UnitCost]]*Table2[[#This Row],[Quantity]]</f>
        <v>33521.120000000003</v>
      </c>
      <c r="V266" s="13">
        <f t="shared" si="40"/>
        <v>6618.7546199999924</v>
      </c>
      <c r="W266" s="5">
        <f t="shared" si="41"/>
        <v>0.16489225944672353</v>
      </c>
      <c r="X266" s="17" t="str">
        <f t="shared" si="42"/>
        <v>Apr-2025</v>
      </c>
      <c r="Z266" t="str">
        <f t="shared" si="43"/>
        <v>Africa. Nigeria. Port Harcourt</v>
      </c>
      <c r="AA266" t="str">
        <f t="shared" si="44"/>
        <v>High</v>
      </c>
      <c r="AB266" t="str">
        <f t="array" ref="AB266">TEXT(MIN(IF($E$2:$E$633=E266, $B$2:$B$633)), "YYYY-MM")</f>
        <v>2023-01</v>
      </c>
      <c r="AC266" s="13">
        <f>SUM($T$2:T266)</f>
        <v>4493881.1632000003</v>
      </c>
    </row>
    <row r="267" spans="1:29" x14ac:dyDescent="0.45">
      <c r="A267" t="s">
        <v>279</v>
      </c>
      <c r="B267" s="2">
        <v>45902</v>
      </c>
      <c r="C267" s="2">
        <v>45911</v>
      </c>
      <c r="D267" t="s">
        <v>648</v>
      </c>
      <c r="E267" t="s">
        <v>653</v>
      </c>
      <c r="F267" t="s">
        <v>667</v>
      </c>
      <c r="G267" t="s">
        <v>701</v>
      </c>
      <c r="H267" s="9" t="s">
        <v>710</v>
      </c>
      <c r="I267" s="9" t="s">
        <v>724</v>
      </c>
      <c r="J267" s="9" t="s">
        <v>728</v>
      </c>
      <c r="K267" t="s">
        <v>999</v>
      </c>
      <c r="L267" s="7">
        <v>1207.6300000000001</v>
      </c>
      <c r="M267" s="7">
        <v>921.68</v>
      </c>
      <c r="N267" s="5">
        <v>0.19600000000000001</v>
      </c>
      <c r="O267">
        <v>17</v>
      </c>
      <c r="P267" s="2">
        <f t="shared" si="36"/>
        <v>45911</v>
      </c>
      <c r="Q267" t="str">
        <f t="shared" si="37"/>
        <v>Ok</v>
      </c>
      <c r="R267">
        <f>ABS(Table2[[#This Row],[UnitPrice]])</f>
        <v>921.68</v>
      </c>
      <c r="S267">
        <f t="shared" si="38"/>
        <v>9</v>
      </c>
      <c r="T267" s="12">
        <f t="shared" si="39"/>
        <v>12597.52224</v>
      </c>
      <c r="U267">
        <f>Table2[[#This Row],[UnitCost]]*Table2[[#This Row],[Quantity]]</f>
        <v>20529.710000000003</v>
      </c>
      <c r="V267" s="13">
        <f t="shared" si="40"/>
        <v>-7932.1877600000025</v>
      </c>
      <c r="W267" s="5">
        <f t="shared" si="41"/>
        <v>-0.62966253274897988</v>
      </c>
      <c r="X267" s="17" t="str">
        <f t="shared" si="42"/>
        <v>Sep-2025</v>
      </c>
      <c r="Z267" t="str">
        <f t="shared" si="43"/>
        <v>Americas. Canada. Toronto</v>
      </c>
      <c r="AA267" t="str">
        <f t="shared" si="44"/>
        <v>Low</v>
      </c>
      <c r="AB267" t="str">
        <f t="array" ref="AB267">TEXT(MIN(IF($E$2:$E$633=E267, $B$2:$B$633)), "YYYY-MM")</f>
        <v>2023-01</v>
      </c>
      <c r="AC267" s="13">
        <f>SUM($T$2:T267)</f>
        <v>4506478.6854400001</v>
      </c>
    </row>
    <row r="268" spans="1:29" x14ac:dyDescent="0.45">
      <c r="A268" t="s">
        <v>280</v>
      </c>
      <c r="B268" s="2">
        <v>45573</v>
      </c>
      <c r="C268" s="2">
        <v>45573</v>
      </c>
      <c r="D268" t="s">
        <v>649</v>
      </c>
      <c r="E268" t="s">
        <v>658</v>
      </c>
      <c r="F268" t="s">
        <v>683</v>
      </c>
      <c r="G268" t="s">
        <v>701</v>
      </c>
      <c r="H268" s="9" t="s">
        <v>708</v>
      </c>
      <c r="I268" s="9" t="s">
        <v>718</v>
      </c>
      <c r="J268" s="9" t="s">
        <v>732</v>
      </c>
      <c r="K268" t="s">
        <v>1000</v>
      </c>
      <c r="L268" s="7">
        <v>1108.1099999999999</v>
      </c>
      <c r="M268" s="7">
        <v>2503.79</v>
      </c>
      <c r="N268" s="5">
        <v>0.184</v>
      </c>
      <c r="O268">
        <v>19</v>
      </c>
      <c r="P268" s="2">
        <f t="shared" si="36"/>
        <v>45573</v>
      </c>
      <c r="Q268" t="str">
        <f t="shared" si="37"/>
        <v>Ok</v>
      </c>
      <c r="R268">
        <f>ABS(Table2[[#This Row],[UnitPrice]])</f>
        <v>2503.79</v>
      </c>
      <c r="S268">
        <f t="shared" si="38"/>
        <v>0</v>
      </c>
      <c r="T268" s="12">
        <f t="shared" si="39"/>
        <v>38818.760160000005</v>
      </c>
      <c r="U268">
        <f>Table2[[#This Row],[UnitCost]]*Table2[[#This Row],[Quantity]]</f>
        <v>21054.089999999997</v>
      </c>
      <c r="V268" s="13">
        <f t="shared" si="40"/>
        <v>17764.670160000009</v>
      </c>
      <c r="W268" s="5">
        <f t="shared" si="41"/>
        <v>0.45763105485025896</v>
      </c>
      <c r="X268" s="17" t="str">
        <f t="shared" si="42"/>
        <v>Oct-2024</v>
      </c>
      <c r="Z268" t="str">
        <f t="shared" si="43"/>
        <v>Europe. United Kingdom. London</v>
      </c>
      <c r="AA268" t="str">
        <f t="shared" si="44"/>
        <v>High</v>
      </c>
      <c r="AB268" t="str">
        <f t="array" ref="AB268">TEXT(MIN(IF($E$2:$E$633=E268, $B$2:$B$633)), "YYYY-MM")</f>
        <v>2023-01</v>
      </c>
      <c r="AC268" s="13">
        <f>SUM($T$2:T268)</f>
        <v>4545297.4456000002</v>
      </c>
    </row>
    <row r="269" spans="1:29" x14ac:dyDescent="0.45">
      <c r="A269" t="s">
        <v>281</v>
      </c>
      <c r="B269" s="2">
        <v>45053</v>
      </c>
      <c r="C269" s="2">
        <v>45051</v>
      </c>
      <c r="D269" t="s">
        <v>646</v>
      </c>
      <c r="E269" t="s">
        <v>651</v>
      </c>
      <c r="F269" t="s">
        <v>663</v>
      </c>
      <c r="G269" t="s">
        <v>703</v>
      </c>
      <c r="H269" s="9" t="s">
        <v>709</v>
      </c>
      <c r="I269" s="9" t="s">
        <v>720</v>
      </c>
      <c r="J269" s="9" t="s">
        <v>727</v>
      </c>
      <c r="K269" t="s">
        <v>1001</v>
      </c>
      <c r="L269" s="7">
        <v>1269.6500000000001</v>
      </c>
      <c r="M269" s="7">
        <v>2462.77</v>
      </c>
      <c r="N269" s="5">
        <v>0.107</v>
      </c>
      <c r="O269">
        <v>8</v>
      </c>
      <c r="P269" s="2">
        <f t="shared" si="36"/>
        <v>45060</v>
      </c>
      <c r="Q269" t="str">
        <f t="shared" si="37"/>
        <v>Ok</v>
      </c>
      <c r="R269">
        <f>ABS(Table2[[#This Row],[UnitPrice]])</f>
        <v>2462.77</v>
      </c>
      <c r="S269">
        <f t="shared" si="38"/>
        <v>7</v>
      </c>
      <c r="T269" s="12">
        <f t="shared" si="39"/>
        <v>17594.028880000002</v>
      </c>
      <c r="U269">
        <f>Table2[[#This Row],[UnitCost]]*Table2[[#This Row],[Quantity]]</f>
        <v>10157.200000000001</v>
      </c>
      <c r="V269" s="13">
        <f t="shared" si="40"/>
        <v>7436.8288800000009</v>
      </c>
      <c r="W269" s="5">
        <f t="shared" si="41"/>
        <v>0.42269050089225502</v>
      </c>
      <c r="X269" s="17" t="str">
        <f t="shared" si="42"/>
        <v>May-2023</v>
      </c>
      <c r="Z269" t="str">
        <f t="shared" si="43"/>
        <v>Africa. Nigeria. Port Harcourt</v>
      </c>
      <c r="AA269" t="str">
        <f t="shared" si="44"/>
        <v>High</v>
      </c>
      <c r="AB269" t="str">
        <f t="array" ref="AB269">TEXT(MIN(IF($E$2:$E$633=E269, $B$2:$B$633)), "YYYY-MM")</f>
        <v>2023-01</v>
      </c>
      <c r="AC269" s="13">
        <f>SUM($T$2:T269)</f>
        <v>4562891.4744800003</v>
      </c>
    </row>
    <row r="270" spans="1:29" x14ac:dyDescent="0.45">
      <c r="A270" t="s">
        <v>282</v>
      </c>
      <c r="B270" s="2">
        <v>45284</v>
      </c>
      <c r="C270" s="2">
        <v>45292</v>
      </c>
      <c r="D270" t="s">
        <v>648</v>
      </c>
      <c r="E270" t="s">
        <v>655</v>
      </c>
      <c r="F270" t="s">
        <v>670</v>
      </c>
      <c r="G270" t="s">
        <v>702</v>
      </c>
      <c r="H270" s="9" t="s">
        <v>711</v>
      </c>
      <c r="I270" s="9" t="s">
        <v>712</v>
      </c>
      <c r="J270" s="9" t="s">
        <v>730</v>
      </c>
      <c r="K270" t="s">
        <v>1002</v>
      </c>
      <c r="L270" s="7">
        <v>526.49</v>
      </c>
      <c r="M270" s="7">
        <v>496.2</v>
      </c>
      <c r="N270" s="5">
        <v>0</v>
      </c>
      <c r="O270">
        <v>14</v>
      </c>
      <c r="P270" s="2">
        <f t="shared" si="36"/>
        <v>45292</v>
      </c>
      <c r="Q270" t="str">
        <f t="shared" si="37"/>
        <v>Ok</v>
      </c>
      <c r="R270">
        <f>ABS(Table2[[#This Row],[UnitPrice]])</f>
        <v>496.2</v>
      </c>
      <c r="S270">
        <f t="shared" si="38"/>
        <v>8</v>
      </c>
      <c r="T270" s="12">
        <f t="shared" si="39"/>
        <v>6946.8</v>
      </c>
      <c r="U270">
        <f>Table2[[#This Row],[UnitCost]]*Table2[[#This Row],[Quantity]]</f>
        <v>7370.8600000000006</v>
      </c>
      <c r="V270" s="13">
        <f t="shared" si="40"/>
        <v>-424.0600000000004</v>
      </c>
      <c r="W270" s="5">
        <f t="shared" si="41"/>
        <v>-6.1043933897621985E-2</v>
      </c>
      <c r="X270" s="17" t="str">
        <f t="shared" si="42"/>
        <v>Dec-2023</v>
      </c>
      <c r="Z270" t="str">
        <f t="shared" si="43"/>
        <v>Americas. Brazil. São Paulo</v>
      </c>
      <c r="AA270" t="str">
        <f t="shared" si="44"/>
        <v>Low</v>
      </c>
      <c r="AB270" t="str">
        <f t="array" ref="AB270">TEXT(MIN(IF($E$2:$E$633=E270, $B$2:$B$633)), "YYYY-MM")</f>
        <v>2023-01</v>
      </c>
      <c r="AC270" s="13">
        <f>SUM($T$2:T270)</f>
        <v>4569838.2744800001</v>
      </c>
    </row>
    <row r="271" spans="1:29" x14ac:dyDescent="0.45">
      <c r="A271" t="s">
        <v>283</v>
      </c>
      <c r="B271" s="2">
        <v>45301</v>
      </c>
      <c r="C271" s="2">
        <v>45314</v>
      </c>
      <c r="D271" t="s">
        <v>649</v>
      </c>
      <c r="E271" t="s">
        <v>657</v>
      </c>
      <c r="F271" t="s">
        <v>673</v>
      </c>
      <c r="G271" t="s">
        <v>701</v>
      </c>
      <c r="H271" s="9" t="s">
        <v>711</v>
      </c>
      <c r="I271" s="9" t="s">
        <v>720</v>
      </c>
      <c r="J271" s="9" t="s">
        <v>728</v>
      </c>
      <c r="K271" t="s">
        <v>1003</v>
      </c>
      <c r="L271" s="7">
        <v>720</v>
      </c>
      <c r="M271" s="7">
        <v>907.59</v>
      </c>
      <c r="N271" s="5">
        <v>0.154</v>
      </c>
      <c r="O271">
        <v>10</v>
      </c>
      <c r="P271" s="2">
        <f t="shared" si="36"/>
        <v>45314</v>
      </c>
      <c r="Q271" t="str">
        <f t="shared" si="37"/>
        <v>Ok</v>
      </c>
      <c r="R271">
        <f>ABS(Table2[[#This Row],[UnitPrice]])</f>
        <v>907.59</v>
      </c>
      <c r="S271">
        <f t="shared" si="38"/>
        <v>13</v>
      </c>
      <c r="T271" s="12">
        <f t="shared" si="39"/>
        <v>7678.2113999999992</v>
      </c>
      <c r="U271">
        <f>Table2[[#This Row],[UnitCost]]*Table2[[#This Row],[Quantity]]</f>
        <v>7200</v>
      </c>
      <c r="V271" s="13">
        <f t="shared" si="40"/>
        <v>478.21139999999923</v>
      </c>
      <c r="W271" s="5">
        <f t="shared" si="41"/>
        <v>6.2281614179052078E-2</v>
      </c>
      <c r="X271" s="17" t="str">
        <f t="shared" si="42"/>
        <v>Jan-2024</v>
      </c>
      <c r="Z271" t="str">
        <f t="shared" si="43"/>
        <v>Europe. France. Marseille</v>
      </c>
      <c r="AA271" t="str">
        <f t="shared" si="44"/>
        <v>Low</v>
      </c>
      <c r="AB271" t="str">
        <f t="array" ref="AB271">TEXT(MIN(IF($E$2:$E$633=E271, $B$2:$B$633)), "YYYY-MM")</f>
        <v>2023-01</v>
      </c>
      <c r="AC271" s="13">
        <f>SUM($T$2:T271)</f>
        <v>4577516.4858800005</v>
      </c>
    </row>
    <row r="272" spans="1:29" x14ac:dyDescent="0.45">
      <c r="A272" t="s">
        <v>284</v>
      </c>
      <c r="B272" s="2">
        <v>45141</v>
      </c>
      <c r="C272" s="2">
        <v>45152</v>
      </c>
      <c r="D272" t="s">
        <v>648</v>
      </c>
      <c r="E272" t="s">
        <v>655</v>
      </c>
      <c r="F272" t="s">
        <v>672</v>
      </c>
      <c r="G272" t="s">
        <v>701</v>
      </c>
      <c r="H272" s="9" t="s">
        <v>711</v>
      </c>
      <c r="I272" s="9" t="s">
        <v>713</v>
      </c>
      <c r="J272" s="9" t="s">
        <v>733</v>
      </c>
      <c r="K272" t="s">
        <v>1004</v>
      </c>
      <c r="L272" s="7">
        <v>232.73</v>
      </c>
      <c r="M272" s="7">
        <v>334.19</v>
      </c>
      <c r="N272" s="5">
        <v>0.13400000000000001</v>
      </c>
      <c r="O272">
        <v>25</v>
      </c>
      <c r="P272" s="2">
        <f t="shared" si="36"/>
        <v>45152</v>
      </c>
      <c r="Q272" t="str">
        <f t="shared" si="37"/>
        <v>Ok</v>
      </c>
      <c r="R272">
        <f>ABS(Table2[[#This Row],[UnitPrice]])</f>
        <v>334.19</v>
      </c>
      <c r="S272">
        <f t="shared" si="38"/>
        <v>11</v>
      </c>
      <c r="T272" s="12">
        <f t="shared" si="39"/>
        <v>7235.2134999999998</v>
      </c>
      <c r="U272">
        <f>Table2[[#This Row],[UnitCost]]*Table2[[#This Row],[Quantity]]</f>
        <v>5818.25</v>
      </c>
      <c r="V272" s="13">
        <f t="shared" si="40"/>
        <v>1416.9634999999998</v>
      </c>
      <c r="W272" s="5">
        <f t="shared" si="41"/>
        <v>0.1958426658729559</v>
      </c>
      <c r="X272" s="17" t="str">
        <f t="shared" si="42"/>
        <v>Aug-2023</v>
      </c>
      <c r="Z272" t="str">
        <f t="shared" si="43"/>
        <v>Americas. Brazil. Brasília</v>
      </c>
      <c r="AA272" t="str">
        <f t="shared" si="44"/>
        <v>Low</v>
      </c>
      <c r="AB272" t="str">
        <f t="array" ref="AB272">TEXT(MIN(IF($E$2:$E$633=E272, $B$2:$B$633)), "YYYY-MM")</f>
        <v>2023-01</v>
      </c>
      <c r="AC272" s="13">
        <f>SUM($T$2:T272)</f>
        <v>4584751.6993800001</v>
      </c>
    </row>
    <row r="273" spans="1:29" x14ac:dyDescent="0.45">
      <c r="A273" t="s">
        <v>285</v>
      </c>
      <c r="B273" s="2">
        <v>45707</v>
      </c>
      <c r="C273" s="2">
        <v>45725</v>
      </c>
      <c r="D273" t="s">
        <v>647</v>
      </c>
      <c r="E273" t="s">
        <v>654</v>
      </c>
      <c r="F273" t="s">
        <v>680</v>
      </c>
      <c r="G273" t="s">
        <v>705</v>
      </c>
      <c r="H273" s="9" t="s">
        <v>711</v>
      </c>
      <c r="I273" s="9" t="s">
        <v>719</v>
      </c>
      <c r="J273" s="9" t="s">
        <v>732</v>
      </c>
      <c r="K273" t="s">
        <v>1005</v>
      </c>
      <c r="L273" s="7">
        <v>325.87</v>
      </c>
      <c r="M273" s="7">
        <v>538.79</v>
      </c>
      <c r="N273" s="5">
        <v>0.17399999999999999</v>
      </c>
      <c r="O273">
        <v>16</v>
      </c>
      <c r="P273" s="2">
        <f t="shared" si="36"/>
        <v>45725</v>
      </c>
      <c r="Q273" t="str">
        <f t="shared" si="37"/>
        <v>Ok</v>
      </c>
      <c r="R273">
        <f>ABS(Table2[[#This Row],[UnitPrice]])</f>
        <v>538.79</v>
      </c>
      <c r="S273">
        <f t="shared" si="38"/>
        <v>18</v>
      </c>
      <c r="T273" s="12">
        <f t="shared" si="39"/>
        <v>7120.6486400000003</v>
      </c>
      <c r="U273">
        <f>Table2[[#This Row],[UnitCost]]*Table2[[#This Row],[Quantity]]</f>
        <v>5213.92</v>
      </c>
      <c r="V273" s="13">
        <f t="shared" si="40"/>
        <v>1906.7286400000003</v>
      </c>
      <c r="W273" s="5">
        <f t="shared" si="41"/>
        <v>0.26777457172778013</v>
      </c>
      <c r="X273" s="17" t="str">
        <f t="shared" si="42"/>
        <v>Feb-2025</v>
      </c>
      <c r="Z273" t="str">
        <f t="shared" si="43"/>
        <v>Asia. India. Delhi</v>
      </c>
      <c r="AA273" t="str">
        <f t="shared" si="44"/>
        <v>Low</v>
      </c>
      <c r="AB273" t="str">
        <f t="array" ref="AB273">TEXT(MIN(IF($E$2:$E$633=E273, $B$2:$B$633)), "YYYY-MM")</f>
        <v>2023-01</v>
      </c>
      <c r="AC273" s="13">
        <f>SUM($T$2:T273)</f>
        <v>4591872.3480200004</v>
      </c>
    </row>
    <row r="274" spans="1:29" x14ac:dyDescent="0.45">
      <c r="A274" t="s">
        <v>286</v>
      </c>
      <c r="B274" s="2">
        <v>45382</v>
      </c>
      <c r="C274" s="2">
        <v>45399</v>
      </c>
      <c r="D274" t="s">
        <v>649</v>
      </c>
      <c r="E274" t="s">
        <v>656</v>
      </c>
      <c r="F274" t="s">
        <v>698</v>
      </c>
      <c r="G274" t="s">
        <v>702</v>
      </c>
      <c r="H274" s="9" t="s">
        <v>711</v>
      </c>
      <c r="I274" s="9" t="s">
        <v>722</v>
      </c>
      <c r="J274" s="9" t="s">
        <v>732</v>
      </c>
      <c r="K274" t="s">
        <v>1006</v>
      </c>
      <c r="L274" s="7">
        <v>1025.51</v>
      </c>
      <c r="M274" s="7">
        <v>1436.54</v>
      </c>
      <c r="N274" s="5">
        <v>0.13900000000000001</v>
      </c>
      <c r="O274">
        <v>28</v>
      </c>
      <c r="P274" s="2">
        <f t="shared" si="36"/>
        <v>45399</v>
      </c>
      <c r="Q274" t="str">
        <f t="shared" si="37"/>
        <v>Ok</v>
      </c>
      <c r="R274">
        <f>ABS(Table2[[#This Row],[UnitPrice]])</f>
        <v>1436.54</v>
      </c>
      <c r="S274">
        <f t="shared" si="38"/>
        <v>17</v>
      </c>
      <c r="T274" s="12">
        <f t="shared" si="39"/>
        <v>34632.106319999999</v>
      </c>
      <c r="U274">
        <f>Table2[[#This Row],[UnitCost]]*Table2[[#This Row],[Quantity]]</f>
        <v>28714.28</v>
      </c>
      <c r="V274" s="13">
        <f t="shared" si="40"/>
        <v>5917.8263200000001</v>
      </c>
      <c r="W274" s="5">
        <f t="shared" si="41"/>
        <v>0.17087688127656453</v>
      </c>
      <c r="X274" s="17" t="str">
        <f t="shared" si="42"/>
        <v>Mar-2024</v>
      </c>
      <c r="Z274" t="str">
        <f t="shared" si="43"/>
        <v>Europe. Germany. Frankfurt</v>
      </c>
      <c r="AA274" t="str">
        <f t="shared" si="44"/>
        <v>High</v>
      </c>
      <c r="AB274" t="str">
        <f t="array" ref="AB274">TEXT(MIN(IF($E$2:$E$633=E274, $B$2:$B$633)), "YYYY-MM")</f>
        <v>2023-01</v>
      </c>
      <c r="AC274" s="13">
        <f>SUM($T$2:T274)</f>
        <v>4626504.4543400006</v>
      </c>
    </row>
    <row r="275" spans="1:29" x14ac:dyDescent="0.45">
      <c r="A275" t="s">
        <v>287</v>
      </c>
      <c r="B275" s="2">
        <v>45131</v>
      </c>
      <c r="C275" s="2">
        <v>45151</v>
      </c>
      <c r="D275" t="s">
        <v>648</v>
      </c>
      <c r="E275" t="s">
        <v>653</v>
      </c>
      <c r="F275" t="s">
        <v>681</v>
      </c>
      <c r="G275" t="s">
        <v>702</v>
      </c>
      <c r="H275" s="9" t="s">
        <v>711</v>
      </c>
      <c r="I275" s="9" t="s">
        <v>712</v>
      </c>
      <c r="J275" s="9" t="s">
        <v>732</v>
      </c>
      <c r="K275" t="s">
        <v>1007</v>
      </c>
      <c r="L275" s="7">
        <v>1082.3800000000001</v>
      </c>
      <c r="M275" s="7">
        <v>1766.55</v>
      </c>
      <c r="N275" s="5">
        <v>0.16400000000000001</v>
      </c>
      <c r="O275">
        <v>20</v>
      </c>
      <c r="P275" s="2">
        <f t="shared" si="36"/>
        <v>45151</v>
      </c>
      <c r="Q275" t="str">
        <f t="shared" si="37"/>
        <v>Ok</v>
      </c>
      <c r="R275">
        <f>ABS(Table2[[#This Row],[UnitPrice]])</f>
        <v>1766.55</v>
      </c>
      <c r="S275">
        <f t="shared" si="38"/>
        <v>20</v>
      </c>
      <c r="T275" s="12">
        <f t="shared" si="39"/>
        <v>29536.716</v>
      </c>
      <c r="U275">
        <f>Table2[[#This Row],[UnitCost]]*Table2[[#This Row],[Quantity]]</f>
        <v>21647.600000000002</v>
      </c>
      <c r="V275" s="13">
        <f t="shared" si="40"/>
        <v>7889.1159999999982</v>
      </c>
      <c r="W275" s="5">
        <f t="shared" si="41"/>
        <v>0.26709523157550752</v>
      </c>
      <c r="X275" s="17" t="str">
        <f t="shared" si="42"/>
        <v>Jul-2023</v>
      </c>
      <c r="Z275" t="str">
        <f t="shared" si="43"/>
        <v>Americas. Canada. Montreal</v>
      </c>
      <c r="AA275" t="str">
        <f t="shared" si="44"/>
        <v>High</v>
      </c>
      <c r="AB275" t="str">
        <f t="array" ref="AB275">TEXT(MIN(IF($E$2:$E$633=E275, $B$2:$B$633)), "YYYY-MM")</f>
        <v>2023-01</v>
      </c>
      <c r="AC275" s="13">
        <f>SUM($T$2:T275)</f>
        <v>4656041.1703400007</v>
      </c>
    </row>
    <row r="276" spans="1:29" x14ac:dyDescent="0.45">
      <c r="A276" t="s">
        <v>288</v>
      </c>
      <c r="B276" s="2">
        <v>45367</v>
      </c>
      <c r="C276" s="2">
        <v>45395</v>
      </c>
      <c r="D276" t="s">
        <v>649</v>
      </c>
      <c r="E276" t="s">
        <v>657</v>
      </c>
      <c r="F276" t="s">
        <v>690</v>
      </c>
      <c r="G276" t="s">
        <v>705</v>
      </c>
      <c r="H276" s="9" t="s">
        <v>708</v>
      </c>
      <c r="I276" s="9" t="s">
        <v>723</v>
      </c>
      <c r="J276" s="9" t="s">
        <v>728</v>
      </c>
      <c r="K276" t="s">
        <v>1008</v>
      </c>
      <c r="L276" s="7">
        <v>287.61</v>
      </c>
      <c r="M276" s="7">
        <v>628.54</v>
      </c>
      <c r="N276" s="5">
        <v>0.13500000000000001</v>
      </c>
      <c r="O276">
        <v>21</v>
      </c>
      <c r="P276" s="2">
        <f t="shared" si="36"/>
        <v>45395</v>
      </c>
      <c r="Q276" t="str">
        <f t="shared" si="37"/>
        <v>Ok</v>
      </c>
      <c r="R276">
        <f>ABS(Table2[[#This Row],[UnitPrice]])</f>
        <v>628.54</v>
      </c>
      <c r="S276">
        <f t="shared" si="38"/>
        <v>28</v>
      </c>
      <c r="T276" s="12">
        <f t="shared" si="39"/>
        <v>11417.429099999999</v>
      </c>
      <c r="U276">
        <f>Table2[[#This Row],[UnitCost]]*Table2[[#This Row],[Quantity]]</f>
        <v>6039.81</v>
      </c>
      <c r="V276" s="13">
        <f t="shared" si="40"/>
        <v>5377.619099999999</v>
      </c>
      <c r="W276" s="5">
        <f t="shared" si="41"/>
        <v>0.47100087531964613</v>
      </c>
      <c r="X276" s="17" t="str">
        <f t="shared" si="42"/>
        <v>Mar-2024</v>
      </c>
      <c r="Z276" t="str">
        <f t="shared" si="43"/>
        <v>Europe. France. Paris</v>
      </c>
      <c r="AA276" t="str">
        <f t="shared" si="44"/>
        <v>Low</v>
      </c>
      <c r="AB276" t="str">
        <f t="array" ref="AB276">TEXT(MIN(IF($E$2:$E$633=E276, $B$2:$B$633)), "YYYY-MM")</f>
        <v>2023-01</v>
      </c>
      <c r="AC276" s="13">
        <f>SUM($T$2:T276)</f>
        <v>4667458.599440001</v>
      </c>
    </row>
    <row r="277" spans="1:29" x14ac:dyDescent="0.45">
      <c r="A277" t="s">
        <v>289</v>
      </c>
      <c r="B277" s="2">
        <v>45316</v>
      </c>
      <c r="C277" s="2">
        <v>45318</v>
      </c>
      <c r="D277" t="s">
        <v>648</v>
      </c>
      <c r="E277" t="s">
        <v>655</v>
      </c>
      <c r="F277" t="s">
        <v>670</v>
      </c>
      <c r="G277" t="s">
        <v>703</v>
      </c>
      <c r="H277" s="9" t="s">
        <v>709</v>
      </c>
      <c r="I277" s="9" t="s">
        <v>725</v>
      </c>
      <c r="J277" s="9" t="s">
        <v>731</v>
      </c>
      <c r="K277" t="s">
        <v>1009</v>
      </c>
      <c r="L277" s="7">
        <v>1410.97</v>
      </c>
      <c r="M277" s="7">
        <v>1650.75</v>
      </c>
      <c r="N277" s="5">
        <v>0.13500000000000001</v>
      </c>
      <c r="O277">
        <v>6</v>
      </c>
      <c r="P277" s="2">
        <f t="shared" si="36"/>
        <v>45318</v>
      </c>
      <c r="Q277" t="str">
        <f t="shared" si="37"/>
        <v>Ok</v>
      </c>
      <c r="R277">
        <f>ABS(Table2[[#This Row],[UnitPrice]])</f>
        <v>1650.75</v>
      </c>
      <c r="S277">
        <f t="shared" si="38"/>
        <v>2</v>
      </c>
      <c r="T277" s="12">
        <f t="shared" si="39"/>
        <v>8567.3924999999999</v>
      </c>
      <c r="U277">
        <f>Table2[[#This Row],[UnitCost]]*Table2[[#This Row],[Quantity]]</f>
        <v>8465.82</v>
      </c>
      <c r="V277" s="13">
        <f t="shared" si="40"/>
        <v>101.57250000000022</v>
      </c>
      <c r="W277" s="5">
        <f t="shared" si="41"/>
        <v>1.1855707556295596E-2</v>
      </c>
      <c r="X277" s="17" t="str">
        <f t="shared" si="42"/>
        <v>Jan-2024</v>
      </c>
      <c r="Z277" t="str">
        <f t="shared" si="43"/>
        <v>Americas. Brazil. São Paulo</v>
      </c>
      <c r="AA277" t="str">
        <f t="shared" si="44"/>
        <v>High</v>
      </c>
      <c r="AB277" t="str">
        <f t="array" ref="AB277">TEXT(MIN(IF($E$2:$E$633=E277, $B$2:$B$633)), "YYYY-MM")</f>
        <v>2023-01</v>
      </c>
      <c r="AC277" s="13">
        <f>SUM($T$2:T277)</f>
        <v>4676025.991940001</v>
      </c>
    </row>
    <row r="278" spans="1:29" x14ac:dyDescent="0.45">
      <c r="A278" t="s">
        <v>290</v>
      </c>
      <c r="B278" s="2">
        <v>45378</v>
      </c>
      <c r="C278" s="2">
        <v>45393</v>
      </c>
      <c r="D278" t="s">
        <v>648</v>
      </c>
      <c r="E278" t="s">
        <v>660</v>
      </c>
      <c r="F278" t="s">
        <v>686</v>
      </c>
      <c r="G278" t="s">
        <v>705</v>
      </c>
      <c r="H278" s="9" t="s">
        <v>711</v>
      </c>
      <c r="I278" s="9" t="s">
        <v>719</v>
      </c>
      <c r="J278" s="9" t="s">
        <v>729</v>
      </c>
      <c r="K278" t="s">
        <v>1010</v>
      </c>
      <c r="L278" s="7">
        <v>1338.35</v>
      </c>
      <c r="M278" s="7">
        <v>2247.14</v>
      </c>
      <c r="N278" s="5">
        <v>0.115</v>
      </c>
      <c r="O278">
        <v>40</v>
      </c>
      <c r="P278" s="2">
        <f t="shared" si="36"/>
        <v>45393</v>
      </c>
      <c r="Q278" t="str">
        <f t="shared" si="37"/>
        <v>Ok</v>
      </c>
      <c r="R278">
        <f>ABS(Table2[[#This Row],[UnitPrice]])</f>
        <v>2247.14</v>
      </c>
      <c r="S278">
        <f t="shared" si="38"/>
        <v>15</v>
      </c>
      <c r="T278" s="12">
        <f t="shared" si="39"/>
        <v>79548.755999999994</v>
      </c>
      <c r="U278">
        <f>Table2[[#This Row],[UnitCost]]*Table2[[#This Row],[Quantity]]</f>
        <v>53534</v>
      </c>
      <c r="V278" s="13">
        <f t="shared" si="40"/>
        <v>26014.755999999994</v>
      </c>
      <c r="W278" s="5">
        <f t="shared" si="41"/>
        <v>0.32702907384246205</v>
      </c>
      <c r="X278" s="17" t="str">
        <f t="shared" si="42"/>
        <v>Mar-2024</v>
      </c>
      <c r="Z278" t="str">
        <f t="shared" si="43"/>
        <v>Americas. USA. San Francisco</v>
      </c>
      <c r="AA278" t="str">
        <f t="shared" si="44"/>
        <v>High</v>
      </c>
      <c r="AB278" t="str">
        <f t="array" ref="AB278">TEXT(MIN(IF($E$2:$E$633=E278, $B$2:$B$633)), "YYYY-MM")</f>
        <v>2023-01</v>
      </c>
      <c r="AC278" s="13">
        <f>SUM($T$2:T278)</f>
        <v>4755574.7479400011</v>
      </c>
    </row>
    <row r="279" spans="1:29" x14ac:dyDescent="0.45">
      <c r="A279" t="s">
        <v>291</v>
      </c>
      <c r="B279" s="2">
        <v>45832</v>
      </c>
      <c r="C279" s="2">
        <v>45852</v>
      </c>
      <c r="D279" t="s">
        <v>649</v>
      </c>
      <c r="E279" t="s">
        <v>656</v>
      </c>
      <c r="F279" t="s">
        <v>671</v>
      </c>
      <c r="G279" t="s">
        <v>701</v>
      </c>
      <c r="H279" s="9" t="s">
        <v>711</v>
      </c>
      <c r="I279" s="9" t="s">
        <v>719</v>
      </c>
      <c r="J279" s="9" t="s">
        <v>733</v>
      </c>
      <c r="K279" t="s">
        <v>1011</v>
      </c>
      <c r="L279" s="7">
        <v>385.08</v>
      </c>
      <c r="M279" s="7">
        <v>893.19</v>
      </c>
      <c r="N279" s="5">
        <v>0.151</v>
      </c>
      <c r="O279">
        <v>8</v>
      </c>
      <c r="P279" s="2">
        <f t="shared" si="36"/>
        <v>45852</v>
      </c>
      <c r="Q279" t="str">
        <f t="shared" si="37"/>
        <v>Ok</v>
      </c>
      <c r="R279">
        <f>ABS(Table2[[#This Row],[UnitPrice]])</f>
        <v>893.19</v>
      </c>
      <c r="S279">
        <f t="shared" si="38"/>
        <v>20</v>
      </c>
      <c r="T279" s="12">
        <f t="shared" si="39"/>
        <v>6066.54648</v>
      </c>
      <c r="U279">
        <f>Table2[[#This Row],[UnitCost]]*Table2[[#This Row],[Quantity]]</f>
        <v>3080.64</v>
      </c>
      <c r="V279" s="13">
        <f t="shared" si="40"/>
        <v>2985.9064800000001</v>
      </c>
      <c r="W279" s="5">
        <f t="shared" si="41"/>
        <v>0.49219213762621666</v>
      </c>
      <c r="X279" s="17" t="str">
        <f t="shared" si="42"/>
        <v>Jun-2025</v>
      </c>
      <c r="Z279" t="str">
        <f t="shared" si="43"/>
        <v>Europe. Germany. Berlin</v>
      </c>
      <c r="AA279" t="str">
        <f t="shared" si="44"/>
        <v>Low</v>
      </c>
      <c r="AB279" t="str">
        <f t="array" ref="AB279">TEXT(MIN(IF($E$2:$E$633=E279, $B$2:$B$633)), "YYYY-MM")</f>
        <v>2023-01</v>
      </c>
      <c r="AC279" s="13">
        <f>SUM($T$2:T279)</f>
        <v>4761641.2944200011</v>
      </c>
    </row>
    <row r="280" spans="1:29" x14ac:dyDescent="0.45">
      <c r="A280" t="s">
        <v>292</v>
      </c>
      <c r="B280" s="2">
        <v>45459</v>
      </c>
      <c r="C280" s="2">
        <v>45476</v>
      </c>
      <c r="D280" t="s">
        <v>646</v>
      </c>
      <c r="E280" t="s">
        <v>661</v>
      </c>
      <c r="F280" t="s">
        <v>682</v>
      </c>
      <c r="G280" t="s">
        <v>706</v>
      </c>
      <c r="H280" s="9" t="s">
        <v>709</v>
      </c>
      <c r="I280" s="9" t="s">
        <v>721</v>
      </c>
      <c r="J280" s="9" t="s">
        <v>730</v>
      </c>
      <c r="K280" t="s">
        <v>1012</v>
      </c>
      <c r="L280" s="7">
        <v>1173.83</v>
      </c>
      <c r="M280" s="7">
        <v>2328.9</v>
      </c>
      <c r="N280" s="5">
        <v>0.12</v>
      </c>
      <c r="O280">
        <v>17</v>
      </c>
      <c r="P280" s="2">
        <f t="shared" si="36"/>
        <v>45476</v>
      </c>
      <c r="Q280" t="str">
        <f t="shared" si="37"/>
        <v>Ok</v>
      </c>
      <c r="R280">
        <f>ABS(Table2[[#This Row],[UnitPrice]])</f>
        <v>2328.9</v>
      </c>
      <c r="S280">
        <f t="shared" si="38"/>
        <v>17</v>
      </c>
      <c r="T280" s="12">
        <f t="shared" si="39"/>
        <v>34840.344000000005</v>
      </c>
      <c r="U280">
        <f>Table2[[#This Row],[UnitCost]]*Table2[[#This Row],[Quantity]]</f>
        <v>19955.11</v>
      </c>
      <c r="V280" s="13">
        <f t="shared" si="40"/>
        <v>14885.234000000004</v>
      </c>
      <c r="W280" s="5">
        <f t="shared" si="41"/>
        <v>0.42724130393201637</v>
      </c>
      <c r="X280" s="17" t="str">
        <f t="shared" si="42"/>
        <v>Jun-2024</v>
      </c>
      <c r="Z280" t="str">
        <f t="shared" si="43"/>
        <v>Africa. South Africa. Johannesburg</v>
      </c>
      <c r="AA280" t="str">
        <f t="shared" si="44"/>
        <v>High</v>
      </c>
      <c r="AB280" t="str">
        <f t="array" ref="AB280">TEXT(MIN(IF($E$2:$E$633=E280, $B$2:$B$633)), "YYYY-MM")</f>
        <v>2023-01</v>
      </c>
      <c r="AC280" s="13">
        <f>SUM($T$2:T280)</f>
        <v>4796481.6384200007</v>
      </c>
    </row>
    <row r="281" spans="1:29" x14ac:dyDescent="0.45">
      <c r="A281" t="s">
        <v>293</v>
      </c>
      <c r="B281" s="2">
        <v>45229</v>
      </c>
      <c r="C281" s="2">
        <v>45244</v>
      </c>
      <c r="D281" t="s">
        <v>647</v>
      </c>
      <c r="E281" t="s">
        <v>654</v>
      </c>
      <c r="F281" t="s">
        <v>668</v>
      </c>
      <c r="G281" t="s">
        <v>701</v>
      </c>
      <c r="H281" s="9" t="s">
        <v>708</v>
      </c>
      <c r="I281" s="9" t="s">
        <v>721</v>
      </c>
      <c r="J281" s="9" t="s">
        <v>731</v>
      </c>
      <c r="K281" t="s">
        <v>1013</v>
      </c>
      <c r="L281" s="7">
        <v>953.46</v>
      </c>
      <c r="M281" s="7">
        <v>2066.75</v>
      </c>
      <c r="N281" s="5">
        <v>0.13800000000000001</v>
      </c>
      <c r="O281">
        <v>5</v>
      </c>
      <c r="P281" s="2">
        <f t="shared" si="36"/>
        <v>45244</v>
      </c>
      <c r="Q281" t="str">
        <f t="shared" si="37"/>
        <v>Ok</v>
      </c>
      <c r="R281">
        <f>ABS(Table2[[#This Row],[UnitPrice]])</f>
        <v>2066.75</v>
      </c>
      <c r="S281">
        <f t="shared" si="38"/>
        <v>15</v>
      </c>
      <c r="T281" s="12">
        <f t="shared" si="39"/>
        <v>8907.6924999999992</v>
      </c>
      <c r="U281">
        <f>Table2[[#This Row],[UnitCost]]*Table2[[#This Row],[Quantity]]</f>
        <v>4767.3</v>
      </c>
      <c r="V281" s="13">
        <f t="shared" si="40"/>
        <v>4140.392499999999</v>
      </c>
      <c r="W281" s="5">
        <f t="shared" si="41"/>
        <v>0.46481089238318446</v>
      </c>
      <c r="X281" s="17" t="str">
        <f t="shared" si="42"/>
        <v>Oct-2023</v>
      </c>
      <c r="Z281" t="str">
        <f t="shared" si="43"/>
        <v>Asia. India. Bengaluru</v>
      </c>
      <c r="AA281" t="str">
        <f t="shared" si="44"/>
        <v>High</v>
      </c>
      <c r="AB281" t="str">
        <f t="array" ref="AB281">TEXT(MIN(IF($E$2:$E$633=E281, $B$2:$B$633)), "YYYY-MM")</f>
        <v>2023-01</v>
      </c>
      <c r="AC281" s="13">
        <f>SUM($T$2:T281)</f>
        <v>4805389.3309200006</v>
      </c>
    </row>
    <row r="282" spans="1:29" x14ac:dyDescent="0.45">
      <c r="A282" t="s">
        <v>294</v>
      </c>
      <c r="B282" s="2">
        <v>45092</v>
      </c>
      <c r="C282" s="2">
        <v>45100</v>
      </c>
      <c r="D282" t="s">
        <v>648</v>
      </c>
      <c r="E282" t="s">
        <v>660</v>
      </c>
      <c r="F282" t="s">
        <v>686</v>
      </c>
      <c r="G282" t="s">
        <v>704</v>
      </c>
      <c r="H282" s="9" t="s">
        <v>710</v>
      </c>
      <c r="I282" s="9" t="s">
        <v>719</v>
      </c>
      <c r="J282" s="9" t="s">
        <v>732</v>
      </c>
      <c r="K282" t="s">
        <v>1014</v>
      </c>
      <c r="L282" s="7">
        <v>1097.0899999999999</v>
      </c>
      <c r="M282" s="7">
        <v>2182.31</v>
      </c>
      <c r="N282" s="5">
        <v>0.112</v>
      </c>
      <c r="O282">
        <v>9</v>
      </c>
      <c r="P282" s="2">
        <f t="shared" si="36"/>
        <v>45100</v>
      </c>
      <c r="Q282" t="str">
        <f t="shared" si="37"/>
        <v>Ok</v>
      </c>
      <c r="R282">
        <f>ABS(Table2[[#This Row],[UnitPrice]])</f>
        <v>2182.31</v>
      </c>
      <c r="S282">
        <f t="shared" si="38"/>
        <v>8</v>
      </c>
      <c r="T282" s="12">
        <f t="shared" si="39"/>
        <v>17441.021520000002</v>
      </c>
      <c r="U282">
        <f>Table2[[#This Row],[UnitCost]]*Table2[[#This Row],[Quantity]]</f>
        <v>9873.81</v>
      </c>
      <c r="V282" s="13">
        <f t="shared" si="40"/>
        <v>7567.2115200000026</v>
      </c>
      <c r="W282" s="5">
        <f t="shared" si="41"/>
        <v>0.43387432962699546</v>
      </c>
      <c r="X282" s="17" t="str">
        <f t="shared" si="42"/>
        <v>Jun-2023</v>
      </c>
      <c r="Z282" t="str">
        <f t="shared" si="43"/>
        <v>Americas. USA. San Francisco</v>
      </c>
      <c r="AA282" t="str">
        <f t="shared" si="44"/>
        <v>High</v>
      </c>
      <c r="AB282" t="str">
        <f t="array" ref="AB282">TEXT(MIN(IF($E$2:$E$633=E282, $B$2:$B$633)), "YYYY-MM")</f>
        <v>2023-01</v>
      </c>
      <c r="AC282" s="13">
        <f>SUM($T$2:T282)</f>
        <v>4822830.3524400005</v>
      </c>
    </row>
    <row r="283" spans="1:29" x14ac:dyDescent="0.45">
      <c r="A283" t="s">
        <v>295</v>
      </c>
      <c r="B283" s="2">
        <v>45730</v>
      </c>
      <c r="C283" s="2">
        <v>45745</v>
      </c>
      <c r="D283" t="s">
        <v>647</v>
      </c>
      <c r="E283" t="s">
        <v>652</v>
      </c>
      <c r="F283" t="s">
        <v>689</v>
      </c>
      <c r="G283" t="s">
        <v>703</v>
      </c>
      <c r="H283" s="9" t="s">
        <v>711</v>
      </c>
      <c r="I283" s="9" t="s">
        <v>722</v>
      </c>
      <c r="J283" s="9" t="s">
        <v>729</v>
      </c>
      <c r="K283" t="s">
        <v>1015</v>
      </c>
      <c r="L283" s="7">
        <v>1106.96</v>
      </c>
      <c r="M283" s="7">
        <v>2726.62</v>
      </c>
      <c r="N283" s="5">
        <v>0.317</v>
      </c>
      <c r="O283">
        <v>7</v>
      </c>
      <c r="P283" s="2">
        <f t="shared" si="36"/>
        <v>45745</v>
      </c>
      <c r="Q283" t="str">
        <f t="shared" si="37"/>
        <v>Ok</v>
      </c>
      <c r="R283">
        <f>ABS(Table2[[#This Row],[UnitPrice]])</f>
        <v>2726.62</v>
      </c>
      <c r="S283">
        <f t="shared" si="38"/>
        <v>15</v>
      </c>
      <c r="T283" s="12">
        <f t="shared" si="39"/>
        <v>13035.970220000001</v>
      </c>
      <c r="U283">
        <f>Table2[[#This Row],[UnitCost]]*Table2[[#This Row],[Quantity]]</f>
        <v>7748.72</v>
      </c>
      <c r="V283" s="13">
        <f t="shared" si="40"/>
        <v>5287.2502200000008</v>
      </c>
      <c r="W283" s="5">
        <f t="shared" si="41"/>
        <v>0.40558931408789306</v>
      </c>
      <c r="X283" s="17" t="str">
        <f t="shared" si="42"/>
        <v>Mar-2025</v>
      </c>
      <c r="Z283" t="str">
        <f t="shared" si="43"/>
        <v>Asia. Japan. Tokyo</v>
      </c>
      <c r="AA283" t="str">
        <f t="shared" si="44"/>
        <v>High</v>
      </c>
      <c r="AB283" t="str">
        <f t="array" ref="AB283">TEXT(MIN(IF($E$2:$E$633=E283, $B$2:$B$633)), "YYYY-MM")</f>
        <v>2023-03</v>
      </c>
      <c r="AC283" s="13">
        <f>SUM($T$2:T283)</f>
        <v>4835866.3226600001</v>
      </c>
    </row>
    <row r="284" spans="1:29" x14ac:dyDescent="0.45">
      <c r="A284" t="s">
        <v>296</v>
      </c>
      <c r="B284" s="2">
        <v>45153</v>
      </c>
      <c r="C284" s="2">
        <v>45163</v>
      </c>
      <c r="D284" t="s">
        <v>646</v>
      </c>
      <c r="E284" t="s">
        <v>650</v>
      </c>
      <c r="F284" t="s">
        <v>664</v>
      </c>
      <c r="G284" t="s">
        <v>705</v>
      </c>
      <c r="H284" s="9" t="s">
        <v>707</v>
      </c>
      <c r="I284" s="9" t="s">
        <v>725</v>
      </c>
      <c r="J284" s="9" t="s">
        <v>730</v>
      </c>
      <c r="K284" t="s">
        <v>1016</v>
      </c>
      <c r="L284" s="7">
        <v>91.85</v>
      </c>
      <c r="M284" s="7">
        <v>111.29</v>
      </c>
      <c r="N284" s="5">
        <v>0</v>
      </c>
      <c r="O284">
        <v>6</v>
      </c>
      <c r="P284" s="2">
        <f t="shared" si="36"/>
        <v>45163</v>
      </c>
      <c r="Q284" t="str">
        <f t="shared" si="37"/>
        <v>Ok</v>
      </c>
      <c r="R284">
        <f>ABS(Table2[[#This Row],[UnitPrice]])</f>
        <v>111.29</v>
      </c>
      <c r="S284">
        <f t="shared" si="38"/>
        <v>10</v>
      </c>
      <c r="T284" s="12">
        <f t="shared" si="39"/>
        <v>667.74</v>
      </c>
      <c r="U284">
        <f>Table2[[#This Row],[UnitCost]]*Table2[[#This Row],[Quantity]]</f>
        <v>551.09999999999991</v>
      </c>
      <c r="V284" s="13">
        <f t="shared" si="40"/>
        <v>116.6400000000001</v>
      </c>
      <c r="W284" s="5">
        <f t="shared" si="41"/>
        <v>0.17467876718483258</v>
      </c>
      <c r="X284" s="17" t="str">
        <f t="shared" si="42"/>
        <v>Aug-2023</v>
      </c>
      <c r="Z284" t="str">
        <f t="shared" si="43"/>
        <v>Africa. Kenya. Nairobi</v>
      </c>
      <c r="AA284" t="str">
        <f t="shared" si="44"/>
        <v>Low</v>
      </c>
      <c r="AB284" t="str">
        <f t="array" ref="AB284">TEXT(MIN(IF($E$2:$E$633=E284, $B$2:$B$633)), "YYYY-MM")</f>
        <v>2023-01</v>
      </c>
      <c r="AC284" s="13">
        <f>SUM($T$2:T284)</f>
        <v>4836534.0626600003</v>
      </c>
    </row>
    <row r="285" spans="1:29" x14ac:dyDescent="0.45">
      <c r="A285" t="s">
        <v>297</v>
      </c>
      <c r="B285" s="2">
        <v>45794</v>
      </c>
      <c r="C285" s="2">
        <v>45805</v>
      </c>
      <c r="D285" t="s">
        <v>647</v>
      </c>
      <c r="E285" t="s">
        <v>654</v>
      </c>
      <c r="F285" t="s">
        <v>668</v>
      </c>
      <c r="G285" t="s">
        <v>701</v>
      </c>
      <c r="H285" s="9" t="s">
        <v>710</v>
      </c>
      <c r="I285" s="9" t="s">
        <v>717</v>
      </c>
      <c r="J285" s="9" t="s">
        <v>731</v>
      </c>
      <c r="K285" t="s">
        <v>1017</v>
      </c>
      <c r="L285" s="7">
        <v>623.4</v>
      </c>
      <c r="M285" s="7">
        <v>1100.0899999999999</v>
      </c>
      <c r="N285" s="5">
        <v>0.114</v>
      </c>
      <c r="O285">
        <v>12</v>
      </c>
      <c r="P285" s="2">
        <f t="shared" si="36"/>
        <v>45805</v>
      </c>
      <c r="Q285" t="str">
        <f t="shared" si="37"/>
        <v>Ok</v>
      </c>
      <c r="R285">
        <f>ABS(Table2[[#This Row],[UnitPrice]])</f>
        <v>1100.0899999999999</v>
      </c>
      <c r="S285">
        <f t="shared" si="38"/>
        <v>11</v>
      </c>
      <c r="T285" s="12">
        <f t="shared" si="39"/>
        <v>11696.156879999999</v>
      </c>
      <c r="U285">
        <f>Table2[[#This Row],[UnitCost]]*Table2[[#This Row],[Quantity]]</f>
        <v>7480.7999999999993</v>
      </c>
      <c r="V285" s="13">
        <f t="shared" si="40"/>
        <v>4215.3568799999994</v>
      </c>
      <c r="W285" s="5">
        <f t="shared" si="41"/>
        <v>0.36040529579490388</v>
      </c>
      <c r="X285" s="17" t="str">
        <f t="shared" si="42"/>
        <v>May-2025</v>
      </c>
      <c r="Z285" t="str">
        <f t="shared" si="43"/>
        <v>Asia. India. Bengaluru</v>
      </c>
      <c r="AA285" t="str">
        <f t="shared" si="44"/>
        <v>Low</v>
      </c>
      <c r="AB285" t="str">
        <f t="array" ref="AB285">TEXT(MIN(IF($E$2:$E$633=E285, $B$2:$B$633)), "YYYY-MM")</f>
        <v>2023-01</v>
      </c>
      <c r="AC285" s="13">
        <f>SUM($T$2:T285)</f>
        <v>4848230.21954</v>
      </c>
    </row>
    <row r="286" spans="1:29" x14ac:dyDescent="0.45">
      <c r="A286" t="s">
        <v>298</v>
      </c>
      <c r="B286" s="2">
        <v>45304</v>
      </c>
      <c r="C286" s="2">
        <v>45327</v>
      </c>
      <c r="D286" t="s">
        <v>649</v>
      </c>
      <c r="E286" t="s">
        <v>656</v>
      </c>
      <c r="F286" t="s">
        <v>698</v>
      </c>
      <c r="G286" t="s">
        <v>702</v>
      </c>
      <c r="H286" s="9" t="s">
        <v>711</v>
      </c>
      <c r="I286" s="9" t="s">
        <v>717</v>
      </c>
      <c r="J286" s="9" t="s">
        <v>731</v>
      </c>
      <c r="K286" t="s">
        <v>1018</v>
      </c>
      <c r="L286" s="7">
        <v>1017.93</v>
      </c>
      <c r="M286" s="7">
        <v>1529.14</v>
      </c>
      <c r="N286" s="5">
        <v>0.155</v>
      </c>
      <c r="O286">
        <v>12</v>
      </c>
      <c r="P286" s="2">
        <f t="shared" si="36"/>
        <v>45327</v>
      </c>
      <c r="Q286" t="str">
        <f t="shared" si="37"/>
        <v>Ok</v>
      </c>
      <c r="R286">
        <f>ABS(Table2[[#This Row],[UnitPrice]])</f>
        <v>1529.14</v>
      </c>
      <c r="S286">
        <f t="shared" si="38"/>
        <v>23</v>
      </c>
      <c r="T286" s="12">
        <f t="shared" si="39"/>
        <v>15505.479600000001</v>
      </c>
      <c r="U286">
        <f>Table2[[#This Row],[UnitCost]]*Table2[[#This Row],[Quantity]]</f>
        <v>12215.16</v>
      </c>
      <c r="V286" s="13">
        <f t="shared" si="40"/>
        <v>3290.3196000000007</v>
      </c>
      <c r="W286" s="5">
        <f t="shared" si="41"/>
        <v>0.21220366508366503</v>
      </c>
      <c r="X286" s="17" t="str">
        <f t="shared" si="42"/>
        <v>Jan-2024</v>
      </c>
      <c r="Z286" t="str">
        <f t="shared" si="43"/>
        <v>Europe. Germany. Frankfurt</v>
      </c>
      <c r="AA286" t="str">
        <f t="shared" si="44"/>
        <v>High</v>
      </c>
      <c r="AB286" t="str">
        <f t="array" ref="AB286">TEXT(MIN(IF($E$2:$E$633=E286, $B$2:$B$633)), "YYYY-MM")</f>
        <v>2023-01</v>
      </c>
      <c r="AC286" s="13">
        <f>SUM($T$2:T286)</f>
        <v>4863735.6991400002</v>
      </c>
    </row>
    <row r="287" spans="1:29" x14ac:dyDescent="0.45">
      <c r="A287" t="s">
        <v>299</v>
      </c>
      <c r="B287" s="2">
        <v>45101</v>
      </c>
      <c r="C287" s="2">
        <v>45128</v>
      </c>
      <c r="D287" t="s">
        <v>647</v>
      </c>
      <c r="E287" t="s">
        <v>652</v>
      </c>
      <c r="F287" t="s">
        <v>694</v>
      </c>
      <c r="G287" t="s">
        <v>704</v>
      </c>
      <c r="H287" s="9" t="s">
        <v>709</v>
      </c>
      <c r="I287" s="9" t="s">
        <v>713</v>
      </c>
      <c r="J287" s="9" t="s">
        <v>730</v>
      </c>
      <c r="K287" t="s">
        <v>1019</v>
      </c>
      <c r="L287" s="7">
        <v>554.76</v>
      </c>
      <c r="M287" s="7">
        <v>728.69</v>
      </c>
      <c r="N287" s="5">
        <v>0.22</v>
      </c>
      <c r="O287">
        <v>7</v>
      </c>
      <c r="P287" s="2">
        <f t="shared" si="36"/>
        <v>45128</v>
      </c>
      <c r="Q287" t="str">
        <f t="shared" si="37"/>
        <v>Ok</v>
      </c>
      <c r="R287">
        <f>ABS(Table2[[#This Row],[UnitPrice]])</f>
        <v>728.69</v>
      </c>
      <c r="S287">
        <f t="shared" si="38"/>
        <v>27</v>
      </c>
      <c r="T287" s="12">
        <f t="shared" si="39"/>
        <v>3978.6474000000003</v>
      </c>
      <c r="U287">
        <f>Table2[[#This Row],[UnitCost]]*Table2[[#This Row],[Quantity]]</f>
        <v>3883.3199999999997</v>
      </c>
      <c r="V287" s="13">
        <f t="shared" si="40"/>
        <v>95.32740000000058</v>
      </c>
      <c r="W287" s="5">
        <f t="shared" si="41"/>
        <v>2.395975074343119E-2</v>
      </c>
      <c r="X287" s="17" t="str">
        <f t="shared" si="42"/>
        <v>Jun-2023</v>
      </c>
      <c r="Z287" t="str">
        <f t="shared" si="43"/>
        <v>Asia. Japan. Nagoya</v>
      </c>
      <c r="AA287" t="str">
        <f t="shared" si="44"/>
        <v>Low</v>
      </c>
      <c r="AB287" t="str">
        <f t="array" ref="AB287">TEXT(MIN(IF($E$2:$E$633=E287, $B$2:$B$633)), "YYYY-MM")</f>
        <v>2023-03</v>
      </c>
      <c r="AC287" s="13">
        <f>SUM($T$2:T287)</f>
        <v>4867714.3465400003</v>
      </c>
    </row>
    <row r="288" spans="1:29" x14ac:dyDescent="0.45">
      <c r="A288" t="s">
        <v>300</v>
      </c>
      <c r="B288" s="2">
        <v>45751</v>
      </c>
      <c r="C288" s="2">
        <v>45760</v>
      </c>
      <c r="D288" t="s">
        <v>649</v>
      </c>
      <c r="E288" t="s">
        <v>656</v>
      </c>
      <c r="F288" t="s">
        <v>684</v>
      </c>
      <c r="G288" t="s">
        <v>704</v>
      </c>
      <c r="H288" s="9" t="s">
        <v>709</v>
      </c>
      <c r="I288" s="9" t="s">
        <v>721</v>
      </c>
      <c r="J288" s="9" t="s">
        <v>730</v>
      </c>
      <c r="K288" t="s">
        <v>1020</v>
      </c>
      <c r="L288" s="7">
        <v>7.02</v>
      </c>
      <c r="M288" s="7">
        <v>6.28</v>
      </c>
      <c r="N288" s="5">
        <v>0.13400000000000001</v>
      </c>
      <c r="O288">
        <v>14</v>
      </c>
      <c r="P288" s="2">
        <f t="shared" si="36"/>
        <v>45760</v>
      </c>
      <c r="Q288" t="str">
        <f t="shared" si="37"/>
        <v>Ok</v>
      </c>
      <c r="R288">
        <f>ABS(Table2[[#This Row],[UnitPrice]])</f>
        <v>6.28</v>
      </c>
      <c r="S288">
        <f t="shared" si="38"/>
        <v>9</v>
      </c>
      <c r="T288" s="12">
        <f t="shared" si="39"/>
        <v>76.138720000000006</v>
      </c>
      <c r="U288">
        <f>Table2[[#This Row],[UnitCost]]*Table2[[#This Row],[Quantity]]</f>
        <v>98.28</v>
      </c>
      <c r="V288" s="13">
        <f t="shared" si="40"/>
        <v>-22.141279999999995</v>
      </c>
      <c r="W288" s="5">
        <f t="shared" si="41"/>
        <v>-0.29080184169106066</v>
      </c>
      <c r="X288" s="17" t="str">
        <f t="shared" si="42"/>
        <v>Apr-2025</v>
      </c>
      <c r="Z288" t="str">
        <f t="shared" si="43"/>
        <v>Europe. Germany. Munich</v>
      </c>
      <c r="AA288" t="str">
        <f t="shared" si="44"/>
        <v>Low</v>
      </c>
      <c r="AB288" t="str">
        <f t="array" ref="AB288">TEXT(MIN(IF($E$2:$E$633=E288, $B$2:$B$633)), "YYYY-MM")</f>
        <v>2023-01</v>
      </c>
      <c r="AC288" s="13">
        <f>SUM($T$2:T288)</f>
        <v>4867790.4852600005</v>
      </c>
    </row>
    <row r="289" spans="1:29" x14ac:dyDescent="0.45">
      <c r="A289" t="s">
        <v>301</v>
      </c>
      <c r="B289" s="2">
        <v>45542</v>
      </c>
      <c r="C289" s="2">
        <v>45542</v>
      </c>
      <c r="D289" t="s">
        <v>647</v>
      </c>
      <c r="E289" t="s">
        <v>654</v>
      </c>
      <c r="F289" t="s">
        <v>691</v>
      </c>
      <c r="G289" t="s">
        <v>702</v>
      </c>
      <c r="H289" s="9" t="s">
        <v>710</v>
      </c>
      <c r="I289" s="9" t="s">
        <v>717</v>
      </c>
      <c r="J289" s="9" t="s">
        <v>729</v>
      </c>
      <c r="K289" t="s">
        <v>1021</v>
      </c>
      <c r="L289" s="7">
        <v>1066.6500000000001</v>
      </c>
      <c r="M289" s="7">
        <v>2569.77</v>
      </c>
      <c r="N289" s="5">
        <v>0.13400000000000001</v>
      </c>
      <c r="O289">
        <v>9</v>
      </c>
      <c r="P289" s="2">
        <f t="shared" si="36"/>
        <v>45542</v>
      </c>
      <c r="Q289" t="str">
        <f t="shared" si="37"/>
        <v>Ok</v>
      </c>
      <c r="R289">
        <f>ABS(Table2[[#This Row],[UnitPrice]])</f>
        <v>2569.77</v>
      </c>
      <c r="S289">
        <f t="shared" si="38"/>
        <v>0</v>
      </c>
      <c r="T289" s="12">
        <f t="shared" si="39"/>
        <v>20028.787380000002</v>
      </c>
      <c r="U289">
        <f>Table2[[#This Row],[UnitCost]]*Table2[[#This Row],[Quantity]]</f>
        <v>9599.85</v>
      </c>
      <c r="V289" s="13">
        <f t="shared" si="40"/>
        <v>10428.937380000001</v>
      </c>
      <c r="W289" s="5">
        <f t="shared" si="41"/>
        <v>0.52069739331368348</v>
      </c>
      <c r="X289" s="17" t="str">
        <f t="shared" si="42"/>
        <v>Sep-2024</v>
      </c>
      <c r="Z289" t="str">
        <f t="shared" si="43"/>
        <v>Asia. India. Mumbai</v>
      </c>
      <c r="AA289" t="str">
        <f t="shared" si="44"/>
        <v>High</v>
      </c>
      <c r="AB289" t="str">
        <f t="array" ref="AB289">TEXT(MIN(IF($E$2:$E$633=E289, $B$2:$B$633)), "YYYY-MM")</f>
        <v>2023-01</v>
      </c>
      <c r="AC289" s="13">
        <f>SUM($T$2:T289)</f>
        <v>4887819.2726400001</v>
      </c>
    </row>
    <row r="290" spans="1:29" x14ac:dyDescent="0.45">
      <c r="A290" t="s">
        <v>302</v>
      </c>
      <c r="B290" s="2">
        <v>45319</v>
      </c>
      <c r="C290" s="2">
        <v>45321</v>
      </c>
      <c r="D290" t="s">
        <v>646</v>
      </c>
      <c r="E290" t="s">
        <v>661</v>
      </c>
      <c r="F290" t="s">
        <v>695</v>
      </c>
      <c r="G290" t="s">
        <v>704</v>
      </c>
      <c r="H290" s="9" t="s">
        <v>711</v>
      </c>
      <c r="I290" s="9" t="s">
        <v>721</v>
      </c>
      <c r="J290" s="9" t="s">
        <v>733</v>
      </c>
      <c r="K290" t="s">
        <v>1022</v>
      </c>
      <c r="L290" s="7">
        <v>798.45</v>
      </c>
      <c r="M290" s="7">
        <v>1592.02</v>
      </c>
      <c r="N290" s="5">
        <v>6.6000000000000003E-2</v>
      </c>
      <c r="O290">
        <v>18</v>
      </c>
      <c r="P290" s="2">
        <f t="shared" si="36"/>
        <v>45321</v>
      </c>
      <c r="Q290" t="str">
        <f t="shared" si="37"/>
        <v>Ok</v>
      </c>
      <c r="R290">
        <f>ABS(Table2[[#This Row],[UnitPrice]])</f>
        <v>1592.02</v>
      </c>
      <c r="S290">
        <f t="shared" si="38"/>
        <v>2</v>
      </c>
      <c r="T290" s="12">
        <f t="shared" si="39"/>
        <v>26765.040239999998</v>
      </c>
      <c r="U290">
        <f>Table2[[#This Row],[UnitCost]]*Table2[[#This Row],[Quantity]]</f>
        <v>14372.1</v>
      </c>
      <c r="V290" s="13">
        <f t="shared" si="40"/>
        <v>12392.940239999998</v>
      </c>
      <c r="W290" s="5">
        <f t="shared" si="41"/>
        <v>0.46302714768494585</v>
      </c>
      <c r="X290" s="17" t="str">
        <f t="shared" si="42"/>
        <v>Jan-2024</v>
      </c>
      <c r="Z290" t="str">
        <f t="shared" si="43"/>
        <v>Africa. South Africa. Cape Town</v>
      </c>
      <c r="AA290" t="str">
        <f t="shared" si="44"/>
        <v>High</v>
      </c>
      <c r="AB290" t="str">
        <f t="array" ref="AB290">TEXT(MIN(IF($E$2:$E$633=E290, $B$2:$B$633)), "YYYY-MM")</f>
        <v>2023-01</v>
      </c>
      <c r="AC290" s="13">
        <f>SUM($T$2:T290)</f>
        <v>4914584.3128800001</v>
      </c>
    </row>
    <row r="291" spans="1:29" x14ac:dyDescent="0.45">
      <c r="A291" t="s">
        <v>303</v>
      </c>
      <c r="B291" s="2">
        <v>45125</v>
      </c>
      <c r="C291" s="2">
        <v>45148</v>
      </c>
      <c r="D291" t="s">
        <v>646</v>
      </c>
      <c r="E291" t="s">
        <v>661</v>
      </c>
      <c r="F291" t="s">
        <v>682</v>
      </c>
      <c r="G291" t="s">
        <v>705</v>
      </c>
      <c r="H291" s="9" t="s">
        <v>707</v>
      </c>
      <c r="I291" s="9" t="s">
        <v>716</v>
      </c>
      <c r="J291" s="9" t="s">
        <v>727</v>
      </c>
      <c r="K291" t="s">
        <v>1023</v>
      </c>
      <c r="L291" s="7">
        <v>1271.56</v>
      </c>
      <c r="M291" s="7">
        <v>995.47</v>
      </c>
      <c r="N291" s="5">
        <v>0.192</v>
      </c>
      <c r="O291">
        <v>13</v>
      </c>
      <c r="P291" s="2">
        <f t="shared" si="36"/>
        <v>45148</v>
      </c>
      <c r="Q291" t="str">
        <f t="shared" si="37"/>
        <v>Ok</v>
      </c>
      <c r="R291">
        <f>ABS(Table2[[#This Row],[UnitPrice]])</f>
        <v>995.47</v>
      </c>
      <c r="S291">
        <f t="shared" si="38"/>
        <v>23</v>
      </c>
      <c r="T291" s="12">
        <f t="shared" si="39"/>
        <v>10456.416880000001</v>
      </c>
      <c r="U291">
        <f>Table2[[#This Row],[UnitCost]]*Table2[[#This Row],[Quantity]]</f>
        <v>16530.28</v>
      </c>
      <c r="V291" s="13">
        <f t="shared" si="40"/>
        <v>-6073.8631199999982</v>
      </c>
      <c r="W291" s="5">
        <f t="shared" si="41"/>
        <v>-0.58087423155607754</v>
      </c>
      <c r="X291" s="17" t="str">
        <f t="shared" si="42"/>
        <v>Jul-2023</v>
      </c>
      <c r="Z291" t="str">
        <f t="shared" si="43"/>
        <v>Africa. South Africa. Johannesburg</v>
      </c>
      <c r="AA291" t="str">
        <f t="shared" si="44"/>
        <v>Low</v>
      </c>
      <c r="AB291" t="str">
        <f t="array" ref="AB291">TEXT(MIN(IF($E$2:$E$633=E291, $B$2:$B$633)), "YYYY-MM")</f>
        <v>2023-01</v>
      </c>
      <c r="AC291" s="13">
        <f>SUM($T$2:T291)</f>
        <v>4925040.7297600005</v>
      </c>
    </row>
    <row r="292" spans="1:29" x14ac:dyDescent="0.45">
      <c r="A292" t="s">
        <v>304</v>
      </c>
      <c r="B292" s="2">
        <v>45897</v>
      </c>
      <c r="C292" s="2">
        <v>45895</v>
      </c>
      <c r="D292" t="s">
        <v>646</v>
      </c>
      <c r="E292" t="s">
        <v>651</v>
      </c>
      <c r="F292" t="s">
        <v>663</v>
      </c>
      <c r="G292" t="s">
        <v>705</v>
      </c>
      <c r="H292" s="9" t="s">
        <v>707</v>
      </c>
      <c r="I292" s="9" t="s">
        <v>720</v>
      </c>
      <c r="J292" s="9" t="s">
        <v>733</v>
      </c>
      <c r="K292" t="s">
        <v>1024</v>
      </c>
      <c r="L292" s="7">
        <v>521.05999999999995</v>
      </c>
      <c r="M292" s="7">
        <v>1240.31</v>
      </c>
      <c r="N292" s="5">
        <v>0.14599999999999999</v>
      </c>
      <c r="O292">
        <v>18</v>
      </c>
      <c r="P292" s="2">
        <f t="shared" si="36"/>
        <v>45904</v>
      </c>
      <c r="Q292" t="str">
        <f t="shared" si="37"/>
        <v>Ok</v>
      </c>
      <c r="R292">
        <f>ABS(Table2[[#This Row],[UnitPrice]])</f>
        <v>1240.31</v>
      </c>
      <c r="S292">
        <f t="shared" si="38"/>
        <v>7</v>
      </c>
      <c r="T292" s="12">
        <f t="shared" si="39"/>
        <v>19066.045319999997</v>
      </c>
      <c r="U292">
        <f>Table2[[#This Row],[UnitCost]]*Table2[[#This Row],[Quantity]]</f>
        <v>9379.0799999999981</v>
      </c>
      <c r="V292" s="13">
        <f t="shared" si="40"/>
        <v>9686.9653199999993</v>
      </c>
      <c r="W292" s="5">
        <f t="shared" si="41"/>
        <v>0.50807417885650974</v>
      </c>
      <c r="X292" s="17" t="str">
        <f t="shared" si="42"/>
        <v>Aug-2025</v>
      </c>
      <c r="Z292" t="str">
        <f t="shared" si="43"/>
        <v>Africa. Nigeria. Port Harcourt</v>
      </c>
      <c r="AA292" t="str">
        <f t="shared" si="44"/>
        <v>High</v>
      </c>
      <c r="AB292" t="str">
        <f t="array" ref="AB292">TEXT(MIN(IF($E$2:$E$633=E292, $B$2:$B$633)), "YYYY-MM")</f>
        <v>2023-01</v>
      </c>
      <c r="AC292" s="13">
        <f>SUM($T$2:T292)</f>
        <v>4944106.7750800001</v>
      </c>
    </row>
    <row r="293" spans="1:29" x14ac:dyDescent="0.45">
      <c r="A293" t="s">
        <v>305</v>
      </c>
      <c r="B293" s="2">
        <v>45746</v>
      </c>
      <c r="C293" s="2">
        <v>45754</v>
      </c>
      <c r="D293" t="s">
        <v>648</v>
      </c>
      <c r="E293" t="s">
        <v>655</v>
      </c>
      <c r="F293" t="s">
        <v>670</v>
      </c>
      <c r="G293" t="s">
        <v>703</v>
      </c>
      <c r="H293" s="9" t="s">
        <v>711</v>
      </c>
      <c r="I293" s="9" t="s">
        <v>716</v>
      </c>
      <c r="J293" s="9" t="s">
        <v>728</v>
      </c>
      <c r="K293" t="s">
        <v>1025</v>
      </c>
      <c r="L293" s="7">
        <v>71.62</v>
      </c>
      <c r="M293" s="7">
        <v>118.37</v>
      </c>
      <c r="N293" s="5">
        <v>0.156</v>
      </c>
      <c r="O293">
        <v>11</v>
      </c>
      <c r="P293" s="2">
        <f t="shared" si="36"/>
        <v>45754</v>
      </c>
      <c r="Q293" t="str">
        <f t="shared" si="37"/>
        <v>Ok</v>
      </c>
      <c r="R293">
        <f>ABS(Table2[[#This Row],[UnitPrice]])</f>
        <v>118.37</v>
      </c>
      <c r="S293">
        <f t="shared" si="38"/>
        <v>8</v>
      </c>
      <c r="T293" s="12">
        <f t="shared" si="39"/>
        <v>1098.9470800000001</v>
      </c>
      <c r="U293">
        <f>Table2[[#This Row],[UnitCost]]*Table2[[#This Row],[Quantity]]</f>
        <v>787.82</v>
      </c>
      <c r="V293" s="13">
        <f t="shared" si="40"/>
        <v>311.12708000000009</v>
      </c>
      <c r="W293" s="5">
        <f t="shared" si="41"/>
        <v>0.28311379652603474</v>
      </c>
      <c r="X293" s="17" t="str">
        <f t="shared" si="42"/>
        <v>Mar-2025</v>
      </c>
      <c r="Z293" t="str">
        <f t="shared" si="43"/>
        <v>Americas. Brazil. São Paulo</v>
      </c>
      <c r="AA293" t="str">
        <f t="shared" si="44"/>
        <v>Low</v>
      </c>
      <c r="AB293" t="str">
        <f t="array" ref="AB293">TEXT(MIN(IF($E$2:$E$633=E293, $B$2:$B$633)), "YYYY-MM")</f>
        <v>2023-01</v>
      </c>
      <c r="AC293" s="13">
        <f>SUM($T$2:T293)</f>
        <v>4945205.7221600004</v>
      </c>
    </row>
    <row r="294" spans="1:29" x14ac:dyDescent="0.45">
      <c r="A294" t="s">
        <v>306</v>
      </c>
      <c r="B294" s="2">
        <v>45220</v>
      </c>
      <c r="C294" s="2">
        <v>45239</v>
      </c>
      <c r="D294" t="s">
        <v>649</v>
      </c>
      <c r="E294" t="s">
        <v>658</v>
      </c>
      <c r="F294" t="s">
        <v>683</v>
      </c>
      <c r="G294" t="s">
        <v>703</v>
      </c>
      <c r="H294" s="9" t="s">
        <v>711</v>
      </c>
      <c r="I294" s="9" t="s">
        <v>720</v>
      </c>
      <c r="J294" s="9" t="s">
        <v>733</v>
      </c>
      <c r="K294" t="s">
        <v>1026</v>
      </c>
      <c r="L294" s="7">
        <v>1142.48</v>
      </c>
      <c r="M294" s="7">
        <v>2105.5300000000002</v>
      </c>
      <c r="N294" s="5">
        <v>0.20699999999999999</v>
      </c>
      <c r="O294">
        <v>14</v>
      </c>
      <c r="P294" s="2">
        <f t="shared" si="36"/>
        <v>45239</v>
      </c>
      <c r="Q294" t="str">
        <f t="shared" si="37"/>
        <v>Ok</v>
      </c>
      <c r="R294">
        <f>ABS(Table2[[#This Row],[UnitPrice]])</f>
        <v>2105.5300000000002</v>
      </c>
      <c r="S294">
        <f t="shared" si="38"/>
        <v>19</v>
      </c>
      <c r="T294" s="12">
        <f t="shared" si="39"/>
        <v>23375.594060000003</v>
      </c>
      <c r="U294">
        <f>Table2[[#This Row],[UnitCost]]*Table2[[#This Row],[Quantity]]</f>
        <v>15994.720000000001</v>
      </c>
      <c r="V294" s="13">
        <f t="shared" si="40"/>
        <v>7380.8740600000019</v>
      </c>
      <c r="W294" s="5">
        <f t="shared" si="41"/>
        <v>0.31575129346680658</v>
      </c>
      <c r="X294" s="17" t="str">
        <f t="shared" si="42"/>
        <v>Oct-2023</v>
      </c>
      <c r="Z294" t="str">
        <f t="shared" si="43"/>
        <v>Europe. United Kingdom. London</v>
      </c>
      <c r="AA294" t="str">
        <f t="shared" si="44"/>
        <v>High</v>
      </c>
      <c r="AB294" t="str">
        <f t="array" ref="AB294">TEXT(MIN(IF($E$2:$E$633=E294, $B$2:$B$633)), "YYYY-MM")</f>
        <v>2023-01</v>
      </c>
      <c r="AC294" s="13">
        <f>SUM($T$2:T294)</f>
        <v>4968581.3162200004</v>
      </c>
    </row>
    <row r="295" spans="1:29" x14ac:dyDescent="0.45">
      <c r="A295" t="s">
        <v>307</v>
      </c>
      <c r="B295" s="2">
        <v>45161</v>
      </c>
      <c r="C295" s="2">
        <v>45191</v>
      </c>
      <c r="D295" t="s">
        <v>649</v>
      </c>
      <c r="E295" t="s">
        <v>658</v>
      </c>
      <c r="F295" t="s">
        <v>683</v>
      </c>
      <c r="G295" t="s">
        <v>704</v>
      </c>
      <c r="H295" s="9" t="s">
        <v>710</v>
      </c>
      <c r="I295" s="9" t="s">
        <v>719</v>
      </c>
      <c r="J295" s="9" t="s">
        <v>733</v>
      </c>
      <c r="K295" t="s">
        <v>1027</v>
      </c>
      <c r="L295" s="7">
        <v>209.81</v>
      </c>
      <c r="M295" s="7">
        <v>523</v>
      </c>
      <c r="N295" s="5">
        <v>5.8999999999999997E-2</v>
      </c>
      <c r="O295">
        <v>15</v>
      </c>
      <c r="P295" s="2">
        <f t="shared" si="36"/>
        <v>45191</v>
      </c>
      <c r="Q295" t="str">
        <f t="shared" si="37"/>
        <v>Ok</v>
      </c>
      <c r="R295">
        <f>ABS(Table2[[#This Row],[UnitPrice]])</f>
        <v>523</v>
      </c>
      <c r="S295">
        <f t="shared" si="38"/>
        <v>30</v>
      </c>
      <c r="T295" s="12">
        <f t="shared" si="39"/>
        <v>7382.1450000000004</v>
      </c>
      <c r="U295">
        <f>Table2[[#This Row],[UnitCost]]*Table2[[#This Row],[Quantity]]</f>
        <v>3147.15</v>
      </c>
      <c r="V295" s="13">
        <f t="shared" si="40"/>
        <v>4234.9950000000008</v>
      </c>
      <c r="W295" s="5">
        <f t="shared" si="41"/>
        <v>0.57368082041195356</v>
      </c>
      <c r="X295" s="17" t="str">
        <f t="shared" si="42"/>
        <v>Aug-2023</v>
      </c>
      <c r="Z295" t="str">
        <f t="shared" si="43"/>
        <v>Europe. United Kingdom. London</v>
      </c>
      <c r="AA295" t="str">
        <f t="shared" si="44"/>
        <v>Low</v>
      </c>
      <c r="AB295" t="str">
        <f t="array" ref="AB295">TEXT(MIN(IF($E$2:$E$633=E295, $B$2:$B$633)), "YYYY-MM")</f>
        <v>2023-01</v>
      </c>
      <c r="AC295" s="13">
        <f>SUM($T$2:T295)</f>
        <v>4975963.4612199999</v>
      </c>
    </row>
    <row r="296" spans="1:29" x14ac:dyDescent="0.45">
      <c r="A296" t="s">
        <v>308</v>
      </c>
      <c r="B296" s="2">
        <v>45758</v>
      </c>
      <c r="C296" s="2">
        <v>45781</v>
      </c>
      <c r="D296" t="s">
        <v>647</v>
      </c>
      <c r="E296" t="s">
        <v>652</v>
      </c>
      <c r="F296" t="s">
        <v>666</v>
      </c>
      <c r="G296" t="s">
        <v>705</v>
      </c>
      <c r="H296" s="9" t="s">
        <v>708</v>
      </c>
      <c r="I296" s="9" t="s">
        <v>724</v>
      </c>
      <c r="J296" s="9" t="s">
        <v>727</v>
      </c>
      <c r="K296" t="s">
        <v>1028</v>
      </c>
      <c r="L296" s="7">
        <v>786.2</v>
      </c>
      <c r="M296" s="7">
        <v>1075.3</v>
      </c>
      <c r="N296" s="5">
        <v>0.08</v>
      </c>
      <c r="O296">
        <v>9</v>
      </c>
      <c r="P296" s="2">
        <f t="shared" si="36"/>
        <v>45781</v>
      </c>
      <c r="Q296" t="str">
        <f t="shared" si="37"/>
        <v>Ok</v>
      </c>
      <c r="R296">
        <f>ABS(Table2[[#This Row],[UnitPrice]])</f>
        <v>1075.3</v>
      </c>
      <c r="S296">
        <f t="shared" si="38"/>
        <v>23</v>
      </c>
      <c r="T296" s="12">
        <f t="shared" si="39"/>
        <v>8903.4839999999986</v>
      </c>
      <c r="U296">
        <f>Table2[[#This Row],[UnitCost]]*Table2[[#This Row],[Quantity]]</f>
        <v>7075.8</v>
      </c>
      <c r="V296" s="13">
        <f t="shared" si="40"/>
        <v>1827.6839999999984</v>
      </c>
      <c r="W296" s="5">
        <f t="shared" si="41"/>
        <v>0.20527739478163815</v>
      </c>
      <c r="X296" s="17" t="str">
        <f t="shared" si="42"/>
        <v>Apr-2025</v>
      </c>
      <c r="Z296" t="str">
        <f t="shared" si="43"/>
        <v>Asia. Japan. Osaka</v>
      </c>
      <c r="AA296" t="str">
        <f t="shared" si="44"/>
        <v>Low</v>
      </c>
      <c r="AB296" t="str">
        <f t="array" ref="AB296">TEXT(MIN(IF($E$2:$E$633=E296, $B$2:$B$633)), "YYYY-MM")</f>
        <v>2023-03</v>
      </c>
      <c r="AC296" s="13">
        <f>SUM($T$2:T296)</f>
        <v>4984866.9452200001</v>
      </c>
    </row>
    <row r="297" spans="1:29" x14ac:dyDescent="0.45">
      <c r="A297" t="s">
        <v>309</v>
      </c>
      <c r="B297" s="2">
        <v>45809</v>
      </c>
      <c r="C297" s="2">
        <v>45835</v>
      </c>
      <c r="D297" t="s">
        <v>649</v>
      </c>
      <c r="E297" t="s">
        <v>656</v>
      </c>
      <c r="F297" t="s">
        <v>684</v>
      </c>
      <c r="G297" t="s">
        <v>704</v>
      </c>
      <c r="H297" s="9" t="s">
        <v>710</v>
      </c>
      <c r="I297" s="9" t="s">
        <v>718</v>
      </c>
      <c r="J297" s="9" t="s">
        <v>731</v>
      </c>
      <c r="K297" t="s">
        <v>1029</v>
      </c>
      <c r="L297" s="7">
        <v>1362.31</v>
      </c>
      <c r="M297" s="7">
        <v>3294.57</v>
      </c>
      <c r="N297" s="5">
        <v>0.113</v>
      </c>
      <c r="O297">
        <v>7</v>
      </c>
      <c r="P297" s="2">
        <f t="shared" si="36"/>
        <v>45835</v>
      </c>
      <c r="Q297" t="str">
        <f t="shared" si="37"/>
        <v>Ok</v>
      </c>
      <c r="R297">
        <f>ABS(Table2[[#This Row],[UnitPrice]])</f>
        <v>3294.57</v>
      </c>
      <c r="S297">
        <f t="shared" si="38"/>
        <v>26</v>
      </c>
      <c r="T297" s="12">
        <f t="shared" si="39"/>
        <v>20455.985130000001</v>
      </c>
      <c r="U297">
        <f>Table2[[#This Row],[UnitCost]]*Table2[[#This Row],[Quantity]]</f>
        <v>9536.17</v>
      </c>
      <c r="V297" s="13">
        <f t="shared" si="40"/>
        <v>10919.815130000001</v>
      </c>
      <c r="W297" s="5">
        <f t="shared" si="41"/>
        <v>0.5338200561157721</v>
      </c>
      <c r="X297" s="17" t="str">
        <f t="shared" si="42"/>
        <v>Jun-2025</v>
      </c>
      <c r="Z297" t="str">
        <f t="shared" si="43"/>
        <v>Europe. Germany. Munich</v>
      </c>
      <c r="AA297" t="str">
        <f t="shared" si="44"/>
        <v>High</v>
      </c>
      <c r="AB297" t="str">
        <f t="array" ref="AB297">TEXT(MIN(IF($E$2:$E$633=E297, $B$2:$B$633)), "YYYY-MM")</f>
        <v>2023-01</v>
      </c>
      <c r="AC297" s="13">
        <f>SUM($T$2:T297)</f>
        <v>5005322.93035</v>
      </c>
    </row>
    <row r="298" spans="1:29" x14ac:dyDescent="0.45">
      <c r="A298" t="s">
        <v>310</v>
      </c>
      <c r="B298" s="2">
        <v>45353</v>
      </c>
      <c r="C298" s="2">
        <v>45367</v>
      </c>
      <c r="D298" t="s">
        <v>648</v>
      </c>
      <c r="E298" t="s">
        <v>653</v>
      </c>
      <c r="F298" t="s">
        <v>688</v>
      </c>
      <c r="G298" t="s">
        <v>703</v>
      </c>
      <c r="H298" s="9" t="s">
        <v>711</v>
      </c>
      <c r="I298" s="9" t="s">
        <v>719</v>
      </c>
      <c r="J298" s="9" t="s">
        <v>728</v>
      </c>
      <c r="K298" t="s">
        <v>1030</v>
      </c>
      <c r="L298" s="7">
        <v>248.24</v>
      </c>
      <c r="M298" s="7">
        <v>464.05</v>
      </c>
      <c r="N298" s="5">
        <v>0.16900000000000001</v>
      </c>
      <c r="O298">
        <v>11</v>
      </c>
      <c r="P298" s="2">
        <f t="shared" si="36"/>
        <v>45367</v>
      </c>
      <c r="Q298" t="str">
        <f t="shared" si="37"/>
        <v>Ok</v>
      </c>
      <c r="R298">
        <f>ABS(Table2[[#This Row],[UnitPrice]])</f>
        <v>464.05</v>
      </c>
      <c r="S298">
        <f t="shared" si="38"/>
        <v>14</v>
      </c>
      <c r="T298" s="12">
        <f t="shared" si="39"/>
        <v>4241.88105</v>
      </c>
      <c r="U298">
        <f>Table2[[#This Row],[UnitCost]]*Table2[[#This Row],[Quantity]]</f>
        <v>2730.6400000000003</v>
      </c>
      <c r="V298" s="13">
        <f t="shared" si="40"/>
        <v>1511.2410499999996</v>
      </c>
      <c r="W298" s="5">
        <f t="shared" si="41"/>
        <v>0.3562667203975462</v>
      </c>
      <c r="X298" s="17" t="str">
        <f t="shared" si="42"/>
        <v>Mar-2024</v>
      </c>
      <c r="Z298" t="str">
        <f t="shared" si="43"/>
        <v>Americas. Canada. Vancouver</v>
      </c>
      <c r="AA298" t="str">
        <f t="shared" si="44"/>
        <v>Low</v>
      </c>
      <c r="AB298" t="str">
        <f t="array" ref="AB298">TEXT(MIN(IF($E$2:$E$633=E298, $B$2:$B$633)), "YYYY-MM")</f>
        <v>2023-01</v>
      </c>
      <c r="AC298" s="13">
        <f>SUM($T$2:T298)</f>
        <v>5009564.8114</v>
      </c>
    </row>
    <row r="299" spans="1:29" x14ac:dyDescent="0.45">
      <c r="A299" t="s">
        <v>311</v>
      </c>
      <c r="B299" s="2">
        <v>45097</v>
      </c>
      <c r="C299" s="2">
        <v>45115</v>
      </c>
      <c r="D299" t="s">
        <v>648</v>
      </c>
      <c r="E299" t="s">
        <v>660</v>
      </c>
      <c r="F299" t="s">
        <v>697</v>
      </c>
      <c r="G299" t="s">
        <v>703</v>
      </c>
      <c r="H299" s="9" t="s">
        <v>711</v>
      </c>
      <c r="I299" s="9" t="s">
        <v>721</v>
      </c>
      <c r="J299" s="9" t="s">
        <v>732</v>
      </c>
      <c r="K299" t="s">
        <v>1031</v>
      </c>
      <c r="L299" s="7">
        <v>337</v>
      </c>
      <c r="M299" s="7">
        <v>511.03</v>
      </c>
      <c r="N299" s="5">
        <v>0.108</v>
      </c>
      <c r="O299">
        <v>7</v>
      </c>
      <c r="P299" s="2">
        <f t="shared" si="36"/>
        <v>45115</v>
      </c>
      <c r="Q299" t="str">
        <f t="shared" si="37"/>
        <v>Ok</v>
      </c>
      <c r="R299">
        <f>ABS(Table2[[#This Row],[UnitPrice]])</f>
        <v>511.03</v>
      </c>
      <c r="S299">
        <f t="shared" si="38"/>
        <v>18</v>
      </c>
      <c r="T299" s="12">
        <f t="shared" si="39"/>
        <v>3190.8713200000002</v>
      </c>
      <c r="U299">
        <f>Table2[[#This Row],[UnitCost]]*Table2[[#This Row],[Quantity]]</f>
        <v>2359</v>
      </c>
      <c r="V299" s="13">
        <f t="shared" si="40"/>
        <v>831.8713200000002</v>
      </c>
      <c r="W299" s="5">
        <f t="shared" si="41"/>
        <v>0.26070349963219458</v>
      </c>
      <c r="X299" s="17" t="str">
        <f t="shared" si="42"/>
        <v>Jun-2023</v>
      </c>
      <c r="Z299" t="str">
        <f t="shared" si="43"/>
        <v>Americas. USA. Austin</v>
      </c>
      <c r="AA299" t="str">
        <f t="shared" si="44"/>
        <v>Low</v>
      </c>
      <c r="AB299" t="str">
        <f t="array" ref="AB299">TEXT(MIN(IF($E$2:$E$633=E299, $B$2:$B$633)), "YYYY-MM")</f>
        <v>2023-01</v>
      </c>
      <c r="AC299" s="13">
        <f>SUM($T$2:T299)</f>
        <v>5012755.6827199999</v>
      </c>
    </row>
    <row r="300" spans="1:29" x14ac:dyDescent="0.45">
      <c r="A300" t="s">
        <v>312</v>
      </c>
      <c r="B300" s="2">
        <v>45377</v>
      </c>
      <c r="C300" s="2">
        <v>45387</v>
      </c>
      <c r="D300" t="s">
        <v>648</v>
      </c>
      <c r="E300" t="s">
        <v>660</v>
      </c>
      <c r="F300" t="s">
        <v>697</v>
      </c>
      <c r="G300" t="s">
        <v>704</v>
      </c>
      <c r="H300" s="9" t="s">
        <v>711</v>
      </c>
      <c r="I300" s="9" t="s">
        <v>713</v>
      </c>
      <c r="J300" s="9" t="s">
        <v>732</v>
      </c>
      <c r="K300" t="s">
        <v>1032</v>
      </c>
      <c r="L300" s="7">
        <v>5.66</v>
      </c>
      <c r="M300" s="7">
        <v>4.22</v>
      </c>
      <c r="N300" s="5">
        <v>0.11899999999999999</v>
      </c>
      <c r="O300">
        <v>18</v>
      </c>
      <c r="P300" s="2">
        <f t="shared" si="36"/>
        <v>45387</v>
      </c>
      <c r="Q300" t="str">
        <f t="shared" si="37"/>
        <v>Ok</v>
      </c>
      <c r="R300">
        <f>ABS(Table2[[#This Row],[UnitPrice]])</f>
        <v>4.22</v>
      </c>
      <c r="S300">
        <f t="shared" si="38"/>
        <v>10</v>
      </c>
      <c r="T300" s="12">
        <f t="shared" si="39"/>
        <v>66.920760000000001</v>
      </c>
      <c r="U300">
        <f>Table2[[#This Row],[UnitCost]]*Table2[[#This Row],[Quantity]]</f>
        <v>101.88</v>
      </c>
      <c r="V300" s="13">
        <f t="shared" si="40"/>
        <v>-34.959239999999994</v>
      </c>
      <c r="W300" s="5">
        <f t="shared" si="41"/>
        <v>-0.52239753403876454</v>
      </c>
      <c r="X300" s="17" t="str">
        <f t="shared" si="42"/>
        <v>Mar-2024</v>
      </c>
      <c r="Z300" t="str">
        <f t="shared" si="43"/>
        <v>Americas. USA. Austin</v>
      </c>
      <c r="AA300" t="str">
        <f t="shared" si="44"/>
        <v>Low</v>
      </c>
      <c r="AB300" t="str">
        <f t="array" ref="AB300">TEXT(MIN(IF($E$2:$E$633=E300, $B$2:$B$633)), "YYYY-MM")</f>
        <v>2023-01</v>
      </c>
      <c r="AC300" s="13">
        <f>SUM($T$2:T300)</f>
        <v>5012822.60348</v>
      </c>
    </row>
    <row r="301" spans="1:29" x14ac:dyDescent="0.45">
      <c r="A301" t="s">
        <v>313</v>
      </c>
      <c r="B301" s="2">
        <v>45679</v>
      </c>
      <c r="C301" s="2">
        <v>45679</v>
      </c>
      <c r="D301" t="s">
        <v>649</v>
      </c>
      <c r="E301" t="s">
        <v>657</v>
      </c>
      <c r="F301" t="s">
        <v>679</v>
      </c>
      <c r="G301" t="s">
        <v>705</v>
      </c>
      <c r="H301" s="9" t="s">
        <v>708</v>
      </c>
      <c r="I301" s="9" t="s">
        <v>717</v>
      </c>
      <c r="J301" s="9" t="s">
        <v>733</v>
      </c>
      <c r="K301" t="s">
        <v>1033</v>
      </c>
      <c r="L301" s="7">
        <v>591.72</v>
      </c>
      <c r="M301" s="7">
        <v>577.24</v>
      </c>
      <c r="N301" s="5">
        <v>0</v>
      </c>
      <c r="O301">
        <v>22</v>
      </c>
      <c r="P301" s="2">
        <f t="shared" si="36"/>
        <v>45679</v>
      </c>
      <c r="Q301" t="str">
        <f t="shared" si="37"/>
        <v>Ok</v>
      </c>
      <c r="R301">
        <f>ABS(Table2[[#This Row],[UnitPrice]])</f>
        <v>577.24</v>
      </c>
      <c r="S301">
        <f t="shared" si="38"/>
        <v>0</v>
      </c>
      <c r="T301" s="12">
        <f t="shared" si="39"/>
        <v>12699.28</v>
      </c>
      <c r="U301">
        <f>Table2[[#This Row],[UnitCost]]*Table2[[#This Row],[Quantity]]</f>
        <v>13017.84</v>
      </c>
      <c r="V301" s="13">
        <f t="shared" si="40"/>
        <v>-318.55999999999949</v>
      </c>
      <c r="W301" s="5">
        <f t="shared" si="41"/>
        <v>-2.5084886702238195E-2</v>
      </c>
      <c r="X301" s="17" t="str">
        <f t="shared" si="42"/>
        <v>Jan-2025</v>
      </c>
      <c r="Z301" t="str">
        <f t="shared" si="43"/>
        <v>Europe. France. Lyon</v>
      </c>
      <c r="AA301" t="str">
        <f t="shared" si="44"/>
        <v>Low</v>
      </c>
      <c r="AB301" t="str">
        <f t="array" ref="AB301">TEXT(MIN(IF($E$2:$E$633=E301, $B$2:$B$633)), "YYYY-MM")</f>
        <v>2023-01</v>
      </c>
      <c r="AC301" s="13">
        <f>SUM($T$2:T301)</f>
        <v>5025521.8834800003</v>
      </c>
    </row>
    <row r="302" spans="1:29" x14ac:dyDescent="0.45">
      <c r="A302" t="s">
        <v>314</v>
      </c>
      <c r="B302" s="2">
        <v>45787</v>
      </c>
      <c r="C302" s="2">
        <v>45804</v>
      </c>
      <c r="D302" t="s">
        <v>648</v>
      </c>
      <c r="E302" t="s">
        <v>653</v>
      </c>
      <c r="F302" t="s">
        <v>688</v>
      </c>
      <c r="G302" t="s">
        <v>702</v>
      </c>
      <c r="H302" s="9" t="s">
        <v>711</v>
      </c>
      <c r="I302" s="9" t="s">
        <v>712</v>
      </c>
      <c r="J302" s="9" t="s">
        <v>727</v>
      </c>
      <c r="K302" t="s">
        <v>1034</v>
      </c>
      <c r="L302" s="7">
        <v>862.89</v>
      </c>
      <c r="M302" s="7">
        <v>1426.03</v>
      </c>
      <c r="N302" s="5">
        <v>5.6000000000000001E-2</v>
      </c>
      <c r="O302">
        <v>19</v>
      </c>
      <c r="P302" s="2">
        <f t="shared" si="36"/>
        <v>45804</v>
      </c>
      <c r="Q302" t="str">
        <f t="shared" si="37"/>
        <v>Ok</v>
      </c>
      <c r="R302">
        <f>ABS(Table2[[#This Row],[UnitPrice]])</f>
        <v>1426.03</v>
      </c>
      <c r="S302">
        <f t="shared" si="38"/>
        <v>17</v>
      </c>
      <c r="T302" s="12">
        <f t="shared" si="39"/>
        <v>25577.274079999999</v>
      </c>
      <c r="U302">
        <f>Table2[[#This Row],[UnitCost]]*Table2[[#This Row],[Quantity]]</f>
        <v>16394.91</v>
      </c>
      <c r="V302" s="13">
        <f t="shared" si="40"/>
        <v>9182.3640799999994</v>
      </c>
      <c r="W302" s="5">
        <f t="shared" si="41"/>
        <v>0.35900479665188778</v>
      </c>
      <c r="X302" s="17" t="str">
        <f t="shared" si="42"/>
        <v>May-2025</v>
      </c>
      <c r="Z302" t="str">
        <f t="shared" si="43"/>
        <v>Americas. Canada. Vancouver</v>
      </c>
      <c r="AA302" t="str">
        <f t="shared" si="44"/>
        <v>High</v>
      </c>
      <c r="AB302" t="str">
        <f t="array" ref="AB302">TEXT(MIN(IF($E$2:$E$633=E302, $B$2:$B$633)), "YYYY-MM")</f>
        <v>2023-01</v>
      </c>
      <c r="AC302" s="13">
        <f>SUM($T$2:T302)</f>
        <v>5051099.1575600002</v>
      </c>
    </row>
    <row r="303" spans="1:29" x14ac:dyDescent="0.45">
      <c r="A303" t="s">
        <v>315</v>
      </c>
      <c r="B303" s="2">
        <v>45204</v>
      </c>
      <c r="C303" s="2">
        <v>45230</v>
      </c>
      <c r="D303" t="s">
        <v>647</v>
      </c>
      <c r="E303" t="s">
        <v>659</v>
      </c>
      <c r="F303" t="s">
        <v>685</v>
      </c>
      <c r="G303" t="s">
        <v>704</v>
      </c>
      <c r="H303" s="9" t="s">
        <v>1422</v>
      </c>
      <c r="I303" s="9" t="s">
        <v>713</v>
      </c>
      <c r="J303" s="9" t="s">
        <v>728</v>
      </c>
      <c r="K303" t="s">
        <v>1035</v>
      </c>
      <c r="L303" s="7">
        <v>649.91</v>
      </c>
      <c r="M303" s="7">
        <v>1360.12</v>
      </c>
      <c r="N303" s="5">
        <v>0.19400000000000001</v>
      </c>
      <c r="O303">
        <v>9</v>
      </c>
      <c r="P303" s="2">
        <f t="shared" si="36"/>
        <v>45230</v>
      </c>
      <c r="Q303" t="str">
        <f t="shared" si="37"/>
        <v>Ok</v>
      </c>
      <c r="R303">
        <f>ABS(Table2[[#This Row],[UnitPrice]])</f>
        <v>1360.12</v>
      </c>
      <c r="S303">
        <f t="shared" si="38"/>
        <v>26</v>
      </c>
      <c r="T303" s="12">
        <f t="shared" si="39"/>
        <v>9866.3104799999983</v>
      </c>
      <c r="U303">
        <f>Table2[[#This Row],[UnitCost]]*Table2[[#This Row],[Quantity]]</f>
        <v>5849.19</v>
      </c>
      <c r="V303" s="13">
        <f t="shared" si="40"/>
        <v>4017.1204799999987</v>
      </c>
      <c r="W303" s="5">
        <f t="shared" si="41"/>
        <v>0.40715528749506769</v>
      </c>
      <c r="X303" s="17" t="str">
        <f t="shared" si="42"/>
        <v>Oct-2023</v>
      </c>
      <c r="Z303" t="str">
        <f t="shared" si="43"/>
        <v>Asia. China. Shanghai</v>
      </c>
      <c r="AA303" t="str">
        <f t="shared" si="44"/>
        <v>High</v>
      </c>
      <c r="AB303" t="str">
        <f t="array" ref="AB303">TEXT(MIN(IF($E$2:$E$633=E303, $B$2:$B$633)), "YYYY-MM")</f>
        <v>2023-01</v>
      </c>
      <c r="AC303" s="13">
        <f>SUM($T$2:T303)</f>
        <v>5060965.4680400006</v>
      </c>
    </row>
    <row r="304" spans="1:29" x14ac:dyDescent="0.45">
      <c r="A304" t="s">
        <v>316</v>
      </c>
      <c r="B304" s="2">
        <v>45125</v>
      </c>
      <c r="C304" s="2">
        <v>45129</v>
      </c>
      <c r="D304" t="s">
        <v>648</v>
      </c>
      <c r="E304" t="s">
        <v>655</v>
      </c>
      <c r="F304" t="s">
        <v>670</v>
      </c>
      <c r="G304" t="s">
        <v>704</v>
      </c>
      <c r="H304" s="9" t="s">
        <v>711</v>
      </c>
      <c r="I304" s="9" t="s">
        <v>721</v>
      </c>
      <c r="J304" s="9" t="s">
        <v>729</v>
      </c>
      <c r="K304" t="s">
        <v>1036</v>
      </c>
      <c r="L304" s="7">
        <v>1269.55</v>
      </c>
      <c r="M304" s="7">
        <v>2071.1</v>
      </c>
      <c r="N304" s="5">
        <v>0.129</v>
      </c>
      <c r="O304">
        <v>22</v>
      </c>
      <c r="P304" s="2">
        <f t="shared" si="36"/>
        <v>45129</v>
      </c>
      <c r="Q304" t="str">
        <f t="shared" si="37"/>
        <v>Ok</v>
      </c>
      <c r="R304">
        <f>ABS(Table2[[#This Row],[UnitPrice]])</f>
        <v>2071.1</v>
      </c>
      <c r="S304">
        <f t="shared" si="38"/>
        <v>4</v>
      </c>
      <c r="T304" s="12">
        <f t="shared" si="39"/>
        <v>39686.4182</v>
      </c>
      <c r="U304">
        <f>Table2[[#This Row],[UnitCost]]*Table2[[#This Row],[Quantity]]</f>
        <v>27930.1</v>
      </c>
      <c r="V304" s="13">
        <f t="shared" si="40"/>
        <v>11756.318200000002</v>
      </c>
      <c r="W304" s="5">
        <f t="shared" si="41"/>
        <v>0.29623026549672354</v>
      </c>
      <c r="X304" s="17" t="str">
        <f t="shared" si="42"/>
        <v>Jul-2023</v>
      </c>
      <c r="Z304" t="str">
        <f t="shared" si="43"/>
        <v>Americas. Brazil. São Paulo</v>
      </c>
      <c r="AA304" t="str">
        <f t="shared" si="44"/>
        <v>High</v>
      </c>
      <c r="AB304" t="str">
        <f t="array" ref="AB304">TEXT(MIN(IF($E$2:$E$633=E304, $B$2:$B$633)), "YYYY-MM")</f>
        <v>2023-01</v>
      </c>
      <c r="AC304" s="13">
        <f>SUM($T$2:T304)</f>
        <v>5100651.8862400008</v>
      </c>
    </row>
    <row r="305" spans="1:29" x14ac:dyDescent="0.45">
      <c r="A305" t="s">
        <v>317</v>
      </c>
      <c r="B305" s="2">
        <v>45830</v>
      </c>
      <c r="C305" s="2">
        <v>45846</v>
      </c>
      <c r="D305" t="s">
        <v>649</v>
      </c>
      <c r="E305" t="s">
        <v>658</v>
      </c>
      <c r="F305" t="s">
        <v>683</v>
      </c>
      <c r="G305" t="s">
        <v>702</v>
      </c>
      <c r="H305" s="9" t="s">
        <v>711</v>
      </c>
      <c r="I305" s="9" t="s">
        <v>720</v>
      </c>
      <c r="J305" s="9" t="s">
        <v>730</v>
      </c>
      <c r="K305" t="s">
        <v>1037</v>
      </c>
      <c r="L305" s="7">
        <v>892.73</v>
      </c>
      <c r="M305" s="7">
        <v>979.84</v>
      </c>
      <c r="N305" s="5">
        <v>0.17399999999999999</v>
      </c>
      <c r="O305">
        <v>10</v>
      </c>
      <c r="P305" s="2">
        <f t="shared" si="36"/>
        <v>45846</v>
      </c>
      <c r="Q305" t="str">
        <f t="shared" si="37"/>
        <v>Ok</v>
      </c>
      <c r="R305">
        <f>ABS(Table2[[#This Row],[UnitPrice]])</f>
        <v>979.84</v>
      </c>
      <c r="S305">
        <f t="shared" si="38"/>
        <v>16</v>
      </c>
      <c r="T305" s="12">
        <f t="shared" si="39"/>
        <v>8093.4784</v>
      </c>
      <c r="U305">
        <f>Table2[[#This Row],[UnitCost]]*Table2[[#This Row],[Quantity]]</f>
        <v>8927.2999999999993</v>
      </c>
      <c r="V305" s="13">
        <f t="shared" si="40"/>
        <v>-833.82159999999931</v>
      </c>
      <c r="W305" s="5">
        <f t="shared" si="41"/>
        <v>-0.10302388649112838</v>
      </c>
      <c r="X305" s="17" t="str">
        <f t="shared" si="42"/>
        <v>Jun-2025</v>
      </c>
      <c r="Z305" t="str">
        <f t="shared" si="43"/>
        <v>Europe. United Kingdom. London</v>
      </c>
      <c r="AA305" t="str">
        <f t="shared" si="44"/>
        <v>Low</v>
      </c>
      <c r="AB305" t="str">
        <f t="array" ref="AB305">TEXT(MIN(IF($E$2:$E$633=E305, $B$2:$B$633)), "YYYY-MM")</f>
        <v>2023-01</v>
      </c>
      <c r="AC305" s="13">
        <f>SUM($T$2:T305)</f>
        <v>5108745.3646400012</v>
      </c>
    </row>
    <row r="306" spans="1:29" x14ac:dyDescent="0.45">
      <c r="A306" t="s">
        <v>318</v>
      </c>
      <c r="B306" s="2">
        <v>45462</v>
      </c>
      <c r="C306" s="2">
        <v>45463</v>
      </c>
      <c r="D306" t="s">
        <v>646</v>
      </c>
      <c r="E306" t="s">
        <v>650</v>
      </c>
      <c r="F306" t="s">
        <v>662</v>
      </c>
      <c r="G306" t="s">
        <v>705</v>
      </c>
      <c r="H306" s="9" t="s">
        <v>711</v>
      </c>
      <c r="I306" s="9" t="s">
        <v>713</v>
      </c>
      <c r="J306" s="9" t="s">
        <v>731</v>
      </c>
      <c r="K306" t="s">
        <v>1038</v>
      </c>
      <c r="L306" s="7">
        <v>231.63</v>
      </c>
      <c r="M306" s="7">
        <v>537.39</v>
      </c>
      <c r="N306" s="5">
        <v>0.08</v>
      </c>
      <c r="O306">
        <v>12</v>
      </c>
      <c r="P306" s="2">
        <f t="shared" si="36"/>
        <v>45463</v>
      </c>
      <c r="Q306" t="str">
        <f t="shared" si="37"/>
        <v>Ok</v>
      </c>
      <c r="R306">
        <f>ABS(Table2[[#This Row],[UnitPrice]])</f>
        <v>537.39</v>
      </c>
      <c r="S306">
        <f t="shared" si="38"/>
        <v>1</v>
      </c>
      <c r="T306" s="12">
        <f t="shared" si="39"/>
        <v>5932.7856000000002</v>
      </c>
      <c r="U306">
        <f>Table2[[#This Row],[UnitCost]]*Table2[[#This Row],[Quantity]]</f>
        <v>2779.56</v>
      </c>
      <c r="V306" s="13">
        <f t="shared" si="40"/>
        <v>3153.2256000000002</v>
      </c>
      <c r="W306" s="5">
        <f t="shared" si="41"/>
        <v>0.53149158129024587</v>
      </c>
      <c r="X306" s="17" t="str">
        <f t="shared" si="42"/>
        <v>Jun-2024</v>
      </c>
      <c r="Z306" t="str">
        <f t="shared" si="43"/>
        <v>Africa. Kenya. Kisumu</v>
      </c>
      <c r="AA306" t="str">
        <f t="shared" si="44"/>
        <v>Low</v>
      </c>
      <c r="AB306" t="str">
        <f t="array" ref="AB306">TEXT(MIN(IF($E$2:$E$633=E306, $B$2:$B$633)), "YYYY-MM")</f>
        <v>2023-01</v>
      </c>
      <c r="AC306" s="13">
        <f>SUM($T$2:T306)</f>
        <v>5114678.1502400013</v>
      </c>
    </row>
    <row r="307" spans="1:29" x14ac:dyDescent="0.45">
      <c r="A307" t="s">
        <v>319</v>
      </c>
      <c r="B307" s="2">
        <v>45756</v>
      </c>
      <c r="C307" s="2">
        <v>45759</v>
      </c>
      <c r="D307" t="s">
        <v>649</v>
      </c>
      <c r="E307" t="s">
        <v>657</v>
      </c>
      <c r="F307" t="s">
        <v>679</v>
      </c>
      <c r="G307" t="s">
        <v>705</v>
      </c>
      <c r="H307" s="9" t="s">
        <v>710</v>
      </c>
      <c r="I307" s="9" t="s">
        <v>722</v>
      </c>
      <c r="J307" s="9" t="s">
        <v>732</v>
      </c>
      <c r="K307" t="s">
        <v>1039</v>
      </c>
      <c r="L307" s="7">
        <v>86.68</v>
      </c>
      <c r="M307" s="7">
        <v>213.32</v>
      </c>
      <c r="N307" s="5">
        <v>3.7999999999999999E-2</v>
      </c>
      <c r="O307">
        <v>8</v>
      </c>
      <c r="P307" s="2">
        <f t="shared" si="36"/>
        <v>45759</v>
      </c>
      <c r="Q307" t="str">
        <f t="shared" si="37"/>
        <v>Ok</v>
      </c>
      <c r="R307">
        <f>ABS(Table2[[#This Row],[UnitPrice]])</f>
        <v>213.32</v>
      </c>
      <c r="S307">
        <f t="shared" si="38"/>
        <v>3</v>
      </c>
      <c r="T307" s="12">
        <f t="shared" si="39"/>
        <v>1641.7107199999998</v>
      </c>
      <c r="U307">
        <f>Table2[[#This Row],[UnitCost]]*Table2[[#This Row],[Quantity]]</f>
        <v>693.44</v>
      </c>
      <c r="V307" s="13">
        <f t="shared" si="40"/>
        <v>948.27071999999976</v>
      </c>
      <c r="W307" s="5">
        <f t="shared" si="41"/>
        <v>0.57761133459614611</v>
      </c>
      <c r="X307" s="17" t="str">
        <f t="shared" si="42"/>
        <v>Apr-2025</v>
      </c>
      <c r="Z307" t="str">
        <f t="shared" si="43"/>
        <v>Europe. France. Lyon</v>
      </c>
      <c r="AA307" t="str">
        <f t="shared" si="44"/>
        <v>Low</v>
      </c>
      <c r="AB307" t="str">
        <f t="array" ref="AB307">TEXT(MIN(IF($E$2:$E$633=E307, $B$2:$B$633)), "YYYY-MM")</f>
        <v>2023-01</v>
      </c>
      <c r="AC307" s="13">
        <f>SUM($T$2:T307)</f>
        <v>5116319.8609600011</v>
      </c>
    </row>
    <row r="308" spans="1:29" x14ac:dyDescent="0.45">
      <c r="A308" t="s">
        <v>320</v>
      </c>
      <c r="B308" s="2">
        <v>45741</v>
      </c>
      <c r="C308" s="2">
        <v>45742</v>
      </c>
      <c r="D308" t="s">
        <v>646</v>
      </c>
      <c r="E308" t="s">
        <v>651</v>
      </c>
      <c r="F308" t="s">
        <v>665</v>
      </c>
      <c r="G308" t="s">
        <v>702</v>
      </c>
      <c r="H308" s="9" t="s">
        <v>710</v>
      </c>
      <c r="I308" s="9" t="s">
        <v>715</v>
      </c>
      <c r="J308" s="9" t="s">
        <v>733</v>
      </c>
      <c r="K308" t="s">
        <v>1040</v>
      </c>
      <c r="L308" s="7">
        <v>1450.43</v>
      </c>
      <c r="M308" s="7">
        <v>1994.67</v>
      </c>
      <c r="N308" s="5">
        <v>0.1</v>
      </c>
      <c r="O308">
        <v>24</v>
      </c>
      <c r="P308" s="2">
        <f t="shared" si="36"/>
        <v>45742</v>
      </c>
      <c r="Q308" t="str">
        <f t="shared" si="37"/>
        <v>Ok</v>
      </c>
      <c r="R308">
        <f>ABS(Table2[[#This Row],[UnitPrice]])</f>
        <v>1994.67</v>
      </c>
      <c r="S308">
        <f t="shared" si="38"/>
        <v>1</v>
      </c>
      <c r="T308" s="12">
        <f t="shared" si="39"/>
        <v>43084.872000000003</v>
      </c>
      <c r="U308">
        <f>Table2[[#This Row],[UnitCost]]*Table2[[#This Row],[Quantity]]</f>
        <v>34810.32</v>
      </c>
      <c r="V308" s="13">
        <f t="shared" si="40"/>
        <v>8274.5520000000033</v>
      </c>
      <c r="W308" s="5">
        <f t="shared" si="41"/>
        <v>0.19205237513529116</v>
      </c>
      <c r="X308" s="17" t="str">
        <f t="shared" si="42"/>
        <v>Mar-2025</v>
      </c>
      <c r="Z308" t="str">
        <f t="shared" si="43"/>
        <v>Africa. Nigeria. Lagos</v>
      </c>
      <c r="AA308" t="str">
        <f t="shared" si="44"/>
        <v>High</v>
      </c>
      <c r="AB308" t="str">
        <f t="array" ref="AB308">TEXT(MIN(IF($E$2:$E$633=E308, $B$2:$B$633)), "YYYY-MM")</f>
        <v>2023-01</v>
      </c>
      <c r="AC308" s="13">
        <f>SUM($T$2:T308)</f>
        <v>5159404.7329600016</v>
      </c>
    </row>
    <row r="309" spans="1:29" x14ac:dyDescent="0.45">
      <c r="A309" t="s">
        <v>321</v>
      </c>
      <c r="B309" s="2">
        <v>45795</v>
      </c>
      <c r="C309" s="2">
        <v>45817</v>
      </c>
      <c r="D309" t="s">
        <v>648</v>
      </c>
      <c r="E309" t="s">
        <v>660</v>
      </c>
      <c r="F309" t="s">
        <v>700</v>
      </c>
      <c r="G309" t="s">
        <v>704</v>
      </c>
      <c r="H309" s="9" t="s">
        <v>707</v>
      </c>
      <c r="I309" s="9" t="s">
        <v>722</v>
      </c>
      <c r="J309" s="9" t="s">
        <v>729</v>
      </c>
      <c r="K309" t="s">
        <v>1041</v>
      </c>
      <c r="L309" s="7">
        <v>382.96</v>
      </c>
      <c r="M309" s="7">
        <v>552.84</v>
      </c>
      <c r="N309" s="5">
        <v>0.17599999999999999</v>
      </c>
      <c r="O309">
        <v>8</v>
      </c>
      <c r="P309" s="2">
        <f t="shared" si="36"/>
        <v>45817</v>
      </c>
      <c r="Q309" t="str">
        <f t="shared" si="37"/>
        <v>Ok</v>
      </c>
      <c r="R309">
        <f>ABS(Table2[[#This Row],[UnitPrice]])</f>
        <v>552.84</v>
      </c>
      <c r="S309">
        <f t="shared" si="38"/>
        <v>22</v>
      </c>
      <c r="T309" s="12">
        <f t="shared" si="39"/>
        <v>3644.3212800000006</v>
      </c>
      <c r="U309">
        <f>Table2[[#This Row],[UnitCost]]*Table2[[#This Row],[Quantity]]</f>
        <v>3063.68</v>
      </c>
      <c r="V309" s="13">
        <f t="shared" si="40"/>
        <v>580.64128000000073</v>
      </c>
      <c r="W309" s="5">
        <f t="shared" si="41"/>
        <v>0.15932768693763483</v>
      </c>
      <c r="X309" s="17" t="str">
        <f t="shared" si="42"/>
        <v>May-2025</v>
      </c>
      <c r="Z309" t="str">
        <f t="shared" si="43"/>
        <v>Americas. USA. New York</v>
      </c>
      <c r="AA309" t="str">
        <f t="shared" si="44"/>
        <v>Low</v>
      </c>
      <c r="AB309" t="str">
        <f t="array" ref="AB309">TEXT(MIN(IF($E$2:$E$633=E309, $B$2:$B$633)), "YYYY-MM")</f>
        <v>2023-01</v>
      </c>
      <c r="AC309" s="13">
        <f>SUM($T$2:T309)</f>
        <v>5163049.0542400014</v>
      </c>
    </row>
    <row r="310" spans="1:29" x14ac:dyDescent="0.45">
      <c r="A310" t="s">
        <v>322</v>
      </c>
      <c r="B310" s="2">
        <v>45679</v>
      </c>
      <c r="C310" s="2">
        <v>45692</v>
      </c>
      <c r="D310" t="s">
        <v>647</v>
      </c>
      <c r="E310" t="s">
        <v>652</v>
      </c>
      <c r="F310" t="s">
        <v>689</v>
      </c>
      <c r="G310" t="s">
        <v>705</v>
      </c>
      <c r="H310" s="9" t="s">
        <v>710</v>
      </c>
      <c r="I310" s="9" t="s">
        <v>716</v>
      </c>
      <c r="J310" s="9" t="s">
        <v>728</v>
      </c>
      <c r="K310" t="s">
        <v>1042</v>
      </c>
      <c r="L310" s="7">
        <v>122.29</v>
      </c>
      <c r="M310" s="7">
        <v>224.95</v>
      </c>
      <c r="N310" s="5">
        <v>0.153</v>
      </c>
      <c r="O310">
        <v>28</v>
      </c>
      <c r="P310" s="2">
        <f t="shared" si="36"/>
        <v>45692</v>
      </c>
      <c r="Q310" t="str">
        <f t="shared" si="37"/>
        <v>Ok</v>
      </c>
      <c r="R310">
        <f>ABS(Table2[[#This Row],[UnitPrice]])</f>
        <v>224.95</v>
      </c>
      <c r="S310">
        <f t="shared" si="38"/>
        <v>13</v>
      </c>
      <c r="T310" s="12">
        <f t="shared" si="39"/>
        <v>5334.9141999999993</v>
      </c>
      <c r="U310">
        <f>Table2[[#This Row],[UnitCost]]*Table2[[#This Row],[Quantity]]</f>
        <v>3424.1200000000003</v>
      </c>
      <c r="V310" s="13">
        <f t="shared" si="40"/>
        <v>1910.7941999999989</v>
      </c>
      <c r="W310" s="5">
        <f t="shared" si="41"/>
        <v>0.3581677471026618</v>
      </c>
      <c r="X310" s="17" t="str">
        <f t="shared" si="42"/>
        <v>Jan-2025</v>
      </c>
      <c r="Z310" t="str">
        <f t="shared" si="43"/>
        <v>Asia. Japan. Tokyo</v>
      </c>
      <c r="AA310" t="str">
        <f t="shared" si="44"/>
        <v>Low</v>
      </c>
      <c r="AB310" t="str">
        <f t="array" ref="AB310">TEXT(MIN(IF($E$2:$E$633=E310, $B$2:$B$633)), "YYYY-MM")</f>
        <v>2023-03</v>
      </c>
      <c r="AC310" s="13">
        <f>SUM($T$2:T310)</f>
        <v>5168383.9684400018</v>
      </c>
    </row>
    <row r="311" spans="1:29" x14ac:dyDescent="0.45">
      <c r="A311" t="s">
        <v>323</v>
      </c>
      <c r="B311" s="2">
        <v>44936</v>
      </c>
      <c r="C311" s="2">
        <v>44955</v>
      </c>
      <c r="D311" t="s">
        <v>649</v>
      </c>
      <c r="E311" t="s">
        <v>657</v>
      </c>
      <c r="F311" t="s">
        <v>679</v>
      </c>
      <c r="G311" t="s">
        <v>703</v>
      </c>
      <c r="H311" s="9" t="s">
        <v>711</v>
      </c>
      <c r="I311" s="9" t="s">
        <v>726</v>
      </c>
      <c r="J311" s="9" t="s">
        <v>731</v>
      </c>
      <c r="K311" t="s">
        <v>1043</v>
      </c>
      <c r="L311" s="7">
        <v>401.66</v>
      </c>
      <c r="M311" s="7">
        <v>772.09</v>
      </c>
      <c r="N311" s="5">
        <v>8.8999999999999996E-2</v>
      </c>
      <c r="O311">
        <v>14</v>
      </c>
      <c r="P311" s="2">
        <f t="shared" si="36"/>
        <v>44955</v>
      </c>
      <c r="Q311" t="str">
        <f t="shared" si="37"/>
        <v>Ok</v>
      </c>
      <c r="R311">
        <f>ABS(Table2[[#This Row],[UnitPrice]])</f>
        <v>772.09</v>
      </c>
      <c r="S311">
        <f t="shared" si="38"/>
        <v>19</v>
      </c>
      <c r="T311" s="12">
        <f t="shared" si="39"/>
        <v>9847.2358600000007</v>
      </c>
      <c r="U311">
        <f>Table2[[#This Row],[UnitCost]]*Table2[[#This Row],[Quantity]]</f>
        <v>5623.2400000000007</v>
      </c>
      <c r="V311" s="13">
        <f t="shared" si="40"/>
        <v>4223.99586</v>
      </c>
      <c r="W311" s="5">
        <f t="shared" si="41"/>
        <v>0.42895244107619046</v>
      </c>
      <c r="X311" s="17" t="str">
        <f t="shared" si="42"/>
        <v>Jan-2023</v>
      </c>
      <c r="Z311" t="str">
        <f t="shared" si="43"/>
        <v>Europe. France. Lyon</v>
      </c>
      <c r="AA311" t="str">
        <f t="shared" si="44"/>
        <v>Low</v>
      </c>
      <c r="AB311" t="str">
        <f t="array" ref="AB311">TEXT(MIN(IF($E$2:$E$633=E311, $B$2:$B$633)), "YYYY-MM")</f>
        <v>2023-01</v>
      </c>
      <c r="AC311" s="13">
        <f>SUM($T$2:T311)</f>
        <v>5178231.2043000022</v>
      </c>
    </row>
    <row r="312" spans="1:29" x14ac:dyDescent="0.45">
      <c r="A312" t="s">
        <v>324</v>
      </c>
      <c r="B312" s="2">
        <v>45655</v>
      </c>
      <c r="C312" s="2">
        <v>45669</v>
      </c>
      <c r="D312" t="s">
        <v>649</v>
      </c>
      <c r="E312" t="s">
        <v>658</v>
      </c>
      <c r="F312" t="s">
        <v>693</v>
      </c>
      <c r="G312" t="s">
        <v>701</v>
      </c>
      <c r="H312" s="9" t="s">
        <v>711</v>
      </c>
      <c r="I312" s="9" t="s">
        <v>717</v>
      </c>
      <c r="J312" s="9" t="s">
        <v>732</v>
      </c>
      <c r="K312" t="s">
        <v>1044</v>
      </c>
      <c r="L312" s="7">
        <v>1399.72</v>
      </c>
      <c r="M312" s="7">
        <v>3149.21</v>
      </c>
      <c r="N312" s="5">
        <v>0.185</v>
      </c>
      <c r="O312">
        <v>12</v>
      </c>
      <c r="P312" s="2">
        <f t="shared" si="36"/>
        <v>45669</v>
      </c>
      <c r="Q312" t="str">
        <f t="shared" si="37"/>
        <v>Ok</v>
      </c>
      <c r="R312">
        <f>ABS(Table2[[#This Row],[UnitPrice]])</f>
        <v>3149.21</v>
      </c>
      <c r="S312">
        <f t="shared" si="38"/>
        <v>14</v>
      </c>
      <c r="T312" s="12">
        <f t="shared" si="39"/>
        <v>30799.273800000003</v>
      </c>
      <c r="U312">
        <f>Table2[[#This Row],[UnitCost]]*Table2[[#This Row],[Quantity]]</f>
        <v>16796.64</v>
      </c>
      <c r="V312" s="13">
        <f t="shared" si="40"/>
        <v>14002.633800000003</v>
      </c>
      <c r="W312" s="5">
        <f t="shared" si="41"/>
        <v>0.45464168703873797</v>
      </c>
      <c r="X312" s="17" t="str">
        <f t="shared" si="42"/>
        <v>Dec-2024</v>
      </c>
      <c r="Z312" t="str">
        <f t="shared" si="43"/>
        <v>Europe. United Kingdom. Manchester</v>
      </c>
      <c r="AA312" t="str">
        <f t="shared" si="44"/>
        <v>High</v>
      </c>
      <c r="AB312" t="str">
        <f t="array" ref="AB312">TEXT(MIN(IF($E$2:$E$633=E312, $B$2:$B$633)), "YYYY-MM")</f>
        <v>2023-01</v>
      </c>
      <c r="AC312" s="13">
        <f>SUM($T$2:T312)</f>
        <v>5209030.4781000018</v>
      </c>
    </row>
    <row r="313" spans="1:29" x14ac:dyDescent="0.45">
      <c r="A313" t="s">
        <v>325</v>
      </c>
      <c r="B313" s="2">
        <v>45435</v>
      </c>
      <c r="C313" s="2">
        <v>45449</v>
      </c>
      <c r="D313" t="s">
        <v>648</v>
      </c>
      <c r="E313" t="s">
        <v>655</v>
      </c>
      <c r="F313" t="s">
        <v>692</v>
      </c>
      <c r="G313" t="s">
        <v>703</v>
      </c>
      <c r="H313" s="9" t="s">
        <v>708</v>
      </c>
      <c r="I313" s="9" t="s">
        <v>714</v>
      </c>
      <c r="J313" s="9" t="s">
        <v>729</v>
      </c>
      <c r="K313" t="s">
        <v>1045</v>
      </c>
      <c r="L313" s="7">
        <v>51.13</v>
      </c>
      <c r="M313" s="7">
        <v>57.53</v>
      </c>
      <c r="N313" s="5">
        <v>4.4999999999999998E-2</v>
      </c>
      <c r="O313">
        <v>16</v>
      </c>
      <c r="P313" s="2">
        <f t="shared" si="36"/>
        <v>45449</v>
      </c>
      <c r="Q313" t="str">
        <f t="shared" si="37"/>
        <v>Ok</v>
      </c>
      <c r="R313">
        <f>ABS(Table2[[#This Row],[UnitPrice]])</f>
        <v>57.53</v>
      </c>
      <c r="S313">
        <f t="shared" si="38"/>
        <v>14</v>
      </c>
      <c r="T313" s="12">
        <f t="shared" si="39"/>
        <v>879.05840000000001</v>
      </c>
      <c r="U313">
        <f>Table2[[#This Row],[UnitCost]]*Table2[[#This Row],[Quantity]]</f>
        <v>818.08</v>
      </c>
      <c r="V313" s="13">
        <f t="shared" si="40"/>
        <v>60.978399999999965</v>
      </c>
      <c r="W313" s="5">
        <f t="shared" si="41"/>
        <v>6.9367859973808302E-2</v>
      </c>
      <c r="X313" s="17" t="str">
        <f t="shared" si="42"/>
        <v>May-2024</v>
      </c>
      <c r="Z313" t="str">
        <f t="shared" si="43"/>
        <v>Americas. Brazil. Rio de Janeiro</v>
      </c>
      <c r="AA313" t="str">
        <f t="shared" si="44"/>
        <v>Low</v>
      </c>
      <c r="AB313" t="str">
        <f t="array" ref="AB313">TEXT(MIN(IF($E$2:$E$633=E313, $B$2:$B$633)), "YYYY-MM")</f>
        <v>2023-01</v>
      </c>
      <c r="AC313" s="13">
        <f>SUM($T$2:T313)</f>
        <v>5209909.5365000023</v>
      </c>
    </row>
    <row r="314" spans="1:29" x14ac:dyDescent="0.45">
      <c r="A314" t="s">
        <v>326</v>
      </c>
      <c r="B314" s="2">
        <v>45101</v>
      </c>
      <c r="C314" s="2">
        <v>45099</v>
      </c>
      <c r="D314" t="s">
        <v>648</v>
      </c>
      <c r="E314" t="s">
        <v>653</v>
      </c>
      <c r="F314" t="s">
        <v>667</v>
      </c>
      <c r="G314" t="s">
        <v>703</v>
      </c>
      <c r="H314" s="9" t="s">
        <v>707</v>
      </c>
      <c r="I314" s="9" t="s">
        <v>724</v>
      </c>
      <c r="J314" s="9" t="s">
        <v>733</v>
      </c>
      <c r="K314" t="s">
        <v>1046</v>
      </c>
      <c r="L314" s="7">
        <v>471.42</v>
      </c>
      <c r="M314" s="7">
        <v>824.81</v>
      </c>
      <c r="N314" s="5">
        <v>8.7999999999999995E-2</v>
      </c>
      <c r="O314">
        <v>15</v>
      </c>
      <c r="P314" s="2">
        <f t="shared" si="36"/>
        <v>45108</v>
      </c>
      <c r="Q314" t="str">
        <f t="shared" si="37"/>
        <v>Ok</v>
      </c>
      <c r="R314">
        <f>ABS(Table2[[#This Row],[UnitPrice]])</f>
        <v>824.81</v>
      </c>
      <c r="S314">
        <f t="shared" si="38"/>
        <v>7</v>
      </c>
      <c r="T314" s="12">
        <f t="shared" si="39"/>
        <v>11283.400799999999</v>
      </c>
      <c r="U314">
        <f>Table2[[#This Row],[UnitCost]]*Table2[[#This Row],[Quantity]]</f>
        <v>7071.3</v>
      </c>
      <c r="V314" s="13">
        <f t="shared" si="40"/>
        <v>4212.1007999999993</v>
      </c>
      <c r="W314" s="5">
        <f t="shared" si="41"/>
        <v>0.37330064531608231</v>
      </c>
      <c r="X314" s="17" t="str">
        <f t="shared" si="42"/>
        <v>Jun-2023</v>
      </c>
      <c r="Z314" t="str">
        <f t="shared" si="43"/>
        <v>Americas. Canada. Toronto</v>
      </c>
      <c r="AA314" t="str">
        <f t="shared" si="44"/>
        <v>Low</v>
      </c>
      <c r="AB314" t="str">
        <f t="array" ref="AB314">TEXT(MIN(IF($E$2:$E$633=E314, $B$2:$B$633)), "YYYY-MM")</f>
        <v>2023-01</v>
      </c>
      <c r="AC314" s="13">
        <f>SUM($T$2:T314)</f>
        <v>5221192.9373000022</v>
      </c>
    </row>
    <row r="315" spans="1:29" x14ac:dyDescent="0.45">
      <c r="A315" t="s">
        <v>327</v>
      </c>
      <c r="B315" s="2">
        <v>45600</v>
      </c>
      <c r="C315" s="2">
        <v>45601</v>
      </c>
      <c r="D315" t="s">
        <v>649</v>
      </c>
      <c r="E315" t="s">
        <v>658</v>
      </c>
      <c r="F315" t="s">
        <v>683</v>
      </c>
      <c r="G315" t="s">
        <v>701</v>
      </c>
      <c r="H315" s="9" t="s">
        <v>707</v>
      </c>
      <c r="I315" s="9" t="s">
        <v>724</v>
      </c>
      <c r="J315" s="9" t="s">
        <v>728</v>
      </c>
      <c r="K315" t="s">
        <v>1047</v>
      </c>
      <c r="L315" s="7">
        <v>840.68</v>
      </c>
      <c r="M315" s="7">
        <v>1493.53</v>
      </c>
      <c r="N315" s="5">
        <v>0</v>
      </c>
      <c r="O315">
        <v>27</v>
      </c>
      <c r="P315" s="2">
        <f t="shared" si="36"/>
        <v>45601</v>
      </c>
      <c r="Q315" t="str">
        <f t="shared" si="37"/>
        <v>Ok</v>
      </c>
      <c r="R315">
        <f>ABS(Table2[[#This Row],[UnitPrice]])</f>
        <v>1493.53</v>
      </c>
      <c r="S315">
        <f t="shared" si="38"/>
        <v>1</v>
      </c>
      <c r="T315" s="12">
        <f t="shared" si="39"/>
        <v>40325.31</v>
      </c>
      <c r="U315">
        <f>Table2[[#This Row],[UnitCost]]*Table2[[#This Row],[Quantity]]</f>
        <v>22698.359999999997</v>
      </c>
      <c r="V315" s="13">
        <f t="shared" si="40"/>
        <v>17626.95</v>
      </c>
      <c r="W315" s="5">
        <f t="shared" si="41"/>
        <v>0.43711877230454027</v>
      </c>
      <c r="X315" s="17" t="str">
        <f t="shared" si="42"/>
        <v>Nov-2024</v>
      </c>
      <c r="Z315" t="str">
        <f t="shared" si="43"/>
        <v>Europe. United Kingdom. London</v>
      </c>
      <c r="AA315" t="str">
        <f t="shared" si="44"/>
        <v>High</v>
      </c>
      <c r="AB315" t="str">
        <f t="array" ref="AB315">TEXT(MIN(IF($E$2:$E$633=E315, $B$2:$B$633)), "YYYY-MM")</f>
        <v>2023-01</v>
      </c>
      <c r="AC315" s="13">
        <f>SUM($T$2:T315)</f>
        <v>5261518.2473000018</v>
      </c>
    </row>
    <row r="316" spans="1:29" x14ac:dyDescent="0.45">
      <c r="A316" t="s">
        <v>328</v>
      </c>
      <c r="B316" s="2">
        <v>45451</v>
      </c>
      <c r="C316" s="2">
        <v>45467</v>
      </c>
      <c r="D316" t="s">
        <v>646</v>
      </c>
      <c r="E316" t="s">
        <v>661</v>
      </c>
      <c r="F316" t="s">
        <v>687</v>
      </c>
      <c r="G316" t="s">
        <v>702</v>
      </c>
      <c r="H316" s="9" t="s">
        <v>710</v>
      </c>
      <c r="I316" s="9" t="s">
        <v>722</v>
      </c>
      <c r="J316" s="9" t="s">
        <v>732</v>
      </c>
      <c r="K316" t="s">
        <v>1048</v>
      </c>
      <c r="L316" s="7">
        <v>597.85</v>
      </c>
      <c r="M316" s="7">
        <v>741.92</v>
      </c>
      <c r="N316" s="5">
        <v>3.1E-2</v>
      </c>
      <c r="O316">
        <v>7</v>
      </c>
      <c r="P316" s="2">
        <f t="shared" si="36"/>
        <v>45467</v>
      </c>
      <c r="Q316" t="str">
        <f t="shared" si="37"/>
        <v>Ok</v>
      </c>
      <c r="R316">
        <f>ABS(Table2[[#This Row],[UnitPrice]])</f>
        <v>741.92</v>
      </c>
      <c r="S316">
        <f t="shared" si="38"/>
        <v>16</v>
      </c>
      <c r="T316" s="12">
        <f t="shared" si="39"/>
        <v>5032.4433599999993</v>
      </c>
      <c r="U316">
        <f>Table2[[#This Row],[UnitCost]]*Table2[[#This Row],[Quantity]]</f>
        <v>4184.95</v>
      </c>
      <c r="V316" s="13">
        <f t="shared" si="40"/>
        <v>847.49335999999948</v>
      </c>
      <c r="W316" s="5">
        <f t="shared" si="41"/>
        <v>0.16840594108544515</v>
      </c>
      <c r="X316" s="17" t="str">
        <f t="shared" si="42"/>
        <v>Jun-2024</v>
      </c>
      <c r="Z316" t="str">
        <f t="shared" si="43"/>
        <v>Africa. South Africa. Durban</v>
      </c>
      <c r="AA316" t="str">
        <f t="shared" si="44"/>
        <v>Low</v>
      </c>
      <c r="AB316" t="str">
        <f t="array" ref="AB316">TEXT(MIN(IF($E$2:$E$633=E316, $B$2:$B$633)), "YYYY-MM")</f>
        <v>2023-01</v>
      </c>
      <c r="AC316" s="13">
        <f>SUM($T$2:T316)</f>
        <v>5266550.6906600017</v>
      </c>
    </row>
    <row r="317" spans="1:29" x14ac:dyDescent="0.45">
      <c r="A317" t="s">
        <v>329</v>
      </c>
      <c r="B317" s="2">
        <v>45809</v>
      </c>
      <c r="C317" s="2">
        <v>45814</v>
      </c>
      <c r="D317" t="s">
        <v>649</v>
      </c>
      <c r="E317" t="s">
        <v>657</v>
      </c>
      <c r="F317" t="s">
        <v>690</v>
      </c>
      <c r="G317" t="s">
        <v>704</v>
      </c>
      <c r="H317" s="9" t="s">
        <v>710</v>
      </c>
      <c r="I317" s="9" t="s">
        <v>715</v>
      </c>
      <c r="J317" s="9" t="s">
        <v>727</v>
      </c>
      <c r="K317" t="s">
        <v>1049</v>
      </c>
      <c r="L317" s="7">
        <v>379.45</v>
      </c>
      <c r="M317" s="7">
        <v>742.23</v>
      </c>
      <c r="N317" s="5">
        <v>0.09</v>
      </c>
      <c r="O317">
        <v>13</v>
      </c>
      <c r="P317" s="2">
        <f t="shared" si="36"/>
        <v>45814</v>
      </c>
      <c r="Q317" t="str">
        <f t="shared" si="37"/>
        <v>Ok</v>
      </c>
      <c r="R317">
        <f>ABS(Table2[[#This Row],[UnitPrice]])</f>
        <v>742.23</v>
      </c>
      <c r="S317">
        <f t="shared" si="38"/>
        <v>5</v>
      </c>
      <c r="T317" s="12">
        <f t="shared" si="39"/>
        <v>8780.5809000000008</v>
      </c>
      <c r="U317">
        <f>Table2[[#This Row],[UnitCost]]*Table2[[#This Row],[Quantity]]</f>
        <v>4932.8499999999995</v>
      </c>
      <c r="V317" s="13">
        <f t="shared" si="40"/>
        <v>3847.7309000000014</v>
      </c>
      <c r="W317" s="5">
        <f t="shared" si="41"/>
        <v>0.43820915083192286</v>
      </c>
      <c r="X317" s="17" t="str">
        <f t="shared" si="42"/>
        <v>Jun-2025</v>
      </c>
      <c r="Z317" t="str">
        <f t="shared" si="43"/>
        <v>Europe. France. Paris</v>
      </c>
      <c r="AA317" t="str">
        <f t="shared" si="44"/>
        <v>Low</v>
      </c>
      <c r="AB317" t="str">
        <f t="array" ref="AB317">TEXT(MIN(IF($E$2:$E$633=E317, $B$2:$B$633)), "YYYY-MM")</f>
        <v>2023-01</v>
      </c>
      <c r="AC317" s="13">
        <f>SUM($T$2:T317)</f>
        <v>5275331.2715600021</v>
      </c>
    </row>
    <row r="318" spans="1:29" x14ac:dyDescent="0.45">
      <c r="A318" t="s">
        <v>330</v>
      </c>
      <c r="B318" s="2">
        <v>45052</v>
      </c>
      <c r="C318" s="2">
        <v>45060</v>
      </c>
      <c r="D318" t="s">
        <v>647</v>
      </c>
      <c r="E318" t="s">
        <v>652</v>
      </c>
      <c r="F318" t="s">
        <v>666</v>
      </c>
      <c r="G318" t="s">
        <v>706</v>
      </c>
      <c r="H318" s="9" t="s">
        <v>709</v>
      </c>
      <c r="I318" s="9" t="s">
        <v>717</v>
      </c>
      <c r="J318" s="9" t="s">
        <v>730</v>
      </c>
      <c r="K318" t="s">
        <v>1050</v>
      </c>
      <c r="L318" s="7">
        <v>291.18</v>
      </c>
      <c r="M318" s="7">
        <v>479.54</v>
      </c>
      <c r="N318" s="5">
        <v>0.14099999999999999</v>
      </c>
      <c r="O318">
        <v>22</v>
      </c>
      <c r="P318" s="2">
        <f t="shared" si="36"/>
        <v>45060</v>
      </c>
      <c r="Q318" t="str">
        <f t="shared" si="37"/>
        <v>Ok</v>
      </c>
      <c r="R318">
        <f>ABS(Table2[[#This Row],[UnitPrice]])</f>
        <v>479.54</v>
      </c>
      <c r="S318">
        <f t="shared" si="38"/>
        <v>8</v>
      </c>
      <c r="T318" s="12">
        <f t="shared" si="39"/>
        <v>9062.34692</v>
      </c>
      <c r="U318">
        <f>Table2[[#This Row],[UnitCost]]*Table2[[#This Row],[Quantity]]</f>
        <v>6405.96</v>
      </c>
      <c r="V318" s="13">
        <f t="shared" si="40"/>
        <v>2656.3869199999999</v>
      </c>
      <c r="W318" s="5">
        <f t="shared" si="41"/>
        <v>0.29312350801066001</v>
      </c>
      <c r="X318" s="17" t="str">
        <f t="shared" si="42"/>
        <v>May-2023</v>
      </c>
      <c r="Z318" t="str">
        <f t="shared" si="43"/>
        <v>Asia. Japan. Osaka</v>
      </c>
      <c r="AA318" t="str">
        <f t="shared" si="44"/>
        <v>Low</v>
      </c>
      <c r="AB318" t="str">
        <f t="array" ref="AB318">TEXT(MIN(IF($E$2:$E$633=E318, $B$2:$B$633)), "YYYY-MM")</f>
        <v>2023-03</v>
      </c>
      <c r="AC318" s="13">
        <f>SUM($T$2:T318)</f>
        <v>5284393.6184800025</v>
      </c>
    </row>
    <row r="319" spans="1:29" x14ac:dyDescent="0.45">
      <c r="A319" t="s">
        <v>331</v>
      </c>
      <c r="B319" s="2">
        <v>45244</v>
      </c>
      <c r="C319" s="2">
        <v>45260</v>
      </c>
      <c r="D319" t="s">
        <v>648</v>
      </c>
      <c r="E319" t="s">
        <v>655</v>
      </c>
      <c r="F319" t="s">
        <v>670</v>
      </c>
      <c r="G319" t="s">
        <v>706</v>
      </c>
      <c r="H319" s="9" t="s">
        <v>711</v>
      </c>
      <c r="I319" s="9" t="s">
        <v>723</v>
      </c>
      <c r="J319" s="9" t="s">
        <v>729</v>
      </c>
      <c r="K319" t="s">
        <v>1051</v>
      </c>
      <c r="L319" s="7">
        <v>1017.92</v>
      </c>
      <c r="M319" s="7">
        <v>1175.25</v>
      </c>
      <c r="N319" s="5">
        <v>7.4999999999999997E-2</v>
      </c>
      <c r="O319">
        <v>15</v>
      </c>
      <c r="P319" s="2">
        <f t="shared" si="36"/>
        <v>45260</v>
      </c>
      <c r="Q319" t="str">
        <f t="shared" si="37"/>
        <v>Ok</v>
      </c>
      <c r="R319">
        <f>ABS(Table2[[#This Row],[UnitPrice]])</f>
        <v>1175.25</v>
      </c>
      <c r="S319">
        <f t="shared" si="38"/>
        <v>16</v>
      </c>
      <c r="T319" s="12">
        <f t="shared" si="39"/>
        <v>16306.59375</v>
      </c>
      <c r="U319">
        <f>Table2[[#This Row],[UnitCost]]*Table2[[#This Row],[Quantity]]</f>
        <v>15268.8</v>
      </c>
      <c r="V319" s="13">
        <f t="shared" si="40"/>
        <v>1037.7937500000007</v>
      </c>
      <c r="W319" s="5">
        <f t="shared" si="41"/>
        <v>6.3642583234159542E-2</v>
      </c>
      <c r="X319" s="17" t="str">
        <f t="shared" si="42"/>
        <v>Nov-2023</v>
      </c>
      <c r="Z319" t="str">
        <f t="shared" si="43"/>
        <v>Americas. Brazil. São Paulo</v>
      </c>
      <c r="AA319" t="str">
        <f t="shared" si="44"/>
        <v>Low</v>
      </c>
      <c r="AB319" t="str">
        <f t="array" ref="AB319">TEXT(MIN(IF($E$2:$E$633=E319, $B$2:$B$633)), "YYYY-MM")</f>
        <v>2023-01</v>
      </c>
      <c r="AC319" s="13">
        <f>SUM($T$2:T319)</f>
        <v>5300700.2122300025</v>
      </c>
    </row>
    <row r="320" spans="1:29" x14ac:dyDescent="0.45">
      <c r="A320" t="s">
        <v>332</v>
      </c>
      <c r="B320" s="2">
        <v>45748</v>
      </c>
      <c r="C320" s="2">
        <v>45774</v>
      </c>
      <c r="D320" t="s">
        <v>648</v>
      </c>
      <c r="E320" t="s">
        <v>660</v>
      </c>
      <c r="F320" t="s">
        <v>686</v>
      </c>
      <c r="G320" t="s">
        <v>701</v>
      </c>
      <c r="H320" s="9" t="s">
        <v>711</v>
      </c>
      <c r="I320" s="9" t="s">
        <v>714</v>
      </c>
      <c r="J320" s="9" t="s">
        <v>732</v>
      </c>
      <c r="K320" t="s">
        <v>1052</v>
      </c>
      <c r="L320" s="7">
        <v>156.55000000000001</v>
      </c>
      <c r="M320" s="7">
        <v>227.45</v>
      </c>
      <c r="N320" s="5">
        <v>1.4E-2</v>
      </c>
      <c r="O320">
        <v>13</v>
      </c>
      <c r="P320" s="2">
        <f t="shared" si="36"/>
        <v>45774</v>
      </c>
      <c r="Q320" t="str">
        <f t="shared" si="37"/>
        <v>Ok</v>
      </c>
      <c r="R320">
        <f>ABS(Table2[[#This Row],[UnitPrice]])</f>
        <v>227.45</v>
      </c>
      <c r="S320">
        <f t="shared" si="38"/>
        <v>26</v>
      </c>
      <c r="T320" s="12">
        <f t="shared" si="39"/>
        <v>2915.4540999999999</v>
      </c>
      <c r="U320">
        <f>Table2[[#This Row],[UnitCost]]*Table2[[#This Row],[Quantity]]</f>
        <v>2035.15</v>
      </c>
      <c r="V320" s="13">
        <f t="shared" si="40"/>
        <v>880.30409999999983</v>
      </c>
      <c r="W320" s="5">
        <f t="shared" si="41"/>
        <v>0.3019440779396938</v>
      </c>
      <c r="X320" s="17" t="str">
        <f t="shared" si="42"/>
        <v>Apr-2025</v>
      </c>
      <c r="Z320" t="str">
        <f t="shared" si="43"/>
        <v>Americas. USA. San Francisco</v>
      </c>
      <c r="AA320" t="str">
        <f t="shared" si="44"/>
        <v>Low</v>
      </c>
      <c r="AB320" t="str">
        <f t="array" ref="AB320">TEXT(MIN(IF($E$2:$E$633=E320, $B$2:$B$633)), "YYYY-MM")</f>
        <v>2023-01</v>
      </c>
      <c r="AC320" s="13">
        <f>SUM($T$2:T320)</f>
        <v>5303615.6663300022</v>
      </c>
    </row>
    <row r="321" spans="1:29" x14ac:dyDescent="0.45">
      <c r="A321" t="s">
        <v>333</v>
      </c>
      <c r="B321" s="2">
        <v>45008</v>
      </c>
      <c r="C321" s="2">
        <v>45031</v>
      </c>
      <c r="D321" t="s">
        <v>646</v>
      </c>
      <c r="E321" t="s">
        <v>650</v>
      </c>
      <c r="F321" t="s">
        <v>675</v>
      </c>
      <c r="G321" t="s">
        <v>705</v>
      </c>
      <c r="H321" s="9" t="s">
        <v>707</v>
      </c>
      <c r="I321" s="9" t="s">
        <v>712</v>
      </c>
      <c r="J321" s="9" t="s">
        <v>733</v>
      </c>
      <c r="K321" t="s">
        <v>1053</v>
      </c>
      <c r="L321" s="7">
        <v>875.36</v>
      </c>
      <c r="M321" s="7">
        <v>1178.6199999999999</v>
      </c>
      <c r="N321" s="5">
        <v>0.151</v>
      </c>
      <c r="O321">
        <v>53</v>
      </c>
      <c r="P321" s="2">
        <f t="shared" si="36"/>
        <v>45031</v>
      </c>
      <c r="Q321" t="str">
        <f t="shared" si="37"/>
        <v>Ok</v>
      </c>
      <c r="R321">
        <f>ABS(Table2[[#This Row],[UnitPrice]])</f>
        <v>1178.6199999999999</v>
      </c>
      <c r="S321">
        <f t="shared" si="38"/>
        <v>23</v>
      </c>
      <c r="T321" s="12">
        <f t="shared" si="39"/>
        <v>53034.364139999991</v>
      </c>
      <c r="U321">
        <f>Table2[[#This Row],[UnitCost]]*Table2[[#This Row],[Quantity]]</f>
        <v>46394.080000000002</v>
      </c>
      <c r="V321" s="13">
        <f t="shared" si="40"/>
        <v>6640.2841399999888</v>
      </c>
      <c r="W321" s="5">
        <f t="shared" si="41"/>
        <v>0.12520719815685888</v>
      </c>
      <c r="X321" s="17" t="str">
        <f t="shared" si="42"/>
        <v>Mar-2023</v>
      </c>
      <c r="Z321" t="str">
        <f t="shared" si="43"/>
        <v>Africa. Kenya. Mombasa</v>
      </c>
      <c r="AA321" t="str">
        <f t="shared" si="44"/>
        <v>Low</v>
      </c>
      <c r="AB321" t="str">
        <f t="array" ref="AB321">TEXT(MIN(IF($E$2:$E$633=E321, $B$2:$B$633)), "YYYY-MM")</f>
        <v>2023-01</v>
      </c>
      <c r="AC321" s="13">
        <f>SUM($T$2:T321)</f>
        <v>5356650.0304700024</v>
      </c>
    </row>
    <row r="322" spans="1:29" x14ac:dyDescent="0.45">
      <c r="A322" t="s">
        <v>334</v>
      </c>
      <c r="B322" s="2">
        <v>45440</v>
      </c>
      <c r="C322" s="2">
        <v>45461</v>
      </c>
      <c r="D322" t="s">
        <v>649</v>
      </c>
      <c r="E322" t="s">
        <v>656</v>
      </c>
      <c r="F322" t="s">
        <v>698</v>
      </c>
      <c r="G322" t="s">
        <v>705</v>
      </c>
      <c r="H322" s="9" t="s">
        <v>708</v>
      </c>
      <c r="I322" s="9" t="s">
        <v>718</v>
      </c>
      <c r="J322" s="9" t="s">
        <v>730</v>
      </c>
      <c r="K322" t="s">
        <v>1054</v>
      </c>
      <c r="L322" s="7">
        <v>986.85</v>
      </c>
      <c r="M322" s="7">
        <v>2422.1</v>
      </c>
      <c r="N322" s="5">
        <v>7.5999999999999998E-2</v>
      </c>
      <c r="O322">
        <v>10</v>
      </c>
      <c r="P322" s="2">
        <f t="shared" ref="P322:P385" si="45">IF(C322&lt;B322,B322+7,C322)</f>
        <v>45461</v>
      </c>
      <c r="Q322" t="str">
        <f t="shared" ref="Q322:Q385" si="46">IF(M322&lt;0, "Invalid Price","Ok")</f>
        <v>Ok</v>
      </c>
      <c r="R322">
        <f>ABS(Table2[[#This Row],[UnitPrice]])</f>
        <v>2422.1</v>
      </c>
      <c r="S322">
        <f t="shared" si="38"/>
        <v>21</v>
      </c>
      <c r="T322" s="12">
        <f t="shared" si="39"/>
        <v>22380.204000000002</v>
      </c>
      <c r="U322">
        <f>Table2[[#This Row],[UnitCost]]*Table2[[#This Row],[Quantity]]</f>
        <v>9868.5</v>
      </c>
      <c r="V322" s="13">
        <f t="shared" si="40"/>
        <v>12511.704000000002</v>
      </c>
      <c r="W322" s="5">
        <f t="shared" si="41"/>
        <v>0.55905227673527913</v>
      </c>
      <c r="X322" s="17" t="str">
        <f t="shared" si="42"/>
        <v>May-2024</v>
      </c>
      <c r="Z322" t="str">
        <f t="shared" si="43"/>
        <v>Europe. Germany. Frankfurt</v>
      </c>
      <c r="AA322" t="str">
        <f t="shared" si="44"/>
        <v>High</v>
      </c>
      <c r="AB322" t="str">
        <f t="array" ref="AB322">TEXT(MIN(IF($E$2:$E$633=E322, $B$2:$B$633)), "YYYY-MM")</f>
        <v>2023-01</v>
      </c>
      <c r="AC322" s="13">
        <f>SUM($T$2:T322)</f>
        <v>5379030.2344700024</v>
      </c>
    </row>
    <row r="323" spans="1:29" x14ac:dyDescent="0.45">
      <c r="A323" t="s">
        <v>335</v>
      </c>
      <c r="B323" s="2">
        <v>45293</v>
      </c>
      <c r="C323" s="2">
        <v>45292</v>
      </c>
      <c r="D323" t="s">
        <v>648</v>
      </c>
      <c r="E323" t="s">
        <v>660</v>
      </c>
      <c r="F323" t="s">
        <v>677</v>
      </c>
      <c r="G323" t="s">
        <v>702</v>
      </c>
      <c r="H323" s="9" t="s">
        <v>709</v>
      </c>
      <c r="I323" s="9" t="s">
        <v>717</v>
      </c>
      <c r="J323" s="9" t="s">
        <v>729</v>
      </c>
      <c r="K323" t="s">
        <v>1055</v>
      </c>
      <c r="L323" s="7">
        <v>404.77</v>
      </c>
      <c r="M323" s="7">
        <v>433.88</v>
      </c>
      <c r="N323" s="5">
        <v>0.215</v>
      </c>
      <c r="O323">
        <v>22</v>
      </c>
      <c r="P323" s="2">
        <f t="shared" si="45"/>
        <v>45300</v>
      </c>
      <c r="Q323" t="str">
        <f t="shared" si="46"/>
        <v>Ok</v>
      </c>
      <c r="R323">
        <f>ABS(Table2[[#This Row],[UnitPrice]])</f>
        <v>433.88</v>
      </c>
      <c r="S323">
        <f t="shared" ref="S323:S386" si="47">P323-B323</f>
        <v>7</v>
      </c>
      <c r="T323" s="12">
        <f t="shared" ref="T323:T386" si="48">R323*O323*(1-N323)</f>
        <v>7493.1076000000012</v>
      </c>
      <c r="U323">
        <f>Table2[[#This Row],[UnitCost]]*Table2[[#This Row],[Quantity]]</f>
        <v>8904.9399999999987</v>
      </c>
      <c r="V323" s="13">
        <f t="shared" ref="V323:V386" si="49">T323-U323</f>
        <v>-1411.8323999999975</v>
      </c>
      <c r="W323" s="5">
        <f t="shared" ref="W323:W386" si="50">IF(V323=0,0,V323/T323)</f>
        <v>-0.18841747314558746</v>
      </c>
      <c r="X323" s="17" t="str">
        <f t="shared" ref="X323:X386" si="51">TEXT(B323,"mmm-yyyy")</f>
        <v>Jan-2024</v>
      </c>
      <c r="Z323" t="str">
        <f t="shared" ref="Z323:Z386" si="52">CONCATENATE(D323,". ",E323,". ",F323)</f>
        <v>Americas. USA. Chicago</v>
      </c>
      <c r="AA323" t="str">
        <f t="shared" ref="AA323:AA386" si="53">IF(M323&lt;1193.87, "Low",IF(M323&gt;1193.87,"High","Medium"))</f>
        <v>Low</v>
      </c>
      <c r="AB323" t="str">
        <f t="array" ref="AB323">TEXT(MIN(IF($E$2:$E$633=E323, $B$2:$B$633)), "YYYY-MM")</f>
        <v>2023-01</v>
      </c>
      <c r="AC323" s="13">
        <f>SUM($T$2:T323)</f>
        <v>5386523.3420700021</v>
      </c>
    </row>
    <row r="324" spans="1:29" x14ac:dyDescent="0.45">
      <c r="A324" t="s">
        <v>336</v>
      </c>
      <c r="B324" s="2">
        <v>44985</v>
      </c>
      <c r="C324" s="2">
        <v>44984</v>
      </c>
      <c r="D324" t="s">
        <v>649</v>
      </c>
      <c r="E324" t="s">
        <v>657</v>
      </c>
      <c r="F324" t="s">
        <v>673</v>
      </c>
      <c r="G324" t="s">
        <v>701</v>
      </c>
      <c r="H324" s="9" t="s">
        <v>707</v>
      </c>
      <c r="I324" s="9" t="s">
        <v>723</v>
      </c>
      <c r="J324" s="9" t="s">
        <v>729</v>
      </c>
      <c r="K324" t="s">
        <v>1056</v>
      </c>
      <c r="L324" s="7">
        <v>1299.81</v>
      </c>
      <c r="M324" s="7">
        <v>3149.13</v>
      </c>
      <c r="N324" s="5">
        <v>0.10299999999999999</v>
      </c>
      <c r="O324">
        <v>14</v>
      </c>
      <c r="P324" s="2">
        <f t="shared" si="45"/>
        <v>44992</v>
      </c>
      <c r="Q324" t="str">
        <f t="shared" si="46"/>
        <v>Ok</v>
      </c>
      <c r="R324">
        <f>ABS(Table2[[#This Row],[UnitPrice]])</f>
        <v>3149.13</v>
      </c>
      <c r="S324">
        <f t="shared" si="47"/>
        <v>7</v>
      </c>
      <c r="T324" s="12">
        <f t="shared" si="48"/>
        <v>39546.774539999999</v>
      </c>
      <c r="U324">
        <f>Table2[[#This Row],[UnitCost]]*Table2[[#This Row],[Quantity]]</f>
        <v>18197.34</v>
      </c>
      <c r="V324" s="13">
        <f t="shared" si="49"/>
        <v>21349.434539999998</v>
      </c>
      <c r="W324" s="5">
        <f t="shared" si="50"/>
        <v>0.53985273864511729</v>
      </c>
      <c r="X324" s="17" t="str">
        <f t="shared" si="51"/>
        <v>Feb-2023</v>
      </c>
      <c r="Z324" t="str">
        <f t="shared" si="52"/>
        <v>Europe. France. Marseille</v>
      </c>
      <c r="AA324" t="str">
        <f t="shared" si="53"/>
        <v>High</v>
      </c>
      <c r="AB324" t="str">
        <f t="array" ref="AB324">TEXT(MIN(IF($E$2:$E$633=E324, $B$2:$B$633)), "YYYY-MM")</f>
        <v>2023-01</v>
      </c>
      <c r="AC324" s="13">
        <f>SUM($T$2:T324)</f>
        <v>5426070.1166100018</v>
      </c>
    </row>
    <row r="325" spans="1:29" x14ac:dyDescent="0.45">
      <c r="A325" t="s">
        <v>337</v>
      </c>
      <c r="B325" s="2">
        <v>45340</v>
      </c>
      <c r="C325" s="2">
        <v>45362</v>
      </c>
      <c r="D325" t="s">
        <v>648</v>
      </c>
      <c r="E325" t="s">
        <v>655</v>
      </c>
      <c r="F325" t="s">
        <v>670</v>
      </c>
      <c r="G325" t="s">
        <v>704</v>
      </c>
      <c r="H325" s="9" t="s">
        <v>708</v>
      </c>
      <c r="I325" s="9" t="s">
        <v>720</v>
      </c>
      <c r="J325" s="9" t="s">
        <v>727</v>
      </c>
      <c r="K325" t="s">
        <v>1057</v>
      </c>
      <c r="L325" s="7">
        <v>80.48</v>
      </c>
      <c r="M325" s="7">
        <v>65.650000000000006</v>
      </c>
      <c r="N325" s="5">
        <v>0.17599999999999999</v>
      </c>
      <c r="O325">
        <v>13</v>
      </c>
      <c r="P325" s="2">
        <f t="shared" si="45"/>
        <v>45362</v>
      </c>
      <c r="Q325" t="str">
        <f t="shared" si="46"/>
        <v>Ok</v>
      </c>
      <c r="R325">
        <f>ABS(Table2[[#This Row],[UnitPrice]])</f>
        <v>65.650000000000006</v>
      </c>
      <c r="S325">
        <f t="shared" si="47"/>
        <v>22</v>
      </c>
      <c r="T325" s="12">
        <f t="shared" si="48"/>
        <v>703.2428000000001</v>
      </c>
      <c r="U325">
        <f>Table2[[#This Row],[UnitCost]]*Table2[[#This Row],[Quantity]]</f>
        <v>1046.24</v>
      </c>
      <c r="V325" s="13">
        <f t="shared" si="49"/>
        <v>-342.99719999999991</v>
      </c>
      <c r="W325" s="5">
        <f t="shared" si="50"/>
        <v>-0.48773652570634191</v>
      </c>
      <c r="X325" s="17" t="str">
        <f t="shared" si="51"/>
        <v>Feb-2024</v>
      </c>
      <c r="Z325" t="str">
        <f t="shared" si="52"/>
        <v>Americas. Brazil. São Paulo</v>
      </c>
      <c r="AA325" t="str">
        <f t="shared" si="53"/>
        <v>Low</v>
      </c>
      <c r="AB325" t="str">
        <f t="array" ref="AB325">TEXT(MIN(IF($E$2:$E$633=E325, $B$2:$B$633)), "YYYY-MM")</f>
        <v>2023-01</v>
      </c>
      <c r="AC325" s="13">
        <f>SUM($T$2:T325)</f>
        <v>5426773.3594100019</v>
      </c>
    </row>
    <row r="326" spans="1:29" x14ac:dyDescent="0.45">
      <c r="A326" t="s">
        <v>338</v>
      </c>
      <c r="B326" s="2">
        <v>45544</v>
      </c>
      <c r="C326" s="2">
        <v>45573</v>
      </c>
      <c r="D326" t="s">
        <v>648</v>
      </c>
      <c r="E326" t="s">
        <v>655</v>
      </c>
      <c r="F326" t="s">
        <v>670</v>
      </c>
      <c r="G326" t="s">
        <v>702</v>
      </c>
      <c r="H326" s="9" t="s">
        <v>711</v>
      </c>
      <c r="I326" s="9" t="s">
        <v>713</v>
      </c>
      <c r="J326" s="9" t="s">
        <v>727</v>
      </c>
      <c r="K326" t="s">
        <v>1058</v>
      </c>
      <c r="L326" s="7">
        <v>1010.33</v>
      </c>
      <c r="M326" s="7">
        <v>2492.14</v>
      </c>
      <c r="N326" s="5">
        <v>5.0999999999999997E-2</v>
      </c>
      <c r="O326">
        <v>11</v>
      </c>
      <c r="P326" s="2">
        <f t="shared" si="45"/>
        <v>45573</v>
      </c>
      <c r="Q326" t="str">
        <f t="shared" si="46"/>
        <v>Ok</v>
      </c>
      <c r="R326">
        <f>ABS(Table2[[#This Row],[UnitPrice]])</f>
        <v>2492.14</v>
      </c>
      <c r="S326">
        <f t="shared" si="47"/>
        <v>29</v>
      </c>
      <c r="T326" s="12">
        <f t="shared" si="48"/>
        <v>26015.449459999996</v>
      </c>
      <c r="U326">
        <f>Table2[[#This Row],[UnitCost]]*Table2[[#This Row],[Quantity]]</f>
        <v>11113.630000000001</v>
      </c>
      <c r="V326" s="13">
        <f t="shared" si="49"/>
        <v>14901.819459999995</v>
      </c>
      <c r="W326" s="5">
        <f t="shared" si="50"/>
        <v>0.57280653493656752</v>
      </c>
      <c r="X326" s="17" t="str">
        <f t="shared" si="51"/>
        <v>Sep-2024</v>
      </c>
      <c r="Z326" t="str">
        <f t="shared" si="52"/>
        <v>Americas. Brazil. São Paulo</v>
      </c>
      <c r="AA326" t="str">
        <f t="shared" si="53"/>
        <v>High</v>
      </c>
      <c r="AB326" t="str">
        <f t="array" ref="AB326">TEXT(MIN(IF($E$2:$E$633=E326, $B$2:$B$633)), "YYYY-MM")</f>
        <v>2023-01</v>
      </c>
      <c r="AC326" s="13">
        <f>SUM($T$2:T326)</f>
        <v>5452788.8088700017</v>
      </c>
    </row>
    <row r="327" spans="1:29" x14ac:dyDescent="0.45">
      <c r="A327" t="s">
        <v>339</v>
      </c>
      <c r="B327" s="2">
        <v>45053</v>
      </c>
      <c r="C327" s="2">
        <v>45075</v>
      </c>
      <c r="D327" t="s">
        <v>646</v>
      </c>
      <c r="E327" t="s">
        <v>661</v>
      </c>
      <c r="F327" t="s">
        <v>687</v>
      </c>
      <c r="G327" t="s">
        <v>702</v>
      </c>
      <c r="H327" s="9" t="s">
        <v>710</v>
      </c>
      <c r="I327" s="9" t="s">
        <v>723</v>
      </c>
      <c r="J327" s="9" t="s">
        <v>733</v>
      </c>
      <c r="K327" t="s">
        <v>1059</v>
      </c>
      <c r="L327" s="7">
        <v>653.86</v>
      </c>
      <c r="M327" s="7">
        <v>931.84</v>
      </c>
      <c r="N327" s="5">
        <v>0.121</v>
      </c>
      <c r="O327">
        <v>12</v>
      </c>
      <c r="P327" s="2">
        <f t="shared" si="45"/>
        <v>45075</v>
      </c>
      <c r="Q327" t="str">
        <f t="shared" si="46"/>
        <v>Ok</v>
      </c>
      <c r="R327">
        <f>ABS(Table2[[#This Row],[UnitPrice]])</f>
        <v>931.84</v>
      </c>
      <c r="S327">
        <f t="shared" si="47"/>
        <v>22</v>
      </c>
      <c r="T327" s="12">
        <f t="shared" si="48"/>
        <v>9829.0483199999999</v>
      </c>
      <c r="U327">
        <f>Table2[[#This Row],[UnitCost]]*Table2[[#This Row],[Quantity]]</f>
        <v>7846.32</v>
      </c>
      <c r="V327" s="13">
        <f t="shared" si="49"/>
        <v>1982.7283200000002</v>
      </c>
      <c r="W327" s="5">
        <f t="shared" si="50"/>
        <v>0.20172129136506273</v>
      </c>
      <c r="X327" s="17" t="str">
        <f t="shared" si="51"/>
        <v>May-2023</v>
      </c>
      <c r="Z327" t="str">
        <f t="shared" si="52"/>
        <v>Africa. South Africa. Durban</v>
      </c>
      <c r="AA327" t="str">
        <f t="shared" si="53"/>
        <v>Low</v>
      </c>
      <c r="AB327" t="str">
        <f t="array" ref="AB327">TEXT(MIN(IF($E$2:$E$633=E327, $B$2:$B$633)), "YYYY-MM")</f>
        <v>2023-01</v>
      </c>
      <c r="AC327" s="13">
        <f>SUM($T$2:T327)</f>
        <v>5462617.8571900018</v>
      </c>
    </row>
    <row r="328" spans="1:29" x14ac:dyDescent="0.45">
      <c r="A328" t="s">
        <v>340</v>
      </c>
      <c r="B328" s="2">
        <v>45303</v>
      </c>
      <c r="C328" s="2">
        <v>45320</v>
      </c>
      <c r="D328" t="s">
        <v>647</v>
      </c>
      <c r="E328" t="s">
        <v>654</v>
      </c>
      <c r="F328" t="s">
        <v>696</v>
      </c>
      <c r="G328" t="s">
        <v>705</v>
      </c>
      <c r="H328" s="9" t="s">
        <v>711</v>
      </c>
      <c r="I328" s="9" t="s">
        <v>717</v>
      </c>
      <c r="J328" s="9" t="s">
        <v>727</v>
      </c>
      <c r="K328" t="s">
        <v>1060</v>
      </c>
      <c r="L328" s="7">
        <v>310.02</v>
      </c>
      <c r="M328" s="7">
        <v>619.51</v>
      </c>
      <c r="N328" s="5">
        <v>4.2000000000000003E-2</v>
      </c>
      <c r="O328">
        <v>4</v>
      </c>
      <c r="P328" s="2">
        <f t="shared" si="45"/>
        <v>45320</v>
      </c>
      <c r="Q328" t="str">
        <f t="shared" si="46"/>
        <v>Ok</v>
      </c>
      <c r="R328">
        <f>ABS(Table2[[#This Row],[UnitPrice]])</f>
        <v>619.51</v>
      </c>
      <c r="S328">
        <f t="shared" si="47"/>
        <v>17</v>
      </c>
      <c r="T328" s="12">
        <f t="shared" si="48"/>
        <v>2373.9623200000001</v>
      </c>
      <c r="U328">
        <f>Table2[[#This Row],[UnitCost]]*Table2[[#This Row],[Quantity]]</f>
        <v>1240.08</v>
      </c>
      <c r="V328" s="13">
        <f t="shared" si="49"/>
        <v>1133.8823200000002</v>
      </c>
      <c r="W328" s="5">
        <f t="shared" si="50"/>
        <v>0.47763282106347843</v>
      </c>
      <c r="X328" s="17" t="str">
        <f t="shared" si="51"/>
        <v>Jan-2024</v>
      </c>
      <c r="Z328" t="str">
        <f t="shared" si="52"/>
        <v>Asia. India. Hyderabad</v>
      </c>
      <c r="AA328" t="str">
        <f t="shared" si="53"/>
        <v>Low</v>
      </c>
      <c r="AB328" t="str">
        <f t="array" ref="AB328">TEXT(MIN(IF($E$2:$E$633=E328, $B$2:$B$633)), "YYYY-MM")</f>
        <v>2023-01</v>
      </c>
      <c r="AC328" s="13">
        <f>SUM($T$2:T328)</f>
        <v>5464991.8195100017</v>
      </c>
    </row>
    <row r="329" spans="1:29" x14ac:dyDescent="0.45">
      <c r="A329" t="s">
        <v>341</v>
      </c>
      <c r="B329" s="2">
        <v>45087</v>
      </c>
      <c r="C329" s="2">
        <v>45095</v>
      </c>
      <c r="D329" t="s">
        <v>646</v>
      </c>
      <c r="E329" t="s">
        <v>650</v>
      </c>
      <c r="F329" t="s">
        <v>678</v>
      </c>
      <c r="G329" t="s">
        <v>706</v>
      </c>
      <c r="H329" s="9" t="s">
        <v>711</v>
      </c>
      <c r="I329" s="9" t="s">
        <v>722</v>
      </c>
      <c r="J329" s="9" t="s">
        <v>730</v>
      </c>
      <c r="K329" t="s">
        <v>1061</v>
      </c>
      <c r="L329" s="7">
        <v>894.23</v>
      </c>
      <c r="M329" s="7">
        <v>1421.55</v>
      </c>
      <c r="N329" s="5">
        <v>0.109</v>
      </c>
      <c r="O329">
        <v>3</v>
      </c>
      <c r="P329" s="2">
        <f t="shared" si="45"/>
        <v>45095</v>
      </c>
      <c r="Q329" t="str">
        <f t="shared" si="46"/>
        <v>Ok</v>
      </c>
      <c r="R329">
        <f>ABS(Table2[[#This Row],[UnitPrice]])</f>
        <v>1421.55</v>
      </c>
      <c r="S329">
        <f t="shared" si="47"/>
        <v>8</v>
      </c>
      <c r="T329" s="12">
        <f t="shared" si="48"/>
        <v>3799.8031499999997</v>
      </c>
      <c r="U329">
        <f>Table2[[#This Row],[UnitCost]]*Table2[[#This Row],[Quantity]]</f>
        <v>2682.69</v>
      </c>
      <c r="V329" s="13">
        <f t="shared" si="49"/>
        <v>1117.1131499999997</v>
      </c>
      <c r="W329" s="5">
        <f t="shared" si="50"/>
        <v>0.29399237431549574</v>
      </c>
      <c r="X329" s="17" t="str">
        <f t="shared" si="51"/>
        <v>Jun-2023</v>
      </c>
      <c r="Z329" t="str">
        <f t="shared" si="52"/>
        <v>Africa. Kenya. Nakuru</v>
      </c>
      <c r="AA329" t="str">
        <f t="shared" si="53"/>
        <v>High</v>
      </c>
      <c r="AB329" t="str">
        <f t="array" ref="AB329">TEXT(MIN(IF($E$2:$E$633=E329, $B$2:$B$633)), "YYYY-MM")</f>
        <v>2023-01</v>
      </c>
      <c r="AC329" s="13">
        <f>SUM($T$2:T329)</f>
        <v>5468791.6226600017</v>
      </c>
    </row>
    <row r="330" spans="1:29" x14ac:dyDescent="0.45">
      <c r="A330" t="s">
        <v>342</v>
      </c>
      <c r="B330" s="2">
        <v>45796</v>
      </c>
      <c r="C330" s="2">
        <v>45794</v>
      </c>
      <c r="D330" t="s">
        <v>648</v>
      </c>
      <c r="E330" t="s">
        <v>655</v>
      </c>
      <c r="F330" t="s">
        <v>670</v>
      </c>
      <c r="G330" t="s">
        <v>705</v>
      </c>
      <c r="H330" s="9" t="s">
        <v>710</v>
      </c>
      <c r="I330" s="9" t="s">
        <v>716</v>
      </c>
      <c r="J330" s="9" t="s">
        <v>732</v>
      </c>
      <c r="K330" t="s">
        <v>1062</v>
      </c>
      <c r="L330" s="7">
        <v>383.77</v>
      </c>
      <c r="M330" s="7">
        <v>952.56</v>
      </c>
      <c r="N330" s="5">
        <v>0.34599999999999997</v>
      </c>
      <c r="O330">
        <v>10</v>
      </c>
      <c r="P330" s="2">
        <f t="shared" si="45"/>
        <v>45803</v>
      </c>
      <c r="Q330" t="str">
        <f t="shared" si="46"/>
        <v>Ok</v>
      </c>
      <c r="R330">
        <f>ABS(Table2[[#This Row],[UnitPrice]])</f>
        <v>952.56</v>
      </c>
      <c r="S330">
        <f t="shared" si="47"/>
        <v>7</v>
      </c>
      <c r="T330" s="12">
        <f t="shared" si="48"/>
        <v>6229.7423999999992</v>
      </c>
      <c r="U330">
        <f>Table2[[#This Row],[UnitCost]]*Table2[[#This Row],[Quantity]]</f>
        <v>3837.7</v>
      </c>
      <c r="V330" s="13">
        <f t="shared" si="49"/>
        <v>2392.0423999999994</v>
      </c>
      <c r="W330" s="5">
        <f t="shared" si="50"/>
        <v>0.38397131797937578</v>
      </c>
      <c r="X330" s="17" t="str">
        <f t="shared" si="51"/>
        <v>May-2025</v>
      </c>
      <c r="Z330" t="str">
        <f t="shared" si="52"/>
        <v>Americas. Brazil. São Paulo</v>
      </c>
      <c r="AA330" t="str">
        <f t="shared" si="53"/>
        <v>Low</v>
      </c>
      <c r="AB330" t="str">
        <f t="array" ref="AB330">TEXT(MIN(IF($E$2:$E$633=E330, $B$2:$B$633)), "YYYY-MM")</f>
        <v>2023-01</v>
      </c>
      <c r="AC330" s="13">
        <f>SUM($T$2:T330)</f>
        <v>5475021.3650600016</v>
      </c>
    </row>
    <row r="331" spans="1:29" x14ac:dyDescent="0.45">
      <c r="A331" t="s">
        <v>343</v>
      </c>
      <c r="B331" s="2">
        <v>45221</v>
      </c>
      <c r="C331" s="2">
        <v>45246</v>
      </c>
      <c r="D331" t="s">
        <v>648</v>
      </c>
      <c r="E331" t="s">
        <v>653</v>
      </c>
      <c r="F331" t="s">
        <v>667</v>
      </c>
      <c r="G331" t="s">
        <v>705</v>
      </c>
      <c r="H331" s="9" t="s">
        <v>709</v>
      </c>
      <c r="I331" s="9" t="s">
        <v>714</v>
      </c>
      <c r="J331" s="9" t="s">
        <v>731</v>
      </c>
      <c r="K331" t="s">
        <v>1063</v>
      </c>
      <c r="L331" s="7">
        <v>1373.31</v>
      </c>
      <c r="M331" s="7">
        <v>3154.14</v>
      </c>
      <c r="N331" s="5">
        <v>0.2</v>
      </c>
      <c r="O331">
        <v>11</v>
      </c>
      <c r="P331" s="2">
        <f t="shared" si="45"/>
        <v>45246</v>
      </c>
      <c r="Q331" t="str">
        <f t="shared" si="46"/>
        <v>Ok</v>
      </c>
      <c r="R331">
        <f>ABS(Table2[[#This Row],[UnitPrice]])</f>
        <v>3154.14</v>
      </c>
      <c r="S331">
        <f t="shared" si="47"/>
        <v>25</v>
      </c>
      <c r="T331" s="12">
        <f t="shared" si="48"/>
        <v>27756.432000000001</v>
      </c>
      <c r="U331">
        <f>Table2[[#This Row],[UnitCost]]*Table2[[#This Row],[Quantity]]</f>
        <v>15106.41</v>
      </c>
      <c r="V331" s="13">
        <f t="shared" si="49"/>
        <v>12650.022000000001</v>
      </c>
      <c r="W331" s="5">
        <f t="shared" si="50"/>
        <v>0.45575101295440279</v>
      </c>
      <c r="X331" s="17" t="str">
        <f t="shared" si="51"/>
        <v>Oct-2023</v>
      </c>
      <c r="Z331" t="str">
        <f t="shared" si="52"/>
        <v>Americas. Canada. Toronto</v>
      </c>
      <c r="AA331" t="str">
        <f t="shared" si="53"/>
        <v>High</v>
      </c>
      <c r="AB331" t="str">
        <f t="array" ref="AB331">TEXT(MIN(IF($E$2:$E$633=E331, $B$2:$B$633)), "YYYY-MM")</f>
        <v>2023-01</v>
      </c>
      <c r="AC331" s="13">
        <f>SUM($T$2:T331)</f>
        <v>5502777.7970600016</v>
      </c>
    </row>
    <row r="332" spans="1:29" x14ac:dyDescent="0.45">
      <c r="A332" t="s">
        <v>344</v>
      </c>
      <c r="B332" s="2">
        <v>45668</v>
      </c>
      <c r="C332" s="2">
        <v>45680</v>
      </c>
      <c r="D332" t="s">
        <v>648</v>
      </c>
      <c r="E332" t="s">
        <v>660</v>
      </c>
      <c r="F332" t="s">
        <v>697</v>
      </c>
      <c r="G332" t="s">
        <v>704</v>
      </c>
      <c r="H332" s="9" t="s">
        <v>710</v>
      </c>
      <c r="I332" s="9" t="s">
        <v>722</v>
      </c>
      <c r="J332" s="9" t="s">
        <v>730</v>
      </c>
      <c r="K332" t="s">
        <v>1064</v>
      </c>
      <c r="L332" s="7">
        <v>100.69</v>
      </c>
      <c r="M332" s="7">
        <v>226.14</v>
      </c>
      <c r="N332" s="5">
        <v>6.5000000000000002E-2</v>
      </c>
      <c r="O332">
        <v>12</v>
      </c>
      <c r="P332" s="2">
        <f t="shared" si="45"/>
        <v>45680</v>
      </c>
      <c r="Q332" t="str">
        <f t="shared" si="46"/>
        <v>Ok</v>
      </c>
      <c r="R332">
        <f>ABS(Table2[[#This Row],[UnitPrice]])</f>
        <v>226.14</v>
      </c>
      <c r="S332">
        <f t="shared" si="47"/>
        <v>12</v>
      </c>
      <c r="T332" s="12">
        <f t="shared" si="48"/>
        <v>2537.2908000000002</v>
      </c>
      <c r="U332">
        <f>Table2[[#This Row],[UnitCost]]*Table2[[#This Row],[Quantity]]</f>
        <v>1208.28</v>
      </c>
      <c r="V332" s="13">
        <f t="shared" si="49"/>
        <v>1329.0108000000002</v>
      </c>
      <c r="W332" s="5">
        <f t="shared" si="50"/>
        <v>0.52379128162999689</v>
      </c>
      <c r="X332" s="17" t="str">
        <f t="shared" si="51"/>
        <v>Jan-2025</v>
      </c>
      <c r="Z332" t="str">
        <f t="shared" si="52"/>
        <v>Americas. USA. Austin</v>
      </c>
      <c r="AA332" t="str">
        <f t="shared" si="53"/>
        <v>Low</v>
      </c>
      <c r="AB332" t="str">
        <f t="array" ref="AB332">TEXT(MIN(IF($E$2:$E$633=E332, $B$2:$B$633)), "YYYY-MM")</f>
        <v>2023-01</v>
      </c>
      <c r="AC332" s="13">
        <f>SUM($T$2:T332)</f>
        <v>5505315.0878600013</v>
      </c>
    </row>
    <row r="333" spans="1:29" x14ac:dyDescent="0.45">
      <c r="A333" t="s">
        <v>345</v>
      </c>
      <c r="B333" s="2">
        <v>45914</v>
      </c>
      <c r="C333" s="2">
        <v>45926</v>
      </c>
      <c r="D333" t="s">
        <v>649</v>
      </c>
      <c r="E333" t="s">
        <v>658</v>
      </c>
      <c r="F333" t="s">
        <v>683</v>
      </c>
      <c r="G333" t="s">
        <v>705</v>
      </c>
      <c r="H333" s="9" t="s">
        <v>711</v>
      </c>
      <c r="I333" s="9" t="s">
        <v>725</v>
      </c>
      <c r="J333" s="9" t="s">
        <v>729</v>
      </c>
      <c r="K333" t="s">
        <v>1065</v>
      </c>
      <c r="L333" s="7">
        <v>425.15</v>
      </c>
      <c r="M333" s="7">
        <v>885.92</v>
      </c>
      <c r="N333" s="5">
        <v>0.23899999999999999</v>
      </c>
      <c r="O333">
        <v>13</v>
      </c>
      <c r="P333" s="2">
        <f t="shared" si="45"/>
        <v>45926</v>
      </c>
      <c r="Q333" t="str">
        <f t="shared" si="46"/>
        <v>Ok</v>
      </c>
      <c r="R333">
        <f>ABS(Table2[[#This Row],[UnitPrice]])</f>
        <v>885.92</v>
      </c>
      <c r="S333">
        <f t="shared" si="47"/>
        <v>12</v>
      </c>
      <c r="T333" s="12">
        <f t="shared" si="48"/>
        <v>8764.4065599999994</v>
      </c>
      <c r="U333">
        <f>Table2[[#This Row],[UnitCost]]*Table2[[#This Row],[Quantity]]</f>
        <v>5526.95</v>
      </c>
      <c r="V333" s="13">
        <f t="shared" si="49"/>
        <v>3237.4565599999996</v>
      </c>
      <c r="W333" s="5">
        <f t="shared" si="50"/>
        <v>0.3693868532725848</v>
      </c>
      <c r="X333" s="17" t="str">
        <f t="shared" si="51"/>
        <v>Sep-2025</v>
      </c>
      <c r="Z333" t="str">
        <f t="shared" si="52"/>
        <v>Europe. United Kingdom. London</v>
      </c>
      <c r="AA333" t="str">
        <f t="shared" si="53"/>
        <v>Low</v>
      </c>
      <c r="AB333" t="str">
        <f t="array" ref="AB333">TEXT(MIN(IF($E$2:$E$633=E333, $B$2:$B$633)), "YYYY-MM")</f>
        <v>2023-01</v>
      </c>
      <c r="AC333" s="13">
        <f>SUM($T$2:T333)</f>
        <v>5514079.4944200013</v>
      </c>
    </row>
    <row r="334" spans="1:29" x14ac:dyDescent="0.45">
      <c r="A334" t="s">
        <v>346</v>
      </c>
      <c r="B334" s="2">
        <v>45168</v>
      </c>
      <c r="C334" s="2">
        <v>45172</v>
      </c>
      <c r="D334" t="s">
        <v>647</v>
      </c>
      <c r="E334" t="s">
        <v>654</v>
      </c>
      <c r="F334" t="s">
        <v>680</v>
      </c>
      <c r="G334" t="s">
        <v>705</v>
      </c>
      <c r="H334" s="9" t="s">
        <v>709</v>
      </c>
      <c r="I334" s="9" t="s">
        <v>716</v>
      </c>
      <c r="J334" s="9" t="s">
        <v>733</v>
      </c>
      <c r="K334" t="s">
        <v>1066</v>
      </c>
      <c r="L334" s="7">
        <v>1082.25</v>
      </c>
      <c r="M334" s="7">
        <v>2433.34</v>
      </c>
      <c r="N334" s="5">
        <v>0.27</v>
      </c>
      <c r="O334">
        <v>4</v>
      </c>
      <c r="P334" s="2">
        <f t="shared" si="45"/>
        <v>45172</v>
      </c>
      <c r="Q334" t="str">
        <f t="shared" si="46"/>
        <v>Ok</v>
      </c>
      <c r="R334">
        <f>ABS(Table2[[#This Row],[UnitPrice]])</f>
        <v>2433.34</v>
      </c>
      <c r="S334">
        <f t="shared" si="47"/>
        <v>4</v>
      </c>
      <c r="T334" s="12">
        <f t="shared" si="48"/>
        <v>7105.3528000000006</v>
      </c>
      <c r="U334">
        <f>Table2[[#This Row],[UnitCost]]*Table2[[#This Row],[Quantity]]</f>
        <v>4329</v>
      </c>
      <c r="V334" s="13">
        <f t="shared" si="49"/>
        <v>2776.3528000000006</v>
      </c>
      <c r="W334" s="5">
        <f t="shared" si="50"/>
        <v>0.3907410199251472</v>
      </c>
      <c r="X334" s="17" t="str">
        <f t="shared" si="51"/>
        <v>Aug-2023</v>
      </c>
      <c r="Z334" t="str">
        <f t="shared" si="52"/>
        <v>Asia. India. Delhi</v>
      </c>
      <c r="AA334" t="str">
        <f t="shared" si="53"/>
        <v>High</v>
      </c>
      <c r="AB334" t="str">
        <f t="array" ref="AB334">TEXT(MIN(IF($E$2:$E$633=E334, $B$2:$B$633)), "YYYY-MM")</f>
        <v>2023-01</v>
      </c>
      <c r="AC334" s="13">
        <f>SUM($T$2:T334)</f>
        <v>5521184.8472200017</v>
      </c>
    </row>
    <row r="335" spans="1:29" x14ac:dyDescent="0.45">
      <c r="A335" t="s">
        <v>347</v>
      </c>
      <c r="B335" s="2">
        <v>45245</v>
      </c>
      <c r="C335" s="2">
        <v>45266</v>
      </c>
      <c r="D335" t="s">
        <v>649</v>
      </c>
      <c r="E335" t="s">
        <v>658</v>
      </c>
      <c r="F335" t="s">
        <v>693</v>
      </c>
      <c r="G335" t="s">
        <v>702</v>
      </c>
      <c r="H335" s="9" t="s">
        <v>711</v>
      </c>
      <c r="I335" s="9" t="s">
        <v>722</v>
      </c>
      <c r="J335" s="9" t="s">
        <v>733</v>
      </c>
      <c r="K335" t="s">
        <v>1067</v>
      </c>
      <c r="L335" s="7">
        <v>1184.99</v>
      </c>
      <c r="M335" s="7">
        <v>1154.3399999999999</v>
      </c>
      <c r="N335" s="5">
        <v>2.8000000000000001E-2</v>
      </c>
      <c r="O335">
        <v>5</v>
      </c>
      <c r="P335" s="2">
        <f t="shared" si="45"/>
        <v>45266</v>
      </c>
      <c r="Q335" t="str">
        <f t="shared" si="46"/>
        <v>Ok</v>
      </c>
      <c r="R335">
        <f>ABS(Table2[[#This Row],[UnitPrice]])</f>
        <v>1154.3399999999999</v>
      </c>
      <c r="S335">
        <f t="shared" si="47"/>
        <v>21</v>
      </c>
      <c r="T335" s="12">
        <f t="shared" si="48"/>
        <v>5610.0923999999995</v>
      </c>
      <c r="U335">
        <f>Table2[[#This Row],[UnitCost]]*Table2[[#This Row],[Quantity]]</f>
        <v>5924.95</v>
      </c>
      <c r="V335" s="13">
        <f t="shared" si="49"/>
        <v>-314.85760000000028</v>
      </c>
      <c r="W335" s="5">
        <f t="shared" si="50"/>
        <v>-5.6123424990290764E-2</v>
      </c>
      <c r="X335" s="17" t="str">
        <f t="shared" si="51"/>
        <v>Nov-2023</v>
      </c>
      <c r="Z335" t="str">
        <f t="shared" si="52"/>
        <v>Europe. United Kingdom. Manchester</v>
      </c>
      <c r="AA335" t="str">
        <f t="shared" si="53"/>
        <v>Low</v>
      </c>
      <c r="AB335" t="str">
        <f t="array" ref="AB335">TEXT(MIN(IF($E$2:$E$633=E335, $B$2:$B$633)), "YYYY-MM")</f>
        <v>2023-01</v>
      </c>
      <c r="AC335" s="13">
        <f>SUM($T$2:T335)</f>
        <v>5526794.9396200022</v>
      </c>
    </row>
    <row r="336" spans="1:29" x14ac:dyDescent="0.45">
      <c r="A336" t="s">
        <v>348</v>
      </c>
      <c r="B336" s="2">
        <v>45774</v>
      </c>
      <c r="C336" s="2">
        <v>45804</v>
      </c>
      <c r="D336" t="s">
        <v>647</v>
      </c>
      <c r="E336" t="s">
        <v>654</v>
      </c>
      <c r="F336" t="s">
        <v>1422</v>
      </c>
      <c r="G336" t="s">
        <v>706</v>
      </c>
      <c r="H336" s="9" t="s">
        <v>709</v>
      </c>
      <c r="I336" s="9" t="s">
        <v>722</v>
      </c>
      <c r="J336" s="9" t="s">
        <v>730</v>
      </c>
      <c r="K336" t="s">
        <v>1068</v>
      </c>
      <c r="L336" s="7">
        <v>481.32</v>
      </c>
      <c r="M336" s="7">
        <v>1135.99</v>
      </c>
      <c r="N336" s="5">
        <v>0.14499999999999999</v>
      </c>
      <c r="O336">
        <v>5</v>
      </c>
      <c r="P336" s="2">
        <f t="shared" si="45"/>
        <v>45804</v>
      </c>
      <c r="Q336" t="str">
        <f t="shared" si="46"/>
        <v>Ok</v>
      </c>
      <c r="R336">
        <f>ABS(Table2[[#This Row],[UnitPrice]])</f>
        <v>1135.99</v>
      </c>
      <c r="S336">
        <f t="shared" si="47"/>
        <v>30</v>
      </c>
      <c r="T336" s="12">
        <f t="shared" si="48"/>
        <v>4856.35725</v>
      </c>
      <c r="U336">
        <f>Table2[[#This Row],[UnitCost]]*Table2[[#This Row],[Quantity]]</f>
        <v>2406.6</v>
      </c>
      <c r="V336" s="13">
        <f t="shared" si="49"/>
        <v>2449.7572500000001</v>
      </c>
      <c r="W336" s="5">
        <f t="shared" si="50"/>
        <v>0.50444337677175621</v>
      </c>
      <c r="X336" s="17" t="str">
        <f t="shared" si="51"/>
        <v>Apr-2025</v>
      </c>
      <c r="Z336" t="str">
        <f t="shared" si="52"/>
        <v>Asia. India. Unknown</v>
      </c>
      <c r="AA336" t="str">
        <f t="shared" si="53"/>
        <v>Low</v>
      </c>
      <c r="AB336" t="str">
        <f t="array" ref="AB336">TEXT(MIN(IF($E$2:$E$633=E336, $B$2:$B$633)), "YYYY-MM")</f>
        <v>2023-01</v>
      </c>
      <c r="AC336" s="13">
        <f>SUM($T$2:T336)</f>
        <v>5531651.2968700025</v>
      </c>
    </row>
    <row r="337" spans="1:29" x14ac:dyDescent="0.45">
      <c r="A337" t="s">
        <v>349</v>
      </c>
      <c r="B337" s="2">
        <v>45391</v>
      </c>
      <c r="C337" s="2">
        <v>45400</v>
      </c>
      <c r="D337" t="s">
        <v>649</v>
      </c>
      <c r="E337" t="s">
        <v>657</v>
      </c>
      <c r="F337" t="s">
        <v>679</v>
      </c>
      <c r="G337" t="s">
        <v>704</v>
      </c>
      <c r="H337" s="9" t="s">
        <v>708</v>
      </c>
      <c r="I337" s="9" t="s">
        <v>718</v>
      </c>
      <c r="J337" s="9" t="s">
        <v>728</v>
      </c>
      <c r="K337" t="s">
        <v>1069</v>
      </c>
      <c r="L337" s="7">
        <v>1288.8499999999999</v>
      </c>
      <c r="M337" s="7">
        <v>2751.84</v>
      </c>
      <c r="N337" s="5">
        <v>0.158</v>
      </c>
      <c r="O337">
        <v>7</v>
      </c>
      <c r="P337" s="2">
        <f t="shared" si="45"/>
        <v>45400</v>
      </c>
      <c r="Q337" t="str">
        <f t="shared" si="46"/>
        <v>Ok</v>
      </c>
      <c r="R337">
        <f>ABS(Table2[[#This Row],[UnitPrice]])</f>
        <v>2751.84</v>
      </c>
      <c r="S337">
        <f t="shared" si="47"/>
        <v>9</v>
      </c>
      <c r="T337" s="12">
        <f t="shared" si="48"/>
        <v>16219.34496</v>
      </c>
      <c r="U337">
        <f>Table2[[#This Row],[UnitCost]]*Table2[[#This Row],[Quantity]]</f>
        <v>9021.9499999999989</v>
      </c>
      <c r="V337" s="13">
        <f t="shared" si="49"/>
        <v>7197.3949600000014</v>
      </c>
      <c r="W337" s="5">
        <f t="shared" si="50"/>
        <v>0.44375373837538756</v>
      </c>
      <c r="X337" s="17" t="str">
        <f t="shared" si="51"/>
        <v>Apr-2024</v>
      </c>
      <c r="Z337" t="str">
        <f t="shared" si="52"/>
        <v>Europe. France. Lyon</v>
      </c>
      <c r="AA337" t="str">
        <f t="shared" si="53"/>
        <v>High</v>
      </c>
      <c r="AB337" t="str">
        <f t="array" ref="AB337">TEXT(MIN(IF($E$2:$E$633=E337, $B$2:$B$633)), "YYYY-MM")</f>
        <v>2023-01</v>
      </c>
      <c r="AC337" s="13">
        <f>SUM($T$2:T337)</f>
        <v>5547870.6418300029</v>
      </c>
    </row>
    <row r="338" spans="1:29" x14ac:dyDescent="0.45">
      <c r="A338" t="s">
        <v>350</v>
      </c>
      <c r="B338" s="2">
        <v>45484</v>
      </c>
      <c r="C338" s="2">
        <v>45504</v>
      </c>
      <c r="D338" t="s">
        <v>647</v>
      </c>
      <c r="E338" t="s">
        <v>659</v>
      </c>
      <c r="F338" t="s">
        <v>676</v>
      </c>
      <c r="G338" t="s">
        <v>704</v>
      </c>
      <c r="H338" s="9" t="s">
        <v>708</v>
      </c>
      <c r="I338" s="9" t="s">
        <v>715</v>
      </c>
      <c r="J338" s="9" t="s">
        <v>730</v>
      </c>
      <c r="K338" t="s">
        <v>1070</v>
      </c>
      <c r="L338" s="7">
        <v>647.26</v>
      </c>
      <c r="M338" s="7">
        <v>1374.72</v>
      </c>
      <c r="N338" s="5">
        <v>6.6000000000000003E-2</v>
      </c>
      <c r="O338">
        <v>22</v>
      </c>
      <c r="P338" s="2">
        <f t="shared" si="45"/>
        <v>45504</v>
      </c>
      <c r="Q338" t="str">
        <f t="shared" si="46"/>
        <v>Ok</v>
      </c>
      <c r="R338">
        <f>ABS(Table2[[#This Row],[UnitPrice]])</f>
        <v>1374.72</v>
      </c>
      <c r="S338">
        <f t="shared" si="47"/>
        <v>20</v>
      </c>
      <c r="T338" s="12">
        <f t="shared" si="48"/>
        <v>28247.74656</v>
      </c>
      <c r="U338">
        <f>Table2[[#This Row],[UnitCost]]*Table2[[#This Row],[Quantity]]</f>
        <v>14239.72</v>
      </c>
      <c r="V338" s="13">
        <f t="shared" si="49"/>
        <v>14008.02656</v>
      </c>
      <c r="W338" s="5">
        <f t="shared" si="50"/>
        <v>0.49589890401508901</v>
      </c>
      <c r="X338" s="17" t="str">
        <f t="shared" si="51"/>
        <v>Jul-2024</v>
      </c>
      <c r="Z338" t="str">
        <f t="shared" si="52"/>
        <v>Asia. China. Shenzhen</v>
      </c>
      <c r="AA338" t="str">
        <f t="shared" si="53"/>
        <v>High</v>
      </c>
      <c r="AB338" t="str">
        <f t="array" ref="AB338">TEXT(MIN(IF($E$2:$E$633=E338, $B$2:$B$633)), "YYYY-MM")</f>
        <v>2023-01</v>
      </c>
      <c r="AC338" s="13">
        <f>SUM($T$2:T338)</f>
        <v>5576118.3883900028</v>
      </c>
    </row>
    <row r="339" spans="1:29" x14ac:dyDescent="0.45">
      <c r="A339" t="s">
        <v>351</v>
      </c>
      <c r="B339" s="2">
        <v>45340</v>
      </c>
      <c r="C339" s="2">
        <v>45354</v>
      </c>
      <c r="D339" t="s">
        <v>648</v>
      </c>
      <c r="E339" t="s">
        <v>655</v>
      </c>
      <c r="F339" t="s">
        <v>1422</v>
      </c>
      <c r="G339" t="s">
        <v>706</v>
      </c>
      <c r="H339" s="9" t="s">
        <v>710</v>
      </c>
      <c r="I339" s="9" t="s">
        <v>720</v>
      </c>
      <c r="J339" s="9" t="s">
        <v>728</v>
      </c>
      <c r="K339" t="s">
        <v>1071</v>
      </c>
      <c r="L339" s="7">
        <v>624.23</v>
      </c>
      <c r="M339" s="7">
        <v>1318.37</v>
      </c>
      <c r="N339" s="5">
        <v>0.21</v>
      </c>
      <c r="O339">
        <v>37</v>
      </c>
      <c r="P339" s="2">
        <f t="shared" si="45"/>
        <v>45354</v>
      </c>
      <c r="Q339" t="str">
        <f t="shared" si="46"/>
        <v>Ok</v>
      </c>
      <c r="R339">
        <f>ABS(Table2[[#This Row],[UnitPrice]])</f>
        <v>1318.37</v>
      </c>
      <c r="S339">
        <f t="shared" si="47"/>
        <v>14</v>
      </c>
      <c r="T339" s="12">
        <f t="shared" si="48"/>
        <v>38535.955099999999</v>
      </c>
      <c r="U339">
        <f>Table2[[#This Row],[UnitCost]]*Table2[[#This Row],[Quantity]]</f>
        <v>23096.510000000002</v>
      </c>
      <c r="V339" s="13">
        <f t="shared" si="49"/>
        <v>15439.445099999997</v>
      </c>
      <c r="W339" s="5">
        <f t="shared" si="50"/>
        <v>0.40065038118128793</v>
      </c>
      <c r="X339" s="17" t="str">
        <f t="shared" si="51"/>
        <v>Feb-2024</v>
      </c>
      <c r="Z339" t="str">
        <f t="shared" si="52"/>
        <v>Americas. Brazil. Unknown</v>
      </c>
      <c r="AA339" t="str">
        <f t="shared" si="53"/>
        <v>High</v>
      </c>
      <c r="AB339" t="str">
        <f t="array" ref="AB339">TEXT(MIN(IF($E$2:$E$633=E339, $B$2:$B$633)), "YYYY-MM")</f>
        <v>2023-01</v>
      </c>
      <c r="AC339" s="13">
        <f>SUM($T$2:T339)</f>
        <v>5614654.3434900027</v>
      </c>
    </row>
    <row r="340" spans="1:29" x14ac:dyDescent="0.45">
      <c r="A340" t="s">
        <v>352</v>
      </c>
      <c r="B340" s="2">
        <v>45132</v>
      </c>
      <c r="C340" s="2">
        <v>45148</v>
      </c>
      <c r="D340" t="s">
        <v>646</v>
      </c>
      <c r="E340" t="s">
        <v>651</v>
      </c>
      <c r="F340" t="s">
        <v>663</v>
      </c>
      <c r="G340" t="s">
        <v>701</v>
      </c>
      <c r="H340" s="9" t="s">
        <v>710</v>
      </c>
      <c r="I340" s="9" t="s">
        <v>714</v>
      </c>
      <c r="J340" s="9" t="s">
        <v>733</v>
      </c>
      <c r="K340" t="s">
        <v>1072</v>
      </c>
      <c r="L340" s="7">
        <v>506.83</v>
      </c>
      <c r="M340" s="7">
        <v>441.74</v>
      </c>
      <c r="N340" s="5">
        <v>0.24</v>
      </c>
      <c r="O340">
        <v>9</v>
      </c>
      <c r="P340" s="2">
        <f t="shared" si="45"/>
        <v>45148</v>
      </c>
      <c r="Q340" t="str">
        <f t="shared" si="46"/>
        <v>Ok</v>
      </c>
      <c r="R340">
        <f>ABS(Table2[[#This Row],[UnitPrice]])</f>
        <v>441.74</v>
      </c>
      <c r="S340">
        <f t="shared" si="47"/>
        <v>16</v>
      </c>
      <c r="T340" s="12">
        <f t="shared" si="48"/>
        <v>3021.5016000000001</v>
      </c>
      <c r="U340">
        <f>Table2[[#This Row],[UnitCost]]*Table2[[#This Row],[Quantity]]</f>
        <v>4561.47</v>
      </c>
      <c r="V340" s="13">
        <f t="shared" si="49"/>
        <v>-1539.9684000000002</v>
      </c>
      <c r="W340" s="5">
        <f t="shared" si="50"/>
        <v>-0.50966989393618067</v>
      </c>
      <c r="X340" s="17" t="str">
        <f t="shared" si="51"/>
        <v>Jul-2023</v>
      </c>
      <c r="Z340" t="str">
        <f t="shared" si="52"/>
        <v>Africa. Nigeria. Port Harcourt</v>
      </c>
      <c r="AA340" t="str">
        <f t="shared" si="53"/>
        <v>Low</v>
      </c>
      <c r="AB340" t="str">
        <f t="array" ref="AB340">TEXT(MIN(IF($E$2:$E$633=E340, $B$2:$B$633)), "YYYY-MM")</f>
        <v>2023-01</v>
      </c>
      <c r="AC340" s="13">
        <f>SUM($T$2:T340)</f>
        <v>5617675.8450900028</v>
      </c>
    </row>
    <row r="341" spans="1:29" x14ac:dyDescent="0.45">
      <c r="A341" t="s">
        <v>353</v>
      </c>
      <c r="B341" s="2">
        <v>45121</v>
      </c>
      <c r="C341" s="2">
        <v>45128</v>
      </c>
      <c r="D341" t="s">
        <v>646</v>
      </c>
      <c r="E341" t="s">
        <v>661</v>
      </c>
      <c r="F341" t="s">
        <v>687</v>
      </c>
      <c r="G341" t="s">
        <v>706</v>
      </c>
      <c r="H341" s="9" t="s">
        <v>709</v>
      </c>
      <c r="I341" s="9" t="s">
        <v>1422</v>
      </c>
      <c r="J341" s="9" t="s">
        <v>732</v>
      </c>
      <c r="K341" t="s">
        <v>1073</v>
      </c>
      <c r="L341" s="7">
        <v>620.74</v>
      </c>
      <c r="M341" s="7">
        <v>1330.07</v>
      </c>
      <c r="N341" s="5">
        <v>0.29899999999999999</v>
      </c>
      <c r="O341">
        <v>28</v>
      </c>
      <c r="P341" s="2">
        <f t="shared" si="45"/>
        <v>45128</v>
      </c>
      <c r="Q341" t="str">
        <f t="shared" si="46"/>
        <v>Ok</v>
      </c>
      <c r="R341">
        <f>ABS(Table2[[#This Row],[UnitPrice]])</f>
        <v>1330.07</v>
      </c>
      <c r="S341">
        <f t="shared" si="47"/>
        <v>7</v>
      </c>
      <c r="T341" s="12">
        <f t="shared" si="48"/>
        <v>26106.613960000002</v>
      </c>
      <c r="U341">
        <f>Table2[[#This Row],[UnitCost]]*Table2[[#This Row],[Quantity]]</f>
        <v>17380.72</v>
      </c>
      <c r="V341" s="13">
        <f t="shared" si="49"/>
        <v>8725.8939600000012</v>
      </c>
      <c r="W341" s="5">
        <f t="shared" si="50"/>
        <v>0.33424073965967516</v>
      </c>
      <c r="X341" s="17" t="str">
        <f t="shared" si="51"/>
        <v>Jul-2023</v>
      </c>
      <c r="Z341" t="str">
        <f t="shared" si="52"/>
        <v>Africa. South Africa. Durban</v>
      </c>
      <c r="AA341" t="str">
        <f t="shared" si="53"/>
        <v>High</v>
      </c>
      <c r="AB341" t="str">
        <f t="array" ref="AB341">TEXT(MIN(IF($E$2:$E$633=E341, $B$2:$B$633)), "YYYY-MM")</f>
        <v>2023-01</v>
      </c>
      <c r="AC341" s="13">
        <f>SUM($T$2:T341)</f>
        <v>5643782.4590500025</v>
      </c>
    </row>
    <row r="342" spans="1:29" x14ac:dyDescent="0.45">
      <c r="A342" t="s">
        <v>354</v>
      </c>
      <c r="B342" s="2">
        <v>45131</v>
      </c>
      <c r="C342" s="2">
        <v>45157</v>
      </c>
      <c r="D342" t="s">
        <v>646</v>
      </c>
      <c r="E342" t="s">
        <v>650</v>
      </c>
      <c r="F342" t="s">
        <v>664</v>
      </c>
      <c r="G342" t="s">
        <v>706</v>
      </c>
      <c r="H342" s="9" t="s">
        <v>710</v>
      </c>
      <c r="I342" s="9" t="s">
        <v>724</v>
      </c>
      <c r="J342" s="9" t="s">
        <v>733</v>
      </c>
      <c r="K342" t="s">
        <v>1074</v>
      </c>
      <c r="L342" s="7">
        <v>661.45</v>
      </c>
      <c r="M342" s="7">
        <v>1634.86</v>
      </c>
      <c r="N342" s="5">
        <v>0.56499999999999995</v>
      </c>
      <c r="O342">
        <v>24</v>
      </c>
      <c r="P342" s="2">
        <f t="shared" si="45"/>
        <v>45157</v>
      </c>
      <c r="Q342" t="str">
        <f t="shared" si="46"/>
        <v>Ok</v>
      </c>
      <c r="R342">
        <f>ABS(Table2[[#This Row],[UnitPrice]])</f>
        <v>1634.86</v>
      </c>
      <c r="S342">
        <f t="shared" si="47"/>
        <v>26</v>
      </c>
      <c r="T342" s="12">
        <f t="shared" si="48"/>
        <v>17067.938400000003</v>
      </c>
      <c r="U342">
        <f>Table2[[#This Row],[UnitCost]]*Table2[[#This Row],[Quantity]]</f>
        <v>15874.800000000001</v>
      </c>
      <c r="V342" s="13">
        <f t="shared" si="49"/>
        <v>1193.1384000000016</v>
      </c>
      <c r="W342" s="5">
        <f t="shared" si="50"/>
        <v>6.9905244092045793E-2</v>
      </c>
      <c r="X342" s="17" t="str">
        <f t="shared" si="51"/>
        <v>Jul-2023</v>
      </c>
      <c r="Z342" t="str">
        <f t="shared" si="52"/>
        <v>Africa. Kenya. Nairobi</v>
      </c>
      <c r="AA342" t="str">
        <f t="shared" si="53"/>
        <v>High</v>
      </c>
      <c r="AB342" t="str">
        <f t="array" ref="AB342">TEXT(MIN(IF($E$2:$E$633=E342, $B$2:$B$633)), "YYYY-MM")</f>
        <v>2023-01</v>
      </c>
      <c r="AC342" s="13">
        <f>SUM($T$2:T342)</f>
        <v>5660850.3974500028</v>
      </c>
    </row>
    <row r="343" spans="1:29" x14ac:dyDescent="0.45">
      <c r="A343" t="s">
        <v>355</v>
      </c>
      <c r="B343" s="2">
        <v>45029</v>
      </c>
      <c r="C343" s="2">
        <v>45027</v>
      </c>
      <c r="D343" t="s">
        <v>648</v>
      </c>
      <c r="E343" t="s">
        <v>660</v>
      </c>
      <c r="F343" t="s">
        <v>686</v>
      </c>
      <c r="G343" t="s">
        <v>702</v>
      </c>
      <c r="H343" s="9" t="s">
        <v>709</v>
      </c>
      <c r="I343" s="9" t="s">
        <v>715</v>
      </c>
      <c r="J343" s="9" t="s">
        <v>729</v>
      </c>
      <c r="K343" t="s">
        <v>1075</v>
      </c>
      <c r="L343" s="7">
        <v>32.1</v>
      </c>
      <c r="M343" s="7">
        <v>70.599999999999994</v>
      </c>
      <c r="N343" s="5">
        <v>0.28199999999999997</v>
      </c>
      <c r="O343">
        <v>22</v>
      </c>
      <c r="P343" s="2">
        <f t="shared" si="45"/>
        <v>45036</v>
      </c>
      <c r="Q343" t="str">
        <f t="shared" si="46"/>
        <v>Ok</v>
      </c>
      <c r="R343">
        <f>ABS(Table2[[#This Row],[UnitPrice]])</f>
        <v>70.599999999999994</v>
      </c>
      <c r="S343">
        <f t="shared" si="47"/>
        <v>7</v>
      </c>
      <c r="T343" s="12">
        <f t="shared" si="48"/>
        <v>1115.1975999999997</v>
      </c>
      <c r="U343">
        <f>Table2[[#This Row],[UnitCost]]*Table2[[#This Row],[Quantity]]</f>
        <v>706.2</v>
      </c>
      <c r="V343" s="13">
        <f t="shared" si="49"/>
        <v>408.99759999999969</v>
      </c>
      <c r="W343" s="5">
        <f t="shared" si="50"/>
        <v>0.36674899587301818</v>
      </c>
      <c r="X343" s="17" t="str">
        <f t="shared" si="51"/>
        <v>Apr-2023</v>
      </c>
      <c r="Z343" t="str">
        <f t="shared" si="52"/>
        <v>Americas. USA. San Francisco</v>
      </c>
      <c r="AA343" t="str">
        <f t="shared" si="53"/>
        <v>Low</v>
      </c>
      <c r="AB343" t="str">
        <f t="array" ref="AB343">TEXT(MIN(IF($E$2:$E$633=E343, $B$2:$B$633)), "YYYY-MM")</f>
        <v>2023-01</v>
      </c>
      <c r="AC343" s="13">
        <f>SUM($T$2:T343)</f>
        <v>5661965.5950500024</v>
      </c>
    </row>
    <row r="344" spans="1:29" x14ac:dyDescent="0.45">
      <c r="A344" t="s">
        <v>356</v>
      </c>
      <c r="B344" s="2">
        <v>45594</v>
      </c>
      <c r="C344" s="2">
        <v>45600</v>
      </c>
      <c r="D344" t="s">
        <v>646</v>
      </c>
      <c r="E344" t="s">
        <v>650</v>
      </c>
      <c r="F344" t="s">
        <v>664</v>
      </c>
      <c r="G344" t="s">
        <v>701</v>
      </c>
      <c r="H344" s="9" t="s">
        <v>710</v>
      </c>
      <c r="I344" s="9" t="s">
        <v>724</v>
      </c>
      <c r="J344" s="9" t="s">
        <v>728</v>
      </c>
      <c r="K344" t="s">
        <v>1076</v>
      </c>
      <c r="L344" s="7">
        <v>805.81</v>
      </c>
      <c r="M344" s="7">
        <v>1823.04</v>
      </c>
      <c r="N344" s="5">
        <v>0</v>
      </c>
      <c r="O344">
        <v>11</v>
      </c>
      <c r="P344" s="2">
        <f t="shared" si="45"/>
        <v>45600</v>
      </c>
      <c r="Q344" t="str">
        <f t="shared" si="46"/>
        <v>Ok</v>
      </c>
      <c r="R344">
        <f>ABS(Table2[[#This Row],[UnitPrice]])</f>
        <v>1823.04</v>
      </c>
      <c r="S344">
        <f t="shared" si="47"/>
        <v>6</v>
      </c>
      <c r="T344" s="12">
        <f t="shared" si="48"/>
        <v>20053.439999999999</v>
      </c>
      <c r="U344">
        <f>Table2[[#This Row],[UnitCost]]*Table2[[#This Row],[Quantity]]</f>
        <v>8863.91</v>
      </c>
      <c r="V344" s="13">
        <f t="shared" si="49"/>
        <v>11189.529999999999</v>
      </c>
      <c r="W344" s="5">
        <f t="shared" si="50"/>
        <v>0.55798556257679477</v>
      </c>
      <c r="X344" s="17" t="str">
        <f t="shared" si="51"/>
        <v>Oct-2024</v>
      </c>
      <c r="Z344" t="str">
        <f t="shared" si="52"/>
        <v>Africa. Kenya. Nairobi</v>
      </c>
      <c r="AA344" t="str">
        <f t="shared" si="53"/>
        <v>High</v>
      </c>
      <c r="AB344" t="str">
        <f t="array" ref="AB344">TEXT(MIN(IF($E$2:$E$633=E344, $B$2:$B$633)), "YYYY-MM")</f>
        <v>2023-01</v>
      </c>
      <c r="AC344" s="13">
        <f>SUM($T$2:T344)</f>
        <v>5682019.0350500029</v>
      </c>
    </row>
    <row r="345" spans="1:29" x14ac:dyDescent="0.45">
      <c r="A345" t="s">
        <v>357</v>
      </c>
      <c r="B345" s="2">
        <v>45339</v>
      </c>
      <c r="C345" s="2">
        <v>45355</v>
      </c>
      <c r="D345" t="s">
        <v>647</v>
      </c>
      <c r="E345" t="s">
        <v>654</v>
      </c>
      <c r="F345" t="s">
        <v>680</v>
      </c>
      <c r="G345" t="s">
        <v>705</v>
      </c>
      <c r="H345" s="9" t="s">
        <v>709</v>
      </c>
      <c r="I345" s="9" t="s">
        <v>721</v>
      </c>
      <c r="J345" s="9" t="s">
        <v>730</v>
      </c>
      <c r="K345" t="s">
        <v>1077</v>
      </c>
      <c r="L345" s="7">
        <v>1231.8</v>
      </c>
      <c r="M345" s="7">
        <v>2015.99</v>
      </c>
      <c r="N345" s="5">
        <v>0.26100000000000001</v>
      </c>
      <c r="O345">
        <v>6</v>
      </c>
      <c r="P345" s="2">
        <f t="shared" si="45"/>
        <v>45355</v>
      </c>
      <c r="Q345" t="str">
        <f t="shared" si="46"/>
        <v>Ok</v>
      </c>
      <c r="R345">
        <f>ABS(Table2[[#This Row],[UnitPrice]])</f>
        <v>2015.99</v>
      </c>
      <c r="S345">
        <f t="shared" si="47"/>
        <v>16</v>
      </c>
      <c r="T345" s="12">
        <f t="shared" si="48"/>
        <v>8938.8996600000009</v>
      </c>
      <c r="U345">
        <f>Table2[[#This Row],[UnitCost]]*Table2[[#This Row],[Quantity]]</f>
        <v>7390.7999999999993</v>
      </c>
      <c r="V345" s="13">
        <f t="shared" si="49"/>
        <v>1548.0996600000017</v>
      </c>
      <c r="W345" s="5">
        <f t="shared" si="50"/>
        <v>0.17318682599464391</v>
      </c>
      <c r="X345" s="17" t="str">
        <f t="shared" si="51"/>
        <v>Feb-2024</v>
      </c>
      <c r="Z345" t="str">
        <f t="shared" si="52"/>
        <v>Asia. India. Delhi</v>
      </c>
      <c r="AA345" t="str">
        <f t="shared" si="53"/>
        <v>High</v>
      </c>
      <c r="AB345" t="str">
        <f t="array" ref="AB345">TEXT(MIN(IF($E$2:$E$633=E345, $B$2:$B$633)), "YYYY-MM")</f>
        <v>2023-01</v>
      </c>
      <c r="AC345" s="13">
        <f>SUM($T$2:T345)</f>
        <v>5690957.9347100025</v>
      </c>
    </row>
    <row r="346" spans="1:29" x14ac:dyDescent="0.45">
      <c r="A346" t="s">
        <v>358</v>
      </c>
      <c r="B346" s="2">
        <v>45486</v>
      </c>
      <c r="C346" s="2">
        <v>45485</v>
      </c>
      <c r="D346" t="s">
        <v>647</v>
      </c>
      <c r="E346" t="s">
        <v>652</v>
      </c>
      <c r="F346" t="s">
        <v>694</v>
      </c>
      <c r="G346" t="s">
        <v>705</v>
      </c>
      <c r="H346" s="9" t="s">
        <v>709</v>
      </c>
      <c r="I346" s="9" t="s">
        <v>721</v>
      </c>
      <c r="J346" s="9" t="s">
        <v>729</v>
      </c>
      <c r="K346" t="s">
        <v>1078</v>
      </c>
      <c r="L346" s="7">
        <v>105.13</v>
      </c>
      <c r="M346" s="7">
        <v>244.13</v>
      </c>
      <c r="N346" s="5">
        <v>7.0999999999999994E-2</v>
      </c>
      <c r="O346">
        <v>14</v>
      </c>
      <c r="P346" s="2">
        <f t="shared" si="45"/>
        <v>45493</v>
      </c>
      <c r="Q346" t="str">
        <f t="shared" si="46"/>
        <v>Ok</v>
      </c>
      <c r="R346">
        <f>ABS(Table2[[#This Row],[UnitPrice]])</f>
        <v>244.13</v>
      </c>
      <c r="S346">
        <f t="shared" si="47"/>
        <v>7</v>
      </c>
      <c r="T346" s="12">
        <f t="shared" si="48"/>
        <v>3175.1547799999998</v>
      </c>
      <c r="U346">
        <f>Table2[[#This Row],[UnitCost]]*Table2[[#This Row],[Quantity]]</f>
        <v>1471.82</v>
      </c>
      <c r="V346" s="13">
        <f t="shared" si="49"/>
        <v>1703.3347799999999</v>
      </c>
      <c r="W346" s="5">
        <f t="shared" si="50"/>
        <v>0.53645724319618837</v>
      </c>
      <c r="X346" s="17" t="str">
        <f t="shared" si="51"/>
        <v>Jul-2024</v>
      </c>
      <c r="Z346" t="str">
        <f t="shared" si="52"/>
        <v>Asia. Japan. Nagoya</v>
      </c>
      <c r="AA346" t="str">
        <f t="shared" si="53"/>
        <v>Low</v>
      </c>
      <c r="AB346" t="str">
        <f t="array" ref="AB346">TEXT(MIN(IF($E$2:$E$633=E346, $B$2:$B$633)), "YYYY-MM")</f>
        <v>2023-03</v>
      </c>
      <c r="AC346" s="13">
        <f>SUM($T$2:T346)</f>
        <v>5694133.089490003</v>
      </c>
    </row>
    <row r="347" spans="1:29" x14ac:dyDescent="0.45">
      <c r="A347" t="s">
        <v>359</v>
      </c>
      <c r="B347" s="2">
        <v>45261</v>
      </c>
      <c r="C347" s="2">
        <v>45278</v>
      </c>
      <c r="D347" t="s">
        <v>647</v>
      </c>
      <c r="E347" t="s">
        <v>652</v>
      </c>
      <c r="F347" t="s">
        <v>694</v>
      </c>
      <c r="G347" t="s">
        <v>705</v>
      </c>
      <c r="H347" s="9" t="s">
        <v>711</v>
      </c>
      <c r="I347" s="9" t="s">
        <v>725</v>
      </c>
      <c r="J347" s="9" t="s">
        <v>731</v>
      </c>
      <c r="K347" t="s">
        <v>1079</v>
      </c>
      <c r="L347" s="7">
        <v>1495.79</v>
      </c>
      <c r="M347" s="7">
        <v>2783.12</v>
      </c>
      <c r="N347" s="5">
        <v>0.02</v>
      </c>
      <c r="O347">
        <v>5</v>
      </c>
      <c r="P347" s="2">
        <f t="shared" si="45"/>
        <v>45278</v>
      </c>
      <c r="Q347" t="str">
        <f t="shared" si="46"/>
        <v>Ok</v>
      </c>
      <c r="R347">
        <f>ABS(Table2[[#This Row],[UnitPrice]])</f>
        <v>2783.12</v>
      </c>
      <c r="S347">
        <f t="shared" si="47"/>
        <v>17</v>
      </c>
      <c r="T347" s="12">
        <f t="shared" si="48"/>
        <v>13637.287999999999</v>
      </c>
      <c r="U347">
        <f>Table2[[#This Row],[UnitCost]]*Table2[[#This Row],[Quantity]]</f>
        <v>7478.95</v>
      </c>
      <c r="V347" s="13">
        <f t="shared" si="49"/>
        <v>6158.3379999999988</v>
      </c>
      <c r="W347" s="5">
        <f t="shared" si="50"/>
        <v>0.45158084217331185</v>
      </c>
      <c r="X347" s="17" t="str">
        <f t="shared" si="51"/>
        <v>Dec-2023</v>
      </c>
      <c r="Z347" t="str">
        <f t="shared" si="52"/>
        <v>Asia. Japan. Nagoya</v>
      </c>
      <c r="AA347" t="str">
        <f t="shared" si="53"/>
        <v>High</v>
      </c>
      <c r="AB347" t="str">
        <f t="array" ref="AB347">TEXT(MIN(IF($E$2:$E$633=E347, $B$2:$B$633)), "YYYY-MM")</f>
        <v>2023-03</v>
      </c>
      <c r="AC347" s="13">
        <f>SUM($T$2:T347)</f>
        <v>5707770.3774900027</v>
      </c>
    </row>
    <row r="348" spans="1:29" x14ac:dyDescent="0.45">
      <c r="A348" t="s">
        <v>360</v>
      </c>
      <c r="B348" s="2">
        <v>45498</v>
      </c>
      <c r="C348" s="2">
        <v>45506</v>
      </c>
      <c r="D348" t="s">
        <v>648</v>
      </c>
      <c r="E348" t="s">
        <v>653</v>
      </c>
      <c r="F348" t="s">
        <v>681</v>
      </c>
      <c r="G348" t="s">
        <v>704</v>
      </c>
      <c r="H348" s="9" t="s">
        <v>711</v>
      </c>
      <c r="I348" s="9" t="s">
        <v>713</v>
      </c>
      <c r="J348" s="9" t="s">
        <v>733</v>
      </c>
      <c r="K348" t="s">
        <v>1080</v>
      </c>
      <c r="L348" s="7">
        <v>986.81</v>
      </c>
      <c r="M348" s="7">
        <v>2050.31</v>
      </c>
      <c r="N348" s="5">
        <v>0.10299999999999999</v>
      </c>
      <c r="O348">
        <v>43</v>
      </c>
      <c r="P348" s="2">
        <f t="shared" si="45"/>
        <v>45506</v>
      </c>
      <c r="Q348" t="str">
        <f t="shared" si="46"/>
        <v>Ok</v>
      </c>
      <c r="R348">
        <f>ABS(Table2[[#This Row],[UnitPrice]])</f>
        <v>2050.31</v>
      </c>
      <c r="S348">
        <f t="shared" si="47"/>
        <v>8</v>
      </c>
      <c r="T348" s="12">
        <f t="shared" si="48"/>
        <v>79082.507010000001</v>
      </c>
      <c r="U348">
        <f>Table2[[#This Row],[UnitCost]]*Table2[[#This Row],[Quantity]]</f>
        <v>42432.829999999994</v>
      </c>
      <c r="V348" s="13">
        <f t="shared" si="49"/>
        <v>36649.677010000007</v>
      </c>
      <c r="W348" s="5">
        <f t="shared" si="50"/>
        <v>0.46343595310358138</v>
      </c>
      <c r="X348" s="17" t="str">
        <f t="shared" si="51"/>
        <v>Jul-2024</v>
      </c>
      <c r="Z348" t="str">
        <f t="shared" si="52"/>
        <v>Americas. Canada. Montreal</v>
      </c>
      <c r="AA348" t="str">
        <f t="shared" si="53"/>
        <v>High</v>
      </c>
      <c r="AB348" t="str">
        <f t="array" ref="AB348">TEXT(MIN(IF($E$2:$E$633=E348, $B$2:$B$633)), "YYYY-MM")</f>
        <v>2023-01</v>
      </c>
      <c r="AC348" s="13">
        <f>SUM($T$2:T348)</f>
        <v>5786852.8845000025</v>
      </c>
    </row>
    <row r="349" spans="1:29" x14ac:dyDescent="0.45">
      <c r="A349" t="s">
        <v>361</v>
      </c>
      <c r="B349" s="2">
        <v>45050</v>
      </c>
      <c r="C349" s="2">
        <v>45062</v>
      </c>
      <c r="D349" t="s">
        <v>646</v>
      </c>
      <c r="E349" t="s">
        <v>651</v>
      </c>
      <c r="F349" t="s">
        <v>669</v>
      </c>
      <c r="G349" t="s">
        <v>705</v>
      </c>
      <c r="H349" s="9" t="s">
        <v>709</v>
      </c>
      <c r="I349" s="9" t="s">
        <v>713</v>
      </c>
      <c r="J349" s="9" t="s">
        <v>730</v>
      </c>
      <c r="K349" t="s">
        <v>1081</v>
      </c>
      <c r="L349" s="7">
        <v>77.739999999999995</v>
      </c>
      <c r="M349" s="7">
        <v>147.12</v>
      </c>
      <c r="N349" s="5">
        <v>0</v>
      </c>
      <c r="O349">
        <v>15</v>
      </c>
      <c r="P349" s="2">
        <f t="shared" si="45"/>
        <v>45062</v>
      </c>
      <c r="Q349" t="str">
        <f t="shared" si="46"/>
        <v>Ok</v>
      </c>
      <c r="R349">
        <f>ABS(Table2[[#This Row],[UnitPrice]])</f>
        <v>147.12</v>
      </c>
      <c r="S349">
        <f t="shared" si="47"/>
        <v>12</v>
      </c>
      <c r="T349" s="12">
        <f t="shared" si="48"/>
        <v>2206.8000000000002</v>
      </c>
      <c r="U349">
        <f>Table2[[#This Row],[UnitCost]]*Table2[[#This Row],[Quantity]]</f>
        <v>1166.0999999999999</v>
      </c>
      <c r="V349" s="13">
        <f t="shared" si="49"/>
        <v>1040.7000000000003</v>
      </c>
      <c r="W349" s="5">
        <f t="shared" si="50"/>
        <v>0.47158781946710177</v>
      </c>
      <c r="X349" s="17" t="str">
        <f t="shared" si="51"/>
        <v>May-2023</v>
      </c>
      <c r="Z349" t="str">
        <f t="shared" si="52"/>
        <v>Africa. Nigeria. Abuja</v>
      </c>
      <c r="AA349" t="str">
        <f t="shared" si="53"/>
        <v>Low</v>
      </c>
      <c r="AB349" t="str">
        <f t="array" ref="AB349">TEXT(MIN(IF($E$2:$E$633=E349, $B$2:$B$633)), "YYYY-MM")</f>
        <v>2023-01</v>
      </c>
      <c r="AC349" s="13">
        <f>SUM($T$2:T349)</f>
        <v>5789059.6845000023</v>
      </c>
    </row>
    <row r="350" spans="1:29" x14ac:dyDescent="0.45">
      <c r="A350" t="s">
        <v>362</v>
      </c>
      <c r="B350" s="2">
        <v>45281</v>
      </c>
      <c r="C350" s="2">
        <v>45297</v>
      </c>
      <c r="D350" t="s">
        <v>646</v>
      </c>
      <c r="E350" t="s">
        <v>651</v>
      </c>
      <c r="F350" t="s">
        <v>1422</v>
      </c>
      <c r="G350" t="s">
        <v>701</v>
      </c>
      <c r="H350" s="9" t="s">
        <v>709</v>
      </c>
      <c r="I350" s="9" t="s">
        <v>723</v>
      </c>
      <c r="J350" s="9" t="s">
        <v>727</v>
      </c>
      <c r="K350" t="s">
        <v>1082</v>
      </c>
      <c r="L350" s="7">
        <v>932.61</v>
      </c>
      <c r="M350" s="7">
        <v>1982.98</v>
      </c>
      <c r="N350" s="5">
        <v>0.14399999999999999</v>
      </c>
      <c r="O350">
        <v>16</v>
      </c>
      <c r="P350" s="2">
        <f t="shared" si="45"/>
        <v>45297</v>
      </c>
      <c r="Q350" t="str">
        <f t="shared" si="46"/>
        <v>Ok</v>
      </c>
      <c r="R350">
        <f>ABS(Table2[[#This Row],[UnitPrice]])</f>
        <v>1982.98</v>
      </c>
      <c r="S350">
        <f t="shared" si="47"/>
        <v>16</v>
      </c>
      <c r="T350" s="12">
        <f t="shared" si="48"/>
        <v>27158.894079999998</v>
      </c>
      <c r="U350">
        <f>Table2[[#This Row],[UnitCost]]*Table2[[#This Row],[Quantity]]</f>
        <v>14921.76</v>
      </c>
      <c r="V350" s="13">
        <f t="shared" si="49"/>
        <v>12237.134079999998</v>
      </c>
      <c r="W350" s="5">
        <f t="shared" si="50"/>
        <v>0.45057556629345635</v>
      </c>
      <c r="X350" s="17" t="str">
        <f t="shared" si="51"/>
        <v>Dec-2023</v>
      </c>
      <c r="Z350" t="str">
        <f t="shared" si="52"/>
        <v>Africa. Nigeria. Unknown</v>
      </c>
      <c r="AA350" t="str">
        <f t="shared" si="53"/>
        <v>High</v>
      </c>
      <c r="AB350" t="str">
        <f t="array" ref="AB350">TEXT(MIN(IF($E$2:$E$633=E350, $B$2:$B$633)), "YYYY-MM")</f>
        <v>2023-01</v>
      </c>
      <c r="AC350" s="13">
        <f>SUM($T$2:T350)</f>
        <v>5816218.5785800023</v>
      </c>
    </row>
    <row r="351" spans="1:29" x14ac:dyDescent="0.45">
      <c r="A351" t="s">
        <v>363</v>
      </c>
      <c r="B351" s="2">
        <v>45825</v>
      </c>
      <c r="C351" s="2">
        <v>45843</v>
      </c>
      <c r="D351" t="s">
        <v>647</v>
      </c>
      <c r="E351" t="s">
        <v>654</v>
      </c>
      <c r="F351" t="s">
        <v>680</v>
      </c>
      <c r="G351" t="s">
        <v>704</v>
      </c>
      <c r="H351" s="9" t="s">
        <v>709</v>
      </c>
      <c r="I351" s="9" t="s">
        <v>716</v>
      </c>
      <c r="J351" s="9" t="s">
        <v>731</v>
      </c>
      <c r="K351" t="s">
        <v>1083</v>
      </c>
      <c r="L351" s="7">
        <v>982.93</v>
      </c>
      <c r="M351" s="7">
        <v>2299.3000000000002</v>
      </c>
      <c r="N351" s="5">
        <v>0.113</v>
      </c>
      <c r="O351">
        <v>6</v>
      </c>
      <c r="P351" s="2">
        <f t="shared" si="45"/>
        <v>45843</v>
      </c>
      <c r="Q351" t="str">
        <f t="shared" si="46"/>
        <v>Ok</v>
      </c>
      <c r="R351">
        <f>ABS(Table2[[#This Row],[UnitPrice]])</f>
        <v>2299.3000000000002</v>
      </c>
      <c r="S351">
        <f t="shared" si="47"/>
        <v>18</v>
      </c>
      <c r="T351" s="12">
        <f t="shared" si="48"/>
        <v>12236.874600000001</v>
      </c>
      <c r="U351">
        <f>Table2[[#This Row],[UnitCost]]*Table2[[#This Row],[Quantity]]</f>
        <v>5897.58</v>
      </c>
      <c r="V351" s="13">
        <f t="shared" si="49"/>
        <v>6339.2946000000011</v>
      </c>
      <c r="W351" s="5">
        <f t="shared" si="50"/>
        <v>0.51804850562087157</v>
      </c>
      <c r="X351" s="17" t="str">
        <f t="shared" si="51"/>
        <v>Jun-2025</v>
      </c>
      <c r="Z351" t="str">
        <f t="shared" si="52"/>
        <v>Asia. India. Delhi</v>
      </c>
      <c r="AA351" t="str">
        <f t="shared" si="53"/>
        <v>High</v>
      </c>
      <c r="AB351" t="str">
        <f t="array" ref="AB351">TEXT(MIN(IF($E$2:$E$633=E351, $B$2:$B$633)), "YYYY-MM")</f>
        <v>2023-01</v>
      </c>
      <c r="AC351" s="13">
        <f>SUM($T$2:T351)</f>
        <v>5828455.453180002</v>
      </c>
    </row>
    <row r="352" spans="1:29" x14ac:dyDescent="0.45">
      <c r="A352" t="s">
        <v>364</v>
      </c>
      <c r="B352" s="2">
        <v>44980</v>
      </c>
      <c r="C352" s="2">
        <v>44993</v>
      </c>
      <c r="D352" t="s">
        <v>649</v>
      </c>
      <c r="E352" t="s">
        <v>658</v>
      </c>
      <c r="F352" t="s">
        <v>693</v>
      </c>
      <c r="G352" t="s">
        <v>705</v>
      </c>
      <c r="H352" s="9" t="s">
        <v>711</v>
      </c>
      <c r="I352" s="9" t="s">
        <v>712</v>
      </c>
      <c r="J352" s="9" t="s">
        <v>728</v>
      </c>
      <c r="K352" t="s">
        <v>1084</v>
      </c>
      <c r="L352" s="7">
        <v>307.37</v>
      </c>
      <c r="M352" s="7">
        <v>462.61</v>
      </c>
      <c r="N352" s="5">
        <v>0.188</v>
      </c>
      <c r="O352">
        <v>11</v>
      </c>
      <c r="P352" s="2">
        <f t="shared" si="45"/>
        <v>44993</v>
      </c>
      <c r="Q352" t="str">
        <f t="shared" si="46"/>
        <v>Ok</v>
      </c>
      <c r="R352">
        <f>ABS(Table2[[#This Row],[UnitPrice]])</f>
        <v>462.61</v>
      </c>
      <c r="S352">
        <f t="shared" si="47"/>
        <v>13</v>
      </c>
      <c r="T352" s="12">
        <f t="shared" si="48"/>
        <v>4132.0325200000007</v>
      </c>
      <c r="U352">
        <f>Table2[[#This Row],[UnitCost]]*Table2[[#This Row],[Quantity]]</f>
        <v>3381.07</v>
      </c>
      <c r="V352" s="13">
        <f t="shared" si="49"/>
        <v>750.9625200000005</v>
      </c>
      <c r="W352" s="5">
        <f t="shared" si="50"/>
        <v>0.18174167709599739</v>
      </c>
      <c r="X352" s="17" t="str">
        <f t="shared" si="51"/>
        <v>Feb-2023</v>
      </c>
      <c r="Z352" t="str">
        <f t="shared" si="52"/>
        <v>Europe. United Kingdom. Manchester</v>
      </c>
      <c r="AA352" t="str">
        <f t="shared" si="53"/>
        <v>Low</v>
      </c>
      <c r="AB352" t="str">
        <f t="array" ref="AB352">TEXT(MIN(IF($E$2:$E$633=E352, $B$2:$B$633)), "YYYY-MM")</f>
        <v>2023-01</v>
      </c>
      <c r="AC352" s="13">
        <f>SUM($T$2:T352)</f>
        <v>5832587.4857000019</v>
      </c>
    </row>
    <row r="353" spans="1:29" x14ac:dyDescent="0.45">
      <c r="A353" t="s">
        <v>365</v>
      </c>
      <c r="B353" s="2">
        <v>45262</v>
      </c>
      <c r="C353" s="2">
        <v>45276</v>
      </c>
      <c r="D353" t="s">
        <v>649</v>
      </c>
      <c r="E353" t="s">
        <v>656</v>
      </c>
      <c r="F353" t="s">
        <v>698</v>
      </c>
      <c r="G353" t="s">
        <v>702</v>
      </c>
      <c r="H353" s="9" t="s">
        <v>711</v>
      </c>
      <c r="I353" s="9" t="s">
        <v>725</v>
      </c>
      <c r="J353" s="9" t="s">
        <v>732</v>
      </c>
      <c r="K353" t="s">
        <v>1085</v>
      </c>
      <c r="L353" s="7">
        <v>879.08</v>
      </c>
      <c r="M353" s="7">
        <v>1093.3900000000001</v>
      </c>
      <c r="N353" s="5">
        <v>0.113</v>
      </c>
      <c r="O353">
        <v>17</v>
      </c>
      <c r="P353" s="2">
        <f t="shared" si="45"/>
        <v>45276</v>
      </c>
      <c r="Q353" t="str">
        <f t="shared" si="46"/>
        <v>Ok</v>
      </c>
      <c r="R353">
        <f>ABS(Table2[[#This Row],[UnitPrice]])</f>
        <v>1093.3900000000001</v>
      </c>
      <c r="S353">
        <f t="shared" si="47"/>
        <v>14</v>
      </c>
      <c r="T353" s="12">
        <f t="shared" si="48"/>
        <v>16487.22781</v>
      </c>
      <c r="U353">
        <f>Table2[[#This Row],[UnitCost]]*Table2[[#This Row],[Quantity]]</f>
        <v>14944.36</v>
      </c>
      <c r="V353" s="13">
        <f t="shared" si="49"/>
        <v>1542.8678099999997</v>
      </c>
      <c r="W353" s="5">
        <f t="shared" si="50"/>
        <v>9.3579577341935186E-2</v>
      </c>
      <c r="X353" s="17" t="str">
        <f t="shared" si="51"/>
        <v>Dec-2023</v>
      </c>
      <c r="Z353" t="str">
        <f t="shared" si="52"/>
        <v>Europe. Germany. Frankfurt</v>
      </c>
      <c r="AA353" t="str">
        <f t="shared" si="53"/>
        <v>Low</v>
      </c>
      <c r="AB353" t="str">
        <f t="array" ref="AB353">TEXT(MIN(IF($E$2:$E$633=E353, $B$2:$B$633)), "YYYY-MM")</f>
        <v>2023-01</v>
      </c>
      <c r="AC353" s="13">
        <f>SUM($T$2:T353)</f>
        <v>5849074.713510002</v>
      </c>
    </row>
    <row r="354" spans="1:29" x14ac:dyDescent="0.45">
      <c r="A354" t="s">
        <v>366</v>
      </c>
      <c r="B354" s="2">
        <v>45121</v>
      </c>
      <c r="C354" s="2">
        <v>45121</v>
      </c>
      <c r="D354" t="s">
        <v>646</v>
      </c>
      <c r="E354" t="s">
        <v>651</v>
      </c>
      <c r="F354" t="s">
        <v>665</v>
      </c>
      <c r="G354" t="s">
        <v>702</v>
      </c>
      <c r="H354" s="9" t="s">
        <v>707</v>
      </c>
      <c r="I354" s="9" t="s">
        <v>714</v>
      </c>
      <c r="J354" s="9" t="s">
        <v>733</v>
      </c>
      <c r="K354" t="s">
        <v>1086</v>
      </c>
      <c r="L354" s="7">
        <v>956.38</v>
      </c>
      <c r="M354" s="7">
        <v>1454.22</v>
      </c>
      <c r="N354" s="5">
        <v>3.9E-2</v>
      </c>
      <c r="O354">
        <v>19</v>
      </c>
      <c r="P354" s="2">
        <f t="shared" si="45"/>
        <v>45121</v>
      </c>
      <c r="Q354" t="str">
        <f t="shared" si="46"/>
        <v>Ok</v>
      </c>
      <c r="R354">
        <f>ABS(Table2[[#This Row],[UnitPrice]])</f>
        <v>1454.22</v>
      </c>
      <c r="S354">
        <f t="shared" si="47"/>
        <v>0</v>
      </c>
      <c r="T354" s="12">
        <f t="shared" si="48"/>
        <v>26552.60298</v>
      </c>
      <c r="U354">
        <f>Table2[[#This Row],[UnitCost]]*Table2[[#This Row],[Quantity]]</f>
        <v>18171.22</v>
      </c>
      <c r="V354" s="13">
        <f t="shared" si="49"/>
        <v>8381.3829799999985</v>
      </c>
      <c r="W354" s="5">
        <f t="shared" si="50"/>
        <v>0.31565202802576603</v>
      </c>
      <c r="X354" s="17" t="str">
        <f t="shared" si="51"/>
        <v>Jul-2023</v>
      </c>
      <c r="Z354" t="str">
        <f t="shared" si="52"/>
        <v>Africa. Nigeria. Lagos</v>
      </c>
      <c r="AA354" t="str">
        <f t="shared" si="53"/>
        <v>High</v>
      </c>
      <c r="AB354" t="str">
        <f t="array" ref="AB354">TEXT(MIN(IF($E$2:$E$633=E354, $B$2:$B$633)), "YYYY-MM")</f>
        <v>2023-01</v>
      </c>
      <c r="AC354" s="13">
        <f>SUM($T$2:T354)</f>
        <v>5875627.316490002</v>
      </c>
    </row>
    <row r="355" spans="1:29" x14ac:dyDescent="0.45">
      <c r="A355" t="s">
        <v>367</v>
      </c>
      <c r="B355" s="2">
        <v>45512</v>
      </c>
      <c r="C355" s="2">
        <v>45524</v>
      </c>
      <c r="D355" t="s">
        <v>647</v>
      </c>
      <c r="E355" t="s">
        <v>652</v>
      </c>
      <c r="F355" t="s">
        <v>666</v>
      </c>
      <c r="G355" t="s">
        <v>705</v>
      </c>
      <c r="H355" s="9" t="s">
        <v>707</v>
      </c>
      <c r="I355" s="9" t="s">
        <v>722</v>
      </c>
      <c r="J355" s="9" t="s">
        <v>729</v>
      </c>
      <c r="K355" t="s">
        <v>1087</v>
      </c>
      <c r="L355" s="7">
        <v>1233.3599999999999</v>
      </c>
      <c r="M355" s="7">
        <v>2120.4</v>
      </c>
      <c r="N355" s="5">
        <v>0.17899999999999999</v>
      </c>
      <c r="O355">
        <v>20</v>
      </c>
      <c r="P355" s="2">
        <f t="shared" si="45"/>
        <v>45524</v>
      </c>
      <c r="Q355" t="str">
        <f t="shared" si="46"/>
        <v>Ok</v>
      </c>
      <c r="R355">
        <f>ABS(Table2[[#This Row],[UnitPrice]])</f>
        <v>2120.4</v>
      </c>
      <c r="S355">
        <f t="shared" si="47"/>
        <v>12</v>
      </c>
      <c r="T355" s="12">
        <f t="shared" si="48"/>
        <v>34816.968000000001</v>
      </c>
      <c r="U355">
        <f>Table2[[#This Row],[UnitCost]]*Table2[[#This Row],[Quantity]]</f>
        <v>24667.199999999997</v>
      </c>
      <c r="V355" s="13">
        <f t="shared" si="49"/>
        <v>10149.768000000004</v>
      </c>
      <c r="W355" s="5">
        <f t="shared" si="50"/>
        <v>0.29151785991244278</v>
      </c>
      <c r="X355" s="17" t="str">
        <f t="shared" si="51"/>
        <v>Aug-2024</v>
      </c>
      <c r="Z355" t="str">
        <f t="shared" si="52"/>
        <v>Asia. Japan. Osaka</v>
      </c>
      <c r="AA355" t="str">
        <f t="shared" si="53"/>
        <v>High</v>
      </c>
      <c r="AB355" t="str">
        <f t="array" ref="AB355">TEXT(MIN(IF($E$2:$E$633=E355, $B$2:$B$633)), "YYYY-MM")</f>
        <v>2023-03</v>
      </c>
      <c r="AC355" s="13">
        <f>SUM($T$2:T355)</f>
        <v>5910444.2844900023</v>
      </c>
    </row>
    <row r="356" spans="1:29" x14ac:dyDescent="0.45">
      <c r="A356" t="s">
        <v>368</v>
      </c>
      <c r="B356" s="2">
        <v>45603</v>
      </c>
      <c r="C356" s="2">
        <v>45622</v>
      </c>
      <c r="D356" t="s">
        <v>648</v>
      </c>
      <c r="E356" t="s">
        <v>655</v>
      </c>
      <c r="F356" t="s">
        <v>692</v>
      </c>
      <c r="G356" t="s">
        <v>703</v>
      </c>
      <c r="H356" s="9" t="s">
        <v>710</v>
      </c>
      <c r="I356" s="9" t="s">
        <v>713</v>
      </c>
      <c r="J356" s="9" t="s">
        <v>728</v>
      </c>
      <c r="K356" t="s">
        <v>1088</v>
      </c>
      <c r="L356" s="7">
        <v>55.35</v>
      </c>
      <c r="M356" s="7">
        <v>128.68</v>
      </c>
      <c r="N356" s="5">
        <v>0.128</v>
      </c>
      <c r="O356">
        <v>10</v>
      </c>
      <c r="P356" s="2">
        <f t="shared" si="45"/>
        <v>45622</v>
      </c>
      <c r="Q356" t="str">
        <f t="shared" si="46"/>
        <v>Ok</v>
      </c>
      <c r="R356">
        <f>ABS(Table2[[#This Row],[UnitPrice]])</f>
        <v>128.68</v>
      </c>
      <c r="S356">
        <f t="shared" si="47"/>
        <v>19</v>
      </c>
      <c r="T356" s="12">
        <f t="shared" si="48"/>
        <v>1122.0896000000002</v>
      </c>
      <c r="U356">
        <f>Table2[[#This Row],[UnitCost]]*Table2[[#This Row],[Quantity]]</f>
        <v>553.5</v>
      </c>
      <c r="V356" s="13">
        <f t="shared" si="49"/>
        <v>568.58960000000025</v>
      </c>
      <c r="W356" s="5">
        <f t="shared" si="50"/>
        <v>0.50672388372550647</v>
      </c>
      <c r="X356" s="17" t="str">
        <f t="shared" si="51"/>
        <v>Nov-2024</v>
      </c>
      <c r="Z356" t="str">
        <f t="shared" si="52"/>
        <v>Americas. Brazil. Rio de Janeiro</v>
      </c>
      <c r="AA356" t="str">
        <f t="shared" si="53"/>
        <v>Low</v>
      </c>
      <c r="AB356" t="str">
        <f t="array" ref="AB356">TEXT(MIN(IF($E$2:$E$633=E356, $B$2:$B$633)), "YYYY-MM")</f>
        <v>2023-01</v>
      </c>
      <c r="AC356" s="13">
        <f>SUM($T$2:T356)</f>
        <v>5911566.3740900019</v>
      </c>
    </row>
    <row r="357" spans="1:29" x14ac:dyDescent="0.45">
      <c r="A357" t="s">
        <v>369</v>
      </c>
      <c r="B357" s="2">
        <v>45292</v>
      </c>
      <c r="C357" s="2">
        <v>45318</v>
      </c>
      <c r="D357" t="s">
        <v>649</v>
      </c>
      <c r="E357" t="s">
        <v>658</v>
      </c>
      <c r="F357" t="s">
        <v>693</v>
      </c>
      <c r="G357" t="s">
        <v>702</v>
      </c>
      <c r="H357" s="9" t="s">
        <v>710</v>
      </c>
      <c r="I357" s="9" t="s">
        <v>726</v>
      </c>
      <c r="J357" s="9" t="s">
        <v>733</v>
      </c>
      <c r="K357" t="s">
        <v>1089</v>
      </c>
      <c r="L357" s="7">
        <v>657.45</v>
      </c>
      <c r="M357" s="7">
        <v>1325.96</v>
      </c>
      <c r="N357" s="5">
        <v>0.16700000000000001</v>
      </c>
      <c r="O357">
        <v>21</v>
      </c>
      <c r="P357" s="2">
        <f t="shared" si="45"/>
        <v>45318</v>
      </c>
      <c r="Q357" t="str">
        <f t="shared" si="46"/>
        <v>Ok</v>
      </c>
      <c r="R357">
        <f>ABS(Table2[[#This Row],[UnitPrice]])</f>
        <v>1325.96</v>
      </c>
      <c r="S357">
        <f t="shared" si="47"/>
        <v>26</v>
      </c>
      <c r="T357" s="12">
        <f t="shared" si="48"/>
        <v>23195.01828</v>
      </c>
      <c r="U357">
        <f>Table2[[#This Row],[UnitCost]]*Table2[[#This Row],[Quantity]]</f>
        <v>13806.45</v>
      </c>
      <c r="V357" s="13">
        <f t="shared" si="49"/>
        <v>9388.5682799999995</v>
      </c>
      <c r="W357" s="5">
        <f t="shared" si="50"/>
        <v>0.40476658249048808</v>
      </c>
      <c r="X357" s="17" t="str">
        <f t="shared" si="51"/>
        <v>Jan-2024</v>
      </c>
      <c r="Z357" t="str">
        <f t="shared" si="52"/>
        <v>Europe. United Kingdom. Manchester</v>
      </c>
      <c r="AA357" t="str">
        <f t="shared" si="53"/>
        <v>High</v>
      </c>
      <c r="AB357" t="str">
        <f t="array" ref="AB357">TEXT(MIN(IF($E$2:$E$633=E357, $B$2:$B$633)), "YYYY-MM")</f>
        <v>2023-01</v>
      </c>
      <c r="AC357" s="13">
        <f>SUM($T$2:T357)</f>
        <v>5934761.3923700023</v>
      </c>
    </row>
    <row r="358" spans="1:29" x14ac:dyDescent="0.45">
      <c r="A358" t="s">
        <v>370</v>
      </c>
      <c r="B358" s="2">
        <v>45883</v>
      </c>
      <c r="C358" s="2">
        <v>45911</v>
      </c>
      <c r="D358" t="s">
        <v>648</v>
      </c>
      <c r="E358" t="s">
        <v>655</v>
      </c>
      <c r="F358" t="s">
        <v>670</v>
      </c>
      <c r="G358" t="s">
        <v>703</v>
      </c>
      <c r="H358" s="9" t="s">
        <v>711</v>
      </c>
      <c r="I358" s="9" t="s">
        <v>721</v>
      </c>
      <c r="J358" s="9" t="s">
        <v>728</v>
      </c>
      <c r="K358" t="s">
        <v>1090</v>
      </c>
      <c r="L358" s="7">
        <v>1203.02</v>
      </c>
      <c r="M358" s="7">
        <v>2439.33</v>
      </c>
      <c r="N358" s="5">
        <v>0</v>
      </c>
      <c r="O358">
        <v>18</v>
      </c>
      <c r="P358" s="2">
        <f t="shared" si="45"/>
        <v>45911</v>
      </c>
      <c r="Q358" t="str">
        <f t="shared" si="46"/>
        <v>Ok</v>
      </c>
      <c r="R358">
        <f>ABS(Table2[[#This Row],[UnitPrice]])</f>
        <v>2439.33</v>
      </c>
      <c r="S358">
        <f t="shared" si="47"/>
        <v>28</v>
      </c>
      <c r="T358" s="12">
        <f t="shared" si="48"/>
        <v>43907.94</v>
      </c>
      <c r="U358">
        <f>Table2[[#This Row],[UnitCost]]*Table2[[#This Row],[Quantity]]</f>
        <v>21654.36</v>
      </c>
      <c r="V358" s="13">
        <f t="shared" si="49"/>
        <v>22253.58</v>
      </c>
      <c r="W358" s="5">
        <f t="shared" si="50"/>
        <v>0.50682359500354612</v>
      </c>
      <c r="X358" s="17" t="str">
        <f t="shared" si="51"/>
        <v>Aug-2025</v>
      </c>
      <c r="Z358" t="str">
        <f t="shared" si="52"/>
        <v>Americas. Brazil. São Paulo</v>
      </c>
      <c r="AA358" t="str">
        <f t="shared" si="53"/>
        <v>High</v>
      </c>
      <c r="AB358" t="str">
        <f t="array" ref="AB358">TEXT(MIN(IF($E$2:$E$633=E358, $B$2:$B$633)), "YYYY-MM")</f>
        <v>2023-01</v>
      </c>
      <c r="AC358" s="13">
        <f>SUM($T$2:T358)</f>
        <v>5978669.3323700028</v>
      </c>
    </row>
    <row r="359" spans="1:29" x14ac:dyDescent="0.45">
      <c r="A359" t="s">
        <v>371</v>
      </c>
      <c r="B359" s="2">
        <v>45385</v>
      </c>
      <c r="C359" s="2">
        <v>45403</v>
      </c>
      <c r="D359" t="s">
        <v>648</v>
      </c>
      <c r="E359" t="s">
        <v>655</v>
      </c>
      <c r="F359" t="s">
        <v>672</v>
      </c>
      <c r="G359" t="s">
        <v>705</v>
      </c>
      <c r="H359" s="9" t="s">
        <v>710</v>
      </c>
      <c r="I359" s="9" t="s">
        <v>717</v>
      </c>
      <c r="J359" s="9" t="s">
        <v>729</v>
      </c>
      <c r="K359" t="s">
        <v>1091</v>
      </c>
      <c r="L359" s="7">
        <v>1176.69</v>
      </c>
      <c r="M359" s="7">
        <v>2201.54</v>
      </c>
      <c r="N359" s="5">
        <v>0.17</v>
      </c>
      <c r="O359">
        <v>27</v>
      </c>
      <c r="P359" s="2">
        <f t="shared" si="45"/>
        <v>45403</v>
      </c>
      <c r="Q359" t="str">
        <f t="shared" si="46"/>
        <v>Ok</v>
      </c>
      <c r="R359">
        <f>ABS(Table2[[#This Row],[UnitPrice]])</f>
        <v>2201.54</v>
      </c>
      <c r="S359">
        <f t="shared" si="47"/>
        <v>18</v>
      </c>
      <c r="T359" s="12">
        <f t="shared" si="48"/>
        <v>49336.511399999996</v>
      </c>
      <c r="U359">
        <f>Table2[[#This Row],[UnitCost]]*Table2[[#This Row],[Quantity]]</f>
        <v>31770.63</v>
      </c>
      <c r="V359" s="13">
        <f t="shared" si="49"/>
        <v>17565.881399999995</v>
      </c>
      <c r="W359" s="5">
        <f t="shared" si="50"/>
        <v>0.35604222717701106</v>
      </c>
      <c r="X359" s="17" t="str">
        <f t="shared" si="51"/>
        <v>Apr-2024</v>
      </c>
      <c r="Z359" t="str">
        <f t="shared" si="52"/>
        <v>Americas. Brazil. Brasília</v>
      </c>
      <c r="AA359" t="str">
        <f t="shared" si="53"/>
        <v>High</v>
      </c>
      <c r="AB359" t="str">
        <f t="array" ref="AB359">TEXT(MIN(IF($E$2:$E$633=E359, $B$2:$B$633)), "YYYY-MM")</f>
        <v>2023-01</v>
      </c>
      <c r="AC359" s="13">
        <f>SUM($T$2:T359)</f>
        <v>6028005.8437700029</v>
      </c>
    </row>
    <row r="360" spans="1:29" x14ac:dyDescent="0.45">
      <c r="A360" t="s">
        <v>372</v>
      </c>
      <c r="B360" s="2">
        <v>45621</v>
      </c>
      <c r="C360" s="2">
        <v>45633</v>
      </c>
      <c r="D360" t="s">
        <v>647</v>
      </c>
      <c r="E360" t="s">
        <v>659</v>
      </c>
      <c r="F360" t="s">
        <v>685</v>
      </c>
      <c r="G360" t="s">
        <v>701</v>
      </c>
      <c r="H360" s="9" t="s">
        <v>710</v>
      </c>
      <c r="I360" s="9" t="s">
        <v>720</v>
      </c>
      <c r="J360" s="9" t="s">
        <v>733</v>
      </c>
      <c r="K360" t="s">
        <v>1092</v>
      </c>
      <c r="L360" s="7">
        <v>769.9</v>
      </c>
      <c r="M360" s="7">
        <v>814.36</v>
      </c>
      <c r="N360" s="5">
        <v>0</v>
      </c>
      <c r="O360">
        <v>5</v>
      </c>
      <c r="P360" s="2">
        <f t="shared" si="45"/>
        <v>45633</v>
      </c>
      <c r="Q360" t="str">
        <f t="shared" si="46"/>
        <v>Ok</v>
      </c>
      <c r="R360">
        <f>ABS(Table2[[#This Row],[UnitPrice]])</f>
        <v>814.36</v>
      </c>
      <c r="S360">
        <f t="shared" si="47"/>
        <v>12</v>
      </c>
      <c r="T360" s="12">
        <f t="shared" si="48"/>
        <v>4071.8</v>
      </c>
      <c r="U360">
        <f>Table2[[#This Row],[UnitCost]]*Table2[[#This Row],[Quantity]]</f>
        <v>3849.5</v>
      </c>
      <c r="V360" s="13">
        <f t="shared" si="49"/>
        <v>222.30000000000018</v>
      </c>
      <c r="W360" s="5">
        <f t="shared" si="50"/>
        <v>5.4595019401738831E-2</v>
      </c>
      <c r="X360" s="17" t="str">
        <f t="shared" si="51"/>
        <v>Nov-2024</v>
      </c>
      <c r="Z360" t="str">
        <f t="shared" si="52"/>
        <v>Asia. China. Shanghai</v>
      </c>
      <c r="AA360" t="str">
        <f t="shared" si="53"/>
        <v>Low</v>
      </c>
      <c r="AB360" t="str">
        <f t="array" ref="AB360">TEXT(MIN(IF($E$2:$E$633=E360, $B$2:$B$633)), "YYYY-MM")</f>
        <v>2023-01</v>
      </c>
      <c r="AC360" s="13">
        <f>SUM($T$2:T360)</f>
        <v>6032077.6437700028</v>
      </c>
    </row>
    <row r="361" spans="1:29" x14ac:dyDescent="0.45">
      <c r="A361" t="s">
        <v>373</v>
      </c>
      <c r="B361" s="2">
        <v>45309</v>
      </c>
      <c r="C361" s="2">
        <v>45325</v>
      </c>
      <c r="D361" t="s">
        <v>646</v>
      </c>
      <c r="E361" t="s">
        <v>661</v>
      </c>
      <c r="F361" t="s">
        <v>695</v>
      </c>
      <c r="G361" t="s">
        <v>703</v>
      </c>
      <c r="H361" s="9" t="s">
        <v>710</v>
      </c>
      <c r="I361" s="9" t="s">
        <v>716</v>
      </c>
      <c r="J361" s="9" t="s">
        <v>728</v>
      </c>
      <c r="K361" t="s">
        <v>1093</v>
      </c>
      <c r="L361" s="7">
        <v>666.23</v>
      </c>
      <c r="M361" s="7">
        <v>1382.91</v>
      </c>
      <c r="N361" s="5">
        <v>0.17599999999999999</v>
      </c>
      <c r="O361">
        <v>13</v>
      </c>
      <c r="P361" s="2">
        <f t="shared" si="45"/>
        <v>45325</v>
      </c>
      <c r="Q361" t="str">
        <f t="shared" si="46"/>
        <v>Ok</v>
      </c>
      <c r="R361">
        <f>ABS(Table2[[#This Row],[UnitPrice]])</f>
        <v>1382.91</v>
      </c>
      <c r="S361">
        <f t="shared" si="47"/>
        <v>16</v>
      </c>
      <c r="T361" s="12">
        <f t="shared" si="48"/>
        <v>14813.731920000002</v>
      </c>
      <c r="U361">
        <f>Table2[[#This Row],[UnitCost]]*Table2[[#This Row],[Quantity]]</f>
        <v>8660.99</v>
      </c>
      <c r="V361" s="13">
        <f t="shared" si="49"/>
        <v>6152.7419200000022</v>
      </c>
      <c r="W361" s="5">
        <f t="shared" si="50"/>
        <v>0.41534043907553048</v>
      </c>
      <c r="X361" s="17" t="str">
        <f t="shared" si="51"/>
        <v>Jan-2024</v>
      </c>
      <c r="Z361" t="str">
        <f t="shared" si="52"/>
        <v>Africa. South Africa. Cape Town</v>
      </c>
      <c r="AA361" t="str">
        <f t="shared" si="53"/>
        <v>High</v>
      </c>
      <c r="AB361" t="str">
        <f t="array" ref="AB361">TEXT(MIN(IF($E$2:$E$633=E361, $B$2:$B$633)), "YYYY-MM")</f>
        <v>2023-01</v>
      </c>
      <c r="AC361" s="13">
        <f>SUM($T$2:T361)</f>
        <v>6046891.3756900029</v>
      </c>
    </row>
    <row r="362" spans="1:29" x14ac:dyDescent="0.45">
      <c r="A362" t="s">
        <v>374</v>
      </c>
      <c r="B362" s="2">
        <v>45466</v>
      </c>
      <c r="C362" s="2">
        <v>45468</v>
      </c>
      <c r="D362" t="s">
        <v>649</v>
      </c>
      <c r="E362" t="s">
        <v>658</v>
      </c>
      <c r="F362" t="s">
        <v>674</v>
      </c>
      <c r="G362" t="s">
        <v>705</v>
      </c>
      <c r="H362" s="9" t="s">
        <v>709</v>
      </c>
      <c r="I362" s="9" t="s">
        <v>716</v>
      </c>
      <c r="J362" s="9" t="s">
        <v>733</v>
      </c>
      <c r="K362" t="s">
        <v>1094</v>
      </c>
      <c r="L362" s="7">
        <v>951.44</v>
      </c>
      <c r="M362" s="7">
        <v>1646.43</v>
      </c>
      <c r="N362" s="5">
        <v>0.11</v>
      </c>
      <c r="O362">
        <v>24</v>
      </c>
      <c r="P362" s="2">
        <f t="shared" si="45"/>
        <v>45468</v>
      </c>
      <c r="Q362" t="str">
        <f t="shared" si="46"/>
        <v>Ok</v>
      </c>
      <c r="R362">
        <f>ABS(Table2[[#This Row],[UnitPrice]])</f>
        <v>1646.43</v>
      </c>
      <c r="S362">
        <f t="shared" si="47"/>
        <v>2</v>
      </c>
      <c r="T362" s="12">
        <f t="shared" si="48"/>
        <v>35167.7448</v>
      </c>
      <c r="U362">
        <f>Table2[[#This Row],[UnitCost]]*Table2[[#This Row],[Quantity]]</f>
        <v>22834.560000000001</v>
      </c>
      <c r="V362" s="13">
        <f t="shared" si="49"/>
        <v>12333.184799999999</v>
      </c>
      <c r="W362" s="5">
        <f t="shared" si="50"/>
        <v>0.35069592520473475</v>
      </c>
      <c r="X362" s="17" t="str">
        <f t="shared" si="51"/>
        <v>Jun-2024</v>
      </c>
      <c r="Z362" t="str">
        <f t="shared" si="52"/>
        <v>Europe. United Kingdom. Birmingham</v>
      </c>
      <c r="AA362" t="str">
        <f t="shared" si="53"/>
        <v>High</v>
      </c>
      <c r="AB362" t="str">
        <f t="array" ref="AB362">TEXT(MIN(IF($E$2:$E$633=E362, $B$2:$B$633)), "YYYY-MM")</f>
        <v>2023-01</v>
      </c>
      <c r="AC362" s="13">
        <f>SUM($T$2:T362)</f>
        <v>6082059.1204900034</v>
      </c>
    </row>
    <row r="363" spans="1:29" x14ac:dyDescent="0.45">
      <c r="A363" t="s">
        <v>375</v>
      </c>
      <c r="B363" s="2">
        <v>45833</v>
      </c>
      <c r="C363" s="2">
        <v>45848</v>
      </c>
      <c r="D363" t="s">
        <v>649</v>
      </c>
      <c r="E363" t="s">
        <v>658</v>
      </c>
      <c r="F363" t="s">
        <v>674</v>
      </c>
      <c r="G363" t="s">
        <v>703</v>
      </c>
      <c r="H363" s="9" t="s">
        <v>709</v>
      </c>
      <c r="I363" s="9" t="s">
        <v>726</v>
      </c>
      <c r="J363" s="9" t="s">
        <v>730</v>
      </c>
      <c r="K363" t="s">
        <v>1095</v>
      </c>
      <c r="L363" s="7">
        <v>546.83000000000004</v>
      </c>
      <c r="M363" s="7">
        <v>400.84</v>
      </c>
      <c r="N363" s="5">
        <v>7.8E-2</v>
      </c>
      <c r="O363">
        <v>13</v>
      </c>
      <c r="P363" s="2">
        <f t="shared" si="45"/>
        <v>45848</v>
      </c>
      <c r="Q363" t="str">
        <f t="shared" si="46"/>
        <v>Ok</v>
      </c>
      <c r="R363">
        <f>ABS(Table2[[#This Row],[UnitPrice]])</f>
        <v>400.84</v>
      </c>
      <c r="S363">
        <f t="shared" si="47"/>
        <v>15</v>
      </c>
      <c r="T363" s="12">
        <f t="shared" si="48"/>
        <v>4804.4682400000002</v>
      </c>
      <c r="U363">
        <f>Table2[[#This Row],[UnitCost]]*Table2[[#This Row],[Quantity]]</f>
        <v>7108.7900000000009</v>
      </c>
      <c r="V363" s="13">
        <f t="shared" si="49"/>
        <v>-2304.3217600000007</v>
      </c>
      <c r="W363" s="5">
        <f t="shared" si="50"/>
        <v>-0.47962056254533608</v>
      </c>
      <c r="X363" s="17" t="str">
        <f t="shared" si="51"/>
        <v>Jun-2025</v>
      </c>
      <c r="Z363" t="str">
        <f t="shared" si="52"/>
        <v>Europe. United Kingdom. Birmingham</v>
      </c>
      <c r="AA363" t="str">
        <f t="shared" si="53"/>
        <v>Low</v>
      </c>
      <c r="AB363" t="str">
        <f t="array" ref="AB363">TEXT(MIN(IF($E$2:$E$633=E363, $B$2:$B$633)), "YYYY-MM")</f>
        <v>2023-01</v>
      </c>
      <c r="AC363" s="13">
        <f>SUM($T$2:T363)</f>
        <v>6086863.5887300037</v>
      </c>
    </row>
    <row r="364" spans="1:29" x14ac:dyDescent="0.45">
      <c r="A364" t="s">
        <v>376</v>
      </c>
      <c r="B364" s="2">
        <v>45108</v>
      </c>
      <c r="C364" s="2">
        <v>45115</v>
      </c>
      <c r="D364" t="s">
        <v>646</v>
      </c>
      <c r="E364" t="s">
        <v>651</v>
      </c>
      <c r="F364" t="s">
        <v>663</v>
      </c>
      <c r="G364" t="s">
        <v>701</v>
      </c>
      <c r="H364" s="9" t="s">
        <v>707</v>
      </c>
      <c r="I364" s="9" t="s">
        <v>720</v>
      </c>
      <c r="J364" s="9" t="s">
        <v>731</v>
      </c>
      <c r="K364" t="s">
        <v>1096</v>
      </c>
      <c r="L364" s="7">
        <v>834.26</v>
      </c>
      <c r="M364" s="7">
        <v>1780.56</v>
      </c>
      <c r="N364" s="5">
        <v>1.4E-2</v>
      </c>
      <c r="O364">
        <v>47</v>
      </c>
      <c r="P364" s="2">
        <f t="shared" si="45"/>
        <v>45115</v>
      </c>
      <c r="Q364" t="str">
        <f t="shared" si="46"/>
        <v>Ok</v>
      </c>
      <c r="R364">
        <f>ABS(Table2[[#This Row],[UnitPrice]])</f>
        <v>1780.56</v>
      </c>
      <c r="S364">
        <f t="shared" si="47"/>
        <v>7</v>
      </c>
      <c r="T364" s="12">
        <f t="shared" si="48"/>
        <v>82514.711519999997</v>
      </c>
      <c r="U364">
        <f>Table2[[#This Row],[UnitCost]]*Table2[[#This Row],[Quantity]]</f>
        <v>39210.22</v>
      </c>
      <c r="V364" s="13">
        <f t="shared" si="49"/>
        <v>43304.491519999996</v>
      </c>
      <c r="W364" s="5">
        <f t="shared" si="50"/>
        <v>0.5248093427497933</v>
      </c>
      <c r="X364" s="17" t="str">
        <f t="shared" si="51"/>
        <v>Jul-2023</v>
      </c>
      <c r="Z364" t="str">
        <f t="shared" si="52"/>
        <v>Africa. Nigeria. Port Harcourt</v>
      </c>
      <c r="AA364" t="str">
        <f t="shared" si="53"/>
        <v>High</v>
      </c>
      <c r="AB364" t="str">
        <f t="array" ref="AB364">TEXT(MIN(IF($E$2:$E$633=E364, $B$2:$B$633)), "YYYY-MM")</f>
        <v>2023-01</v>
      </c>
      <c r="AC364" s="13">
        <f>SUM($T$2:T364)</f>
        <v>6169378.300250004</v>
      </c>
    </row>
    <row r="365" spans="1:29" x14ac:dyDescent="0.45">
      <c r="A365" t="s">
        <v>377</v>
      </c>
      <c r="B365" s="2">
        <v>45360</v>
      </c>
      <c r="C365" s="2">
        <v>45377</v>
      </c>
      <c r="D365" t="s">
        <v>647</v>
      </c>
      <c r="E365" t="s">
        <v>659</v>
      </c>
      <c r="F365" t="s">
        <v>676</v>
      </c>
      <c r="G365" t="s">
        <v>706</v>
      </c>
      <c r="H365" s="9" t="s">
        <v>708</v>
      </c>
      <c r="I365" s="9" t="s">
        <v>723</v>
      </c>
      <c r="J365" s="9" t="s">
        <v>732</v>
      </c>
      <c r="K365" t="s">
        <v>1097</v>
      </c>
      <c r="L365" s="7">
        <v>1029.67</v>
      </c>
      <c r="M365" s="7">
        <v>1118.43</v>
      </c>
      <c r="N365" s="5">
        <v>0.27200000000000002</v>
      </c>
      <c r="O365">
        <v>9</v>
      </c>
      <c r="P365" s="2">
        <f t="shared" si="45"/>
        <v>45377</v>
      </c>
      <c r="Q365" t="str">
        <f t="shared" si="46"/>
        <v>Ok</v>
      </c>
      <c r="R365">
        <f>ABS(Table2[[#This Row],[UnitPrice]])</f>
        <v>1118.43</v>
      </c>
      <c r="S365">
        <f t="shared" si="47"/>
        <v>17</v>
      </c>
      <c r="T365" s="12">
        <f t="shared" si="48"/>
        <v>7327.9533600000004</v>
      </c>
      <c r="U365">
        <f>Table2[[#This Row],[UnitCost]]*Table2[[#This Row],[Quantity]]</f>
        <v>9267.0300000000007</v>
      </c>
      <c r="V365" s="13">
        <f t="shared" si="49"/>
        <v>-1939.0766400000002</v>
      </c>
      <c r="W365" s="5">
        <f t="shared" si="50"/>
        <v>-0.26461367106736061</v>
      </c>
      <c r="X365" s="17" t="str">
        <f t="shared" si="51"/>
        <v>Mar-2024</v>
      </c>
      <c r="Z365" t="str">
        <f t="shared" si="52"/>
        <v>Asia. China. Shenzhen</v>
      </c>
      <c r="AA365" t="str">
        <f t="shared" si="53"/>
        <v>Low</v>
      </c>
      <c r="AB365" t="str">
        <f t="array" ref="AB365">TEXT(MIN(IF($E$2:$E$633=E365, $B$2:$B$633)), "YYYY-MM")</f>
        <v>2023-01</v>
      </c>
      <c r="AC365" s="13">
        <f>SUM($T$2:T365)</f>
        <v>6176706.2536100037</v>
      </c>
    </row>
    <row r="366" spans="1:29" x14ac:dyDescent="0.45">
      <c r="A366" t="s">
        <v>378</v>
      </c>
      <c r="B366" s="2">
        <v>45082</v>
      </c>
      <c r="C366" s="2">
        <v>45105</v>
      </c>
      <c r="D366" t="s">
        <v>649</v>
      </c>
      <c r="E366" t="s">
        <v>658</v>
      </c>
      <c r="F366" t="s">
        <v>674</v>
      </c>
      <c r="G366" t="s">
        <v>701</v>
      </c>
      <c r="H366" s="9" t="s">
        <v>711</v>
      </c>
      <c r="I366" s="9" t="s">
        <v>723</v>
      </c>
      <c r="J366" s="9" t="s">
        <v>728</v>
      </c>
      <c r="K366" t="s">
        <v>1098</v>
      </c>
      <c r="L366" s="7">
        <v>605.82000000000005</v>
      </c>
      <c r="M366" s="7">
        <v>771.12</v>
      </c>
      <c r="N366" s="5">
        <v>0.13200000000000001</v>
      </c>
      <c r="O366">
        <v>19</v>
      </c>
      <c r="P366" s="2">
        <f t="shared" si="45"/>
        <v>45105</v>
      </c>
      <c r="Q366" t="str">
        <f t="shared" si="46"/>
        <v>Ok</v>
      </c>
      <c r="R366">
        <f>ABS(Table2[[#This Row],[UnitPrice]])</f>
        <v>771.12</v>
      </c>
      <c r="S366">
        <f t="shared" si="47"/>
        <v>23</v>
      </c>
      <c r="T366" s="12">
        <f t="shared" si="48"/>
        <v>12717.311040000001</v>
      </c>
      <c r="U366">
        <f>Table2[[#This Row],[UnitCost]]*Table2[[#This Row],[Quantity]]</f>
        <v>11510.580000000002</v>
      </c>
      <c r="V366" s="13">
        <f t="shared" si="49"/>
        <v>1206.7310399999988</v>
      </c>
      <c r="W366" s="5">
        <f t="shared" si="50"/>
        <v>9.4888851597986767E-2</v>
      </c>
      <c r="X366" s="17" t="str">
        <f t="shared" si="51"/>
        <v>Jun-2023</v>
      </c>
      <c r="Z366" t="str">
        <f t="shared" si="52"/>
        <v>Europe. United Kingdom. Birmingham</v>
      </c>
      <c r="AA366" t="str">
        <f t="shared" si="53"/>
        <v>Low</v>
      </c>
      <c r="AB366" t="str">
        <f t="array" ref="AB366">TEXT(MIN(IF($E$2:$E$633=E366, $B$2:$B$633)), "YYYY-MM")</f>
        <v>2023-01</v>
      </c>
      <c r="AC366" s="13">
        <f>SUM($T$2:T366)</f>
        <v>6189423.5646500038</v>
      </c>
    </row>
    <row r="367" spans="1:29" x14ac:dyDescent="0.45">
      <c r="A367" t="s">
        <v>379</v>
      </c>
      <c r="B367" s="2">
        <v>45737</v>
      </c>
      <c r="C367" s="2">
        <v>45756</v>
      </c>
      <c r="D367" t="s">
        <v>647</v>
      </c>
      <c r="E367" t="s">
        <v>652</v>
      </c>
      <c r="F367" t="s">
        <v>689</v>
      </c>
      <c r="G367" t="s">
        <v>705</v>
      </c>
      <c r="H367" s="9" t="s">
        <v>710</v>
      </c>
      <c r="I367" s="9" t="s">
        <v>718</v>
      </c>
      <c r="J367" s="9" t="s">
        <v>727</v>
      </c>
      <c r="K367" t="s">
        <v>1099</v>
      </c>
      <c r="L367" s="7">
        <v>1055.45</v>
      </c>
      <c r="M367" s="7">
        <v>1210.04</v>
      </c>
      <c r="N367" s="5">
        <v>8.9999999999999993E-3</v>
      </c>
      <c r="O367">
        <v>18</v>
      </c>
      <c r="P367" s="2">
        <f t="shared" si="45"/>
        <v>45756</v>
      </c>
      <c r="Q367" t="str">
        <f t="shared" si="46"/>
        <v>Ok</v>
      </c>
      <c r="R367">
        <f>ABS(Table2[[#This Row],[UnitPrice]])</f>
        <v>1210.04</v>
      </c>
      <c r="S367">
        <f t="shared" si="47"/>
        <v>19</v>
      </c>
      <c r="T367" s="12">
        <f t="shared" si="48"/>
        <v>21584.693520000001</v>
      </c>
      <c r="U367">
        <f>Table2[[#This Row],[UnitCost]]*Table2[[#This Row],[Quantity]]</f>
        <v>18998.100000000002</v>
      </c>
      <c r="V367" s="13">
        <f t="shared" si="49"/>
        <v>2586.5935199999985</v>
      </c>
      <c r="W367" s="5">
        <f t="shared" si="50"/>
        <v>0.1198346188053727</v>
      </c>
      <c r="X367" s="17" t="str">
        <f t="shared" si="51"/>
        <v>Mar-2025</v>
      </c>
      <c r="Z367" t="str">
        <f t="shared" si="52"/>
        <v>Asia. Japan. Tokyo</v>
      </c>
      <c r="AA367" t="str">
        <f t="shared" si="53"/>
        <v>High</v>
      </c>
      <c r="AB367" t="str">
        <f t="array" ref="AB367">TEXT(MIN(IF($E$2:$E$633=E367, $B$2:$B$633)), "YYYY-MM")</f>
        <v>2023-03</v>
      </c>
      <c r="AC367" s="13">
        <f>SUM($T$2:T367)</f>
        <v>6211008.258170004</v>
      </c>
    </row>
    <row r="368" spans="1:29" x14ac:dyDescent="0.45">
      <c r="A368" t="s">
        <v>380</v>
      </c>
      <c r="B368" s="2">
        <v>45445</v>
      </c>
      <c r="C368" s="2">
        <v>45458</v>
      </c>
      <c r="D368" t="s">
        <v>646</v>
      </c>
      <c r="E368" t="s">
        <v>650</v>
      </c>
      <c r="F368" t="s">
        <v>675</v>
      </c>
      <c r="G368" t="s">
        <v>702</v>
      </c>
      <c r="H368" s="9" t="s">
        <v>708</v>
      </c>
      <c r="I368" s="9" t="s">
        <v>719</v>
      </c>
      <c r="J368" s="9" t="s">
        <v>730</v>
      </c>
      <c r="K368" t="s">
        <v>1100</v>
      </c>
      <c r="L368" s="7">
        <v>1295.18</v>
      </c>
      <c r="M368" s="7">
        <v>3024.03</v>
      </c>
      <c r="N368" s="5">
        <v>0.192</v>
      </c>
      <c r="O368">
        <v>8</v>
      </c>
      <c r="P368" s="2">
        <f t="shared" si="45"/>
        <v>45458</v>
      </c>
      <c r="Q368" t="str">
        <f t="shared" si="46"/>
        <v>Ok</v>
      </c>
      <c r="R368">
        <f>ABS(Table2[[#This Row],[UnitPrice]])</f>
        <v>3024.03</v>
      </c>
      <c r="S368">
        <f t="shared" si="47"/>
        <v>13</v>
      </c>
      <c r="T368" s="12">
        <f t="shared" si="48"/>
        <v>19547.329920000004</v>
      </c>
      <c r="U368">
        <f>Table2[[#This Row],[UnitCost]]*Table2[[#This Row],[Quantity]]</f>
        <v>10361.44</v>
      </c>
      <c r="V368" s="13">
        <f t="shared" si="49"/>
        <v>9185.8899200000033</v>
      </c>
      <c r="W368" s="5">
        <f t="shared" si="50"/>
        <v>0.46993067378483178</v>
      </c>
      <c r="X368" s="17" t="str">
        <f t="shared" si="51"/>
        <v>Jun-2024</v>
      </c>
      <c r="Z368" t="str">
        <f t="shared" si="52"/>
        <v>Africa. Kenya. Mombasa</v>
      </c>
      <c r="AA368" t="str">
        <f t="shared" si="53"/>
        <v>High</v>
      </c>
      <c r="AB368" t="str">
        <f t="array" ref="AB368">TEXT(MIN(IF($E$2:$E$633=E368, $B$2:$B$633)), "YYYY-MM")</f>
        <v>2023-01</v>
      </c>
      <c r="AC368" s="13">
        <f>SUM($T$2:T368)</f>
        <v>6230555.5880900044</v>
      </c>
    </row>
    <row r="369" spans="1:29" x14ac:dyDescent="0.45">
      <c r="A369" t="s">
        <v>381</v>
      </c>
      <c r="B369" s="2">
        <v>45731</v>
      </c>
      <c r="C369" s="2">
        <v>45745</v>
      </c>
      <c r="D369" t="s">
        <v>647</v>
      </c>
      <c r="E369" t="s">
        <v>654</v>
      </c>
      <c r="F369" t="s">
        <v>691</v>
      </c>
      <c r="G369" t="s">
        <v>706</v>
      </c>
      <c r="H369" s="9" t="s">
        <v>711</v>
      </c>
      <c r="I369" s="9" t="s">
        <v>712</v>
      </c>
      <c r="J369" s="9" t="s">
        <v>727</v>
      </c>
      <c r="K369" t="s">
        <v>1101</v>
      </c>
      <c r="L369" s="7">
        <v>935.83</v>
      </c>
      <c r="M369" s="7">
        <v>2303.46</v>
      </c>
      <c r="N369" s="5">
        <v>0.105</v>
      </c>
      <c r="O369">
        <v>9</v>
      </c>
      <c r="P369" s="2">
        <f t="shared" si="45"/>
        <v>45745</v>
      </c>
      <c r="Q369" t="str">
        <f t="shared" si="46"/>
        <v>Ok</v>
      </c>
      <c r="R369">
        <f>ABS(Table2[[#This Row],[UnitPrice]])</f>
        <v>2303.46</v>
      </c>
      <c r="S369">
        <f t="shared" si="47"/>
        <v>14</v>
      </c>
      <c r="T369" s="12">
        <f t="shared" si="48"/>
        <v>18554.370299999999</v>
      </c>
      <c r="U369">
        <f>Table2[[#This Row],[UnitCost]]*Table2[[#This Row],[Quantity]]</f>
        <v>8422.4700000000012</v>
      </c>
      <c r="V369" s="13">
        <f t="shared" si="49"/>
        <v>10131.900299999998</v>
      </c>
      <c r="W369" s="5">
        <f t="shared" si="50"/>
        <v>0.54606543559174292</v>
      </c>
      <c r="X369" s="17" t="str">
        <f t="shared" si="51"/>
        <v>Mar-2025</v>
      </c>
      <c r="Z369" t="str">
        <f t="shared" si="52"/>
        <v>Asia. India. Mumbai</v>
      </c>
      <c r="AA369" t="str">
        <f t="shared" si="53"/>
        <v>High</v>
      </c>
      <c r="AB369" t="str">
        <f t="array" ref="AB369">TEXT(MIN(IF($E$2:$E$633=E369, $B$2:$B$633)), "YYYY-MM")</f>
        <v>2023-01</v>
      </c>
      <c r="AC369" s="13">
        <f>SUM($T$2:T369)</f>
        <v>6249109.958390004</v>
      </c>
    </row>
    <row r="370" spans="1:29" x14ac:dyDescent="0.45">
      <c r="A370" t="s">
        <v>382</v>
      </c>
      <c r="B370" s="2">
        <v>45194</v>
      </c>
      <c r="C370" s="2">
        <v>45208</v>
      </c>
      <c r="D370" t="s">
        <v>648</v>
      </c>
      <c r="E370" t="s">
        <v>660</v>
      </c>
      <c r="F370" t="s">
        <v>700</v>
      </c>
      <c r="G370" t="s">
        <v>705</v>
      </c>
      <c r="H370" s="9" t="s">
        <v>709</v>
      </c>
      <c r="I370" s="9" t="s">
        <v>713</v>
      </c>
      <c r="J370" s="9" t="s">
        <v>731</v>
      </c>
      <c r="K370" t="s">
        <v>1102</v>
      </c>
      <c r="L370" s="7">
        <v>1279.56</v>
      </c>
      <c r="M370" s="7">
        <v>3083.8</v>
      </c>
      <c r="N370" s="5">
        <v>0.106</v>
      </c>
      <c r="O370">
        <v>5</v>
      </c>
      <c r="P370" s="2">
        <f t="shared" si="45"/>
        <v>45208</v>
      </c>
      <c r="Q370" t="str">
        <f t="shared" si="46"/>
        <v>Ok</v>
      </c>
      <c r="R370">
        <f>ABS(Table2[[#This Row],[UnitPrice]])</f>
        <v>3083.8</v>
      </c>
      <c r="S370">
        <f t="shared" si="47"/>
        <v>14</v>
      </c>
      <c r="T370" s="12">
        <f t="shared" si="48"/>
        <v>13784.586000000001</v>
      </c>
      <c r="U370">
        <f>Table2[[#This Row],[UnitCost]]*Table2[[#This Row],[Quantity]]</f>
        <v>6397.7999999999993</v>
      </c>
      <c r="V370" s="13">
        <f t="shared" si="49"/>
        <v>7386.7860000000019</v>
      </c>
      <c r="W370" s="5">
        <f t="shared" si="50"/>
        <v>0.53587289455047848</v>
      </c>
      <c r="X370" s="17" t="str">
        <f t="shared" si="51"/>
        <v>Sep-2023</v>
      </c>
      <c r="Z370" t="str">
        <f t="shared" si="52"/>
        <v>Americas. USA. New York</v>
      </c>
      <c r="AA370" t="str">
        <f t="shared" si="53"/>
        <v>High</v>
      </c>
      <c r="AB370" t="str">
        <f t="array" ref="AB370">TEXT(MIN(IF($E$2:$E$633=E370, $B$2:$B$633)), "YYYY-MM")</f>
        <v>2023-01</v>
      </c>
      <c r="AC370" s="13">
        <f>SUM($T$2:T370)</f>
        <v>6262894.5443900041</v>
      </c>
    </row>
    <row r="371" spans="1:29" x14ac:dyDescent="0.45">
      <c r="A371" t="s">
        <v>383</v>
      </c>
      <c r="B371" s="2">
        <v>45832</v>
      </c>
      <c r="C371" s="2">
        <v>45861</v>
      </c>
      <c r="D371" t="s">
        <v>648</v>
      </c>
      <c r="E371" t="s">
        <v>653</v>
      </c>
      <c r="F371" t="s">
        <v>688</v>
      </c>
      <c r="G371" t="s">
        <v>703</v>
      </c>
      <c r="H371" s="9" t="s">
        <v>709</v>
      </c>
      <c r="I371" s="9" t="s">
        <v>714</v>
      </c>
      <c r="J371" s="9" t="s">
        <v>728</v>
      </c>
      <c r="K371" t="s">
        <v>1103</v>
      </c>
      <c r="L371" s="7">
        <v>255.4</v>
      </c>
      <c r="M371" s="7">
        <v>322.70999999999998</v>
      </c>
      <c r="N371" s="5">
        <v>0.115</v>
      </c>
      <c r="O371">
        <v>16</v>
      </c>
      <c r="P371" s="2">
        <f t="shared" si="45"/>
        <v>45861</v>
      </c>
      <c r="Q371" t="str">
        <f t="shared" si="46"/>
        <v>Ok</v>
      </c>
      <c r="R371">
        <f>ABS(Table2[[#This Row],[UnitPrice]])</f>
        <v>322.70999999999998</v>
      </c>
      <c r="S371">
        <f t="shared" si="47"/>
        <v>29</v>
      </c>
      <c r="T371" s="12">
        <f t="shared" si="48"/>
        <v>4569.5735999999997</v>
      </c>
      <c r="U371">
        <f>Table2[[#This Row],[UnitCost]]*Table2[[#This Row],[Quantity]]</f>
        <v>4086.4</v>
      </c>
      <c r="V371" s="13">
        <f t="shared" si="49"/>
        <v>483.17359999999962</v>
      </c>
      <c r="W371" s="5">
        <f t="shared" si="50"/>
        <v>0.10573713048412212</v>
      </c>
      <c r="X371" s="17" t="str">
        <f t="shared" si="51"/>
        <v>Jun-2025</v>
      </c>
      <c r="Z371" t="str">
        <f t="shared" si="52"/>
        <v>Americas. Canada. Vancouver</v>
      </c>
      <c r="AA371" t="str">
        <f t="shared" si="53"/>
        <v>Low</v>
      </c>
      <c r="AB371" t="str">
        <f t="array" ref="AB371">TEXT(MIN(IF($E$2:$E$633=E371, $B$2:$B$633)), "YYYY-MM")</f>
        <v>2023-01</v>
      </c>
      <c r="AC371" s="13">
        <f>SUM($T$2:T371)</f>
        <v>6267464.1179900039</v>
      </c>
    </row>
    <row r="372" spans="1:29" x14ac:dyDescent="0.45">
      <c r="A372" t="s">
        <v>384</v>
      </c>
      <c r="B372" s="2">
        <v>45286</v>
      </c>
      <c r="C372" s="2">
        <v>45294</v>
      </c>
      <c r="D372" t="s">
        <v>649</v>
      </c>
      <c r="E372" t="s">
        <v>657</v>
      </c>
      <c r="F372" t="s">
        <v>679</v>
      </c>
      <c r="G372" t="s">
        <v>705</v>
      </c>
      <c r="H372" s="9" t="s">
        <v>707</v>
      </c>
      <c r="I372" s="9" t="s">
        <v>724</v>
      </c>
      <c r="J372" s="9" t="s">
        <v>731</v>
      </c>
      <c r="K372" t="s">
        <v>1104</v>
      </c>
      <c r="L372" s="7">
        <v>492.75</v>
      </c>
      <c r="M372" s="7">
        <v>731.29</v>
      </c>
      <c r="N372" s="5">
        <v>5.8000000000000003E-2</v>
      </c>
      <c r="O372">
        <v>6</v>
      </c>
      <c r="P372" s="2">
        <f t="shared" si="45"/>
        <v>45294</v>
      </c>
      <c r="Q372" t="str">
        <f t="shared" si="46"/>
        <v>Ok</v>
      </c>
      <c r="R372">
        <f>ABS(Table2[[#This Row],[UnitPrice]])</f>
        <v>731.29</v>
      </c>
      <c r="S372">
        <f t="shared" si="47"/>
        <v>8</v>
      </c>
      <c r="T372" s="12">
        <f t="shared" si="48"/>
        <v>4133.25108</v>
      </c>
      <c r="U372">
        <f>Table2[[#This Row],[UnitCost]]*Table2[[#This Row],[Quantity]]</f>
        <v>2956.5</v>
      </c>
      <c r="V372" s="13">
        <f t="shared" si="49"/>
        <v>1176.75108</v>
      </c>
      <c r="W372" s="5">
        <f t="shared" si="50"/>
        <v>0.28470350753528384</v>
      </c>
      <c r="X372" s="17" t="str">
        <f t="shared" si="51"/>
        <v>Dec-2023</v>
      </c>
      <c r="Z372" t="str">
        <f t="shared" si="52"/>
        <v>Europe. France. Lyon</v>
      </c>
      <c r="AA372" t="str">
        <f t="shared" si="53"/>
        <v>Low</v>
      </c>
      <c r="AB372" t="str">
        <f t="array" ref="AB372">TEXT(MIN(IF($E$2:$E$633=E372, $B$2:$B$633)), "YYYY-MM")</f>
        <v>2023-01</v>
      </c>
      <c r="AC372" s="13">
        <f>SUM($T$2:T372)</f>
        <v>6271597.3690700037</v>
      </c>
    </row>
    <row r="373" spans="1:29" x14ac:dyDescent="0.45">
      <c r="A373" t="s">
        <v>385</v>
      </c>
      <c r="B373" s="2">
        <v>44962</v>
      </c>
      <c r="C373" s="2">
        <v>44985</v>
      </c>
      <c r="D373" t="s">
        <v>648</v>
      </c>
      <c r="E373" t="s">
        <v>660</v>
      </c>
      <c r="F373" t="s">
        <v>697</v>
      </c>
      <c r="G373" t="s">
        <v>703</v>
      </c>
      <c r="H373" s="9" t="s">
        <v>710</v>
      </c>
      <c r="I373" s="9" t="s">
        <v>716</v>
      </c>
      <c r="J373" s="9" t="s">
        <v>730</v>
      </c>
      <c r="K373" t="s">
        <v>1105</v>
      </c>
      <c r="L373" s="7">
        <v>1214.49</v>
      </c>
      <c r="M373" s="7">
        <v>1533.95</v>
      </c>
      <c r="N373" s="5">
        <v>0</v>
      </c>
      <c r="O373">
        <v>11</v>
      </c>
      <c r="P373" s="2">
        <f t="shared" si="45"/>
        <v>44985</v>
      </c>
      <c r="Q373" t="str">
        <f t="shared" si="46"/>
        <v>Ok</v>
      </c>
      <c r="R373">
        <f>ABS(Table2[[#This Row],[UnitPrice]])</f>
        <v>1533.95</v>
      </c>
      <c r="S373">
        <f t="shared" si="47"/>
        <v>23</v>
      </c>
      <c r="T373" s="12">
        <f t="shared" si="48"/>
        <v>16873.45</v>
      </c>
      <c r="U373">
        <f>Table2[[#This Row],[UnitCost]]*Table2[[#This Row],[Quantity]]</f>
        <v>13359.39</v>
      </c>
      <c r="V373" s="13">
        <f t="shared" si="49"/>
        <v>3514.0600000000013</v>
      </c>
      <c r="W373" s="5">
        <f t="shared" si="50"/>
        <v>0.20825972163369086</v>
      </c>
      <c r="X373" s="17" t="str">
        <f t="shared" si="51"/>
        <v>Feb-2023</v>
      </c>
      <c r="Z373" t="str">
        <f t="shared" si="52"/>
        <v>Americas. USA. Austin</v>
      </c>
      <c r="AA373" t="str">
        <f t="shared" si="53"/>
        <v>High</v>
      </c>
      <c r="AB373" t="str">
        <f t="array" ref="AB373">TEXT(MIN(IF($E$2:$E$633=E373, $B$2:$B$633)), "YYYY-MM")</f>
        <v>2023-01</v>
      </c>
      <c r="AC373" s="13">
        <f>SUM($T$2:T373)</f>
        <v>6288470.8190700039</v>
      </c>
    </row>
    <row r="374" spans="1:29" x14ac:dyDescent="0.45">
      <c r="A374" t="s">
        <v>386</v>
      </c>
      <c r="B374" s="2">
        <v>45022</v>
      </c>
      <c r="C374" s="2">
        <v>45024</v>
      </c>
      <c r="D374" t="s">
        <v>646</v>
      </c>
      <c r="E374" t="s">
        <v>651</v>
      </c>
      <c r="F374" t="s">
        <v>669</v>
      </c>
      <c r="G374" t="s">
        <v>705</v>
      </c>
      <c r="H374" s="9" t="s">
        <v>709</v>
      </c>
      <c r="I374" s="9" t="s">
        <v>723</v>
      </c>
      <c r="J374" s="9" t="s">
        <v>732</v>
      </c>
      <c r="K374" t="s">
        <v>1106</v>
      </c>
      <c r="L374" s="7">
        <v>720.35</v>
      </c>
      <c r="M374" s="7">
        <v>1571.66</v>
      </c>
      <c r="N374" s="5">
        <v>0.107</v>
      </c>
      <c r="O374">
        <v>23</v>
      </c>
      <c r="P374" s="2">
        <f t="shared" si="45"/>
        <v>45024</v>
      </c>
      <c r="Q374" t="str">
        <f t="shared" si="46"/>
        <v>Ok</v>
      </c>
      <c r="R374">
        <f>ABS(Table2[[#This Row],[UnitPrice]])</f>
        <v>1571.66</v>
      </c>
      <c r="S374">
        <f t="shared" si="47"/>
        <v>2</v>
      </c>
      <c r="T374" s="12">
        <f t="shared" si="48"/>
        <v>32280.32474</v>
      </c>
      <c r="U374">
        <f>Table2[[#This Row],[UnitCost]]*Table2[[#This Row],[Quantity]]</f>
        <v>16568.05</v>
      </c>
      <c r="V374" s="13">
        <f t="shared" si="49"/>
        <v>15712.274740000001</v>
      </c>
      <c r="W374" s="5">
        <f t="shared" si="50"/>
        <v>0.4867446305622265</v>
      </c>
      <c r="X374" s="17" t="str">
        <f t="shared" si="51"/>
        <v>Apr-2023</v>
      </c>
      <c r="Z374" t="str">
        <f t="shared" si="52"/>
        <v>Africa. Nigeria. Abuja</v>
      </c>
      <c r="AA374" t="str">
        <f t="shared" si="53"/>
        <v>High</v>
      </c>
      <c r="AB374" t="str">
        <f t="array" ref="AB374">TEXT(MIN(IF($E$2:$E$633=E374, $B$2:$B$633)), "YYYY-MM")</f>
        <v>2023-01</v>
      </c>
      <c r="AC374" s="13">
        <f>SUM($T$2:T374)</f>
        <v>6320751.143810004</v>
      </c>
    </row>
    <row r="375" spans="1:29" x14ac:dyDescent="0.45">
      <c r="A375" t="s">
        <v>387</v>
      </c>
      <c r="B375" s="2">
        <v>45751</v>
      </c>
      <c r="C375" s="2">
        <v>45757</v>
      </c>
      <c r="D375" t="s">
        <v>649</v>
      </c>
      <c r="E375" t="s">
        <v>658</v>
      </c>
      <c r="F375" t="s">
        <v>674</v>
      </c>
      <c r="G375" t="s">
        <v>703</v>
      </c>
      <c r="H375" s="9" t="s">
        <v>711</v>
      </c>
      <c r="I375" s="9" t="s">
        <v>725</v>
      </c>
      <c r="J375" s="9" t="s">
        <v>728</v>
      </c>
      <c r="K375" t="s">
        <v>1107</v>
      </c>
      <c r="L375" s="7">
        <v>290.14</v>
      </c>
      <c r="M375" s="7">
        <v>250.73</v>
      </c>
      <c r="N375" s="5">
        <v>3.4000000000000002E-2</v>
      </c>
      <c r="O375">
        <v>17</v>
      </c>
      <c r="P375" s="2">
        <f t="shared" si="45"/>
        <v>45757</v>
      </c>
      <c r="Q375" t="str">
        <f t="shared" si="46"/>
        <v>Ok</v>
      </c>
      <c r="R375">
        <f>ABS(Table2[[#This Row],[UnitPrice]])</f>
        <v>250.73</v>
      </c>
      <c r="S375">
        <f t="shared" si="47"/>
        <v>6</v>
      </c>
      <c r="T375" s="12">
        <f t="shared" si="48"/>
        <v>4117.4880599999997</v>
      </c>
      <c r="U375">
        <f>Table2[[#This Row],[UnitCost]]*Table2[[#This Row],[Quantity]]</f>
        <v>4932.38</v>
      </c>
      <c r="V375" s="13">
        <f t="shared" si="49"/>
        <v>-814.89194000000043</v>
      </c>
      <c r="W375" s="5">
        <f t="shared" si="50"/>
        <v>-0.19790997038131072</v>
      </c>
      <c r="X375" s="17" t="str">
        <f t="shared" si="51"/>
        <v>Apr-2025</v>
      </c>
      <c r="Z375" t="str">
        <f t="shared" si="52"/>
        <v>Europe. United Kingdom. Birmingham</v>
      </c>
      <c r="AA375" t="str">
        <f t="shared" si="53"/>
        <v>Low</v>
      </c>
      <c r="AB375" t="str">
        <f t="array" ref="AB375">TEXT(MIN(IF($E$2:$E$633=E375, $B$2:$B$633)), "YYYY-MM")</f>
        <v>2023-01</v>
      </c>
      <c r="AC375" s="13">
        <f>SUM($T$2:T375)</f>
        <v>6324868.6318700043</v>
      </c>
    </row>
    <row r="376" spans="1:29" x14ac:dyDescent="0.45">
      <c r="A376" t="s">
        <v>388</v>
      </c>
      <c r="B376" s="2">
        <v>45429</v>
      </c>
      <c r="C376" s="2">
        <v>45439</v>
      </c>
      <c r="D376" t="s">
        <v>648</v>
      </c>
      <c r="E376" t="s">
        <v>660</v>
      </c>
      <c r="F376" t="s">
        <v>697</v>
      </c>
      <c r="G376" t="s">
        <v>703</v>
      </c>
      <c r="H376" s="9" t="s">
        <v>708</v>
      </c>
      <c r="I376" s="9" t="s">
        <v>712</v>
      </c>
      <c r="J376" s="9" t="s">
        <v>730</v>
      </c>
      <c r="K376" t="s">
        <v>1108</v>
      </c>
      <c r="L376" s="7">
        <v>1484.23</v>
      </c>
      <c r="M376" s="7">
        <v>3472.81</v>
      </c>
      <c r="N376" s="5">
        <v>0.25600000000000001</v>
      </c>
      <c r="O376">
        <v>12</v>
      </c>
      <c r="P376" s="2">
        <f t="shared" si="45"/>
        <v>45439</v>
      </c>
      <c r="Q376" t="str">
        <f t="shared" si="46"/>
        <v>Ok</v>
      </c>
      <c r="R376">
        <f>ABS(Table2[[#This Row],[UnitPrice]])</f>
        <v>3472.81</v>
      </c>
      <c r="S376">
        <f t="shared" si="47"/>
        <v>10</v>
      </c>
      <c r="T376" s="12">
        <f t="shared" si="48"/>
        <v>31005.24768</v>
      </c>
      <c r="U376">
        <f>Table2[[#This Row],[UnitCost]]*Table2[[#This Row],[Quantity]]</f>
        <v>17810.760000000002</v>
      </c>
      <c r="V376" s="13">
        <f t="shared" si="49"/>
        <v>13194.487679999998</v>
      </c>
      <c r="W376" s="5">
        <f t="shared" si="50"/>
        <v>0.42555659661803413</v>
      </c>
      <c r="X376" s="17" t="str">
        <f t="shared" si="51"/>
        <v>May-2024</v>
      </c>
      <c r="Z376" t="str">
        <f t="shared" si="52"/>
        <v>Americas. USA. Austin</v>
      </c>
      <c r="AA376" t="str">
        <f t="shared" si="53"/>
        <v>High</v>
      </c>
      <c r="AB376" t="str">
        <f t="array" ref="AB376">TEXT(MIN(IF($E$2:$E$633=E376, $B$2:$B$633)), "YYYY-MM")</f>
        <v>2023-01</v>
      </c>
      <c r="AC376" s="13">
        <f>SUM($T$2:T376)</f>
        <v>6355873.8795500044</v>
      </c>
    </row>
    <row r="377" spans="1:29" x14ac:dyDescent="0.45">
      <c r="A377" t="s">
        <v>389</v>
      </c>
      <c r="B377" s="2">
        <v>45354</v>
      </c>
      <c r="C377" s="2">
        <v>45370</v>
      </c>
      <c r="D377" t="s">
        <v>647</v>
      </c>
      <c r="E377" t="s">
        <v>659</v>
      </c>
      <c r="F377" t="s">
        <v>699</v>
      </c>
      <c r="G377" t="s">
        <v>704</v>
      </c>
      <c r="H377" s="9" t="s">
        <v>710</v>
      </c>
      <c r="I377" s="9" t="s">
        <v>715</v>
      </c>
      <c r="J377" s="9" t="s">
        <v>730</v>
      </c>
      <c r="K377" t="s">
        <v>1109</v>
      </c>
      <c r="L377" s="7">
        <v>988.83</v>
      </c>
      <c r="M377" s="7">
        <v>1206.04</v>
      </c>
      <c r="N377" s="5">
        <v>6.3E-2</v>
      </c>
      <c r="O377">
        <v>34</v>
      </c>
      <c r="P377" s="2">
        <f t="shared" si="45"/>
        <v>45370</v>
      </c>
      <c r="Q377" t="str">
        <f t="shared" si="46"/>
        <v>Ok</v>
      </c>
      <c r="R377">
        <f>ABS(Table2[[#This Row],[UnitPrice]])</f>
        <v>1206.04</v>
      </c>
      <c r="S377">
        <f t="shared" si="47"/>
        <v>16</v>
      </c>
      <c r="T377" s="12">
        <f t="shared" si="48"/>
        <v>38422.022320000004</v>
      </c>
      <c r="U377">
        <f>Table2[[#This Row],[UnitCost]]*Table2[[#This Row],[Quantity]]</f>
        <v>33620.22</v>
      </c>
      <c r="V377" s="13">
        <f t="shared" si="49"/>
        <v>4801.8023200000025</v>
      </c>
      <c r="W377" s="5">
        <f t="shared" si="50"/>
        <v>0.12497526236406606</v>
      </c>
      <c r="X377" s="17" t="str">
        <f t="shared" si="51"/>
        <v>Mar-2024</v>
      </c>
      <c r="Z377" t="str">
        <f t="shared" si="52"/>
        <v>Asia. China. Beijing</v>
      </c>
      <c r="AA377" t="str">
        <f t="shared" si="53"/>
        <v>High</v>
      </c>
      <c r="AB377" t="str">
        <f t="array" ref="AB377">TEXT(MIN(IF($E$2:$E$633=E377, $B$2:$B$633)), "YYYY-MM")</f>
        <v>2023-01</v>
      </c>
      <c r="AC377" s="13">
        <f>SUM($T$2:T377)</f>
        <v>6394295.9018700048</v>
      </c>
    </row>
    <row r="378" spans="1:29" x14ac:dyDescent="0.45">
      <c r="A378" t="s">
        <v>390</v>
      </c>
      <c r="B378" s="2">
        <v>45835</v>
      </c>
      <c r="C378" s="2">
        <v>45849</v>
      </c>
      <c r="D378" t="s">
        <v>647</v>
      </c>
      <c r="E378" t="s">
        <v>659</v>
      </c>
      <c r="F378" t="s">
        <v>685</v>
      </c>
      <c r="G378" t="s">
        <v>705</v>
      </c>
      <c r="H378" s="9" t="s">
        <v>709</v>
      </c>
      <c r="I378" s="9" t="s">
        <v>716</v>
      </c>
      <c r="J378" s="9" t="s">
        <v>729</v>
      </c>
      <c r="K378" t="s">
        <v>1110</v>
      </c>
      <c r="L378" s="7">
        <v>1227.7</v>
      </c>
      <c r="M378" s="7">
        <v>2197.23</v>
      </c>
      <c r="N378" s="5">
        <v>9.9000000000000005E-2</v>
      </c>
      <c r="O378">
        <v>22</v>
      </c>
      <c r="P378" s="2">
        <f t="shared" si="45"/>
        <v>45849</v>
      </c>
      <c r="Q378" t="str">
        <f t="shared" si="46"/>
        <v>Ok</v>
      </c>
      <c r="R378">
        <f>ABS(Table2[[#This Row],[UnitPrice]])</f>
        <v>2197.23</v>
      </c>
      <c r="S378">
        <f t="shared" si="47"/>
        <v>14</v>
      </c>
      <c r="T378" s="12">
        <f t="shared" si="48"/>
        <v>43553.493060000001</v>
      </c>
      <c r="U378">
        <f>Table2[[#This Row],[UnitCost]]*Table2[[#This Row],[Quantity]]</f>
        <v>27009.4</v>
      </c>
      <c r="V378" s="13">
        <f t="shared" si="49"/>
        <v>16544.093059999999</v>
      </c>
      <c r="W378" s="5">
        <f t="shared" si="50"/>
        <v>0.37985685871873898</v>
      </c>
      <c r="X378" s="17" t="str">
        <f t="shared" si="51"/>
        <v>Jun-2025</v>
      </c>
      <c r="Z378" t="str">
        <f t="shared" si="52"/>
        <v>Asia. China. Shanghai</v>
      </c>
      <c r="AA378" t="str">
        <f t="shared" si="53"/>
        <v>High</v>
      </c>
      <c r="AB378" t="str">
        <f t="array" ref="AB378">TEXT(MIN(IF($E$2:$E$633=E378, $B$2:$B$633)), "YYYY-MM")</f>
        <v>2023-01</v>
      </c>
      <c r="AC378" s="13">
        <f>SUM($T$2:T378)</f>
        <v>6437849.3949300051</v>
      </c>
    </row>
    <row r="379" spans="1:29" x14ac:dyDescent="0.45">
      <c r="A379" t="s">
        <v>391</v>
      </c>
      <c r="B379" s="2">
        <v>44998</v>
      </c>
      <c r="C379" s="2">
        <v>45020</v>
      </c>
      <c r="D379" t="s">
        <v>646</v>
      </c>
      <c r="E379" t="s">
        <v>661</v>
      </c>
      <c r="F379" t="s">
        <v>687</v>
      </c>
      <c r="G379" t="s">
        <v>705</v>
      </c>
      <c r="H379" s="9" t="s">
        <v>707</v>
      </c>
      <c r="I379" s="9" t="s">
        <v>720</v>
      </c>
      <c r="J379" s="9" t="s">
        <v>727</v>
      </c>
      <c r="K379" t="s">
        <v>1111</v>
      </c>
      <c r="L379" s="7">
        <v>1113.7</v>
      </c>
      <c r="M379" s="7">
        <v>1620.6</v>
      </c>
      <c r="N379" s="5">
        <v>0.13900000000000001</v>
      </c>
      <c r="O379">
        <v>11</v>
      </c>
      <c r="P379" s="2">
        <f t="shared" si="45"/>
        <v>45020</v>
      </c>
      <c r="Q379" t="str">
        <f t="shared" si="46"/>
        <v>Ok</v>
      </c>
      <c r="R379">
        <f>ABS(Table2[[#This Row],[UnitPrice]])</f>
        <v>1620.6</v>
      </c>
      <c r="S379">
        <f t="shared" si="47"/>
        <v>22</v>
      </c>
      <c r="T379" s="12">
        <f t="shared" si="48"/>
        <v>15348.702599999999</v>
      </c>
      <c r="U379">
        <f>Table2[[#This Row],[UnitCost]]*Table2[[#This Row],[Quantity]]</f>
        <v>12250.7</v>
      </c>
      <c r="V379" s="13">
        <f t="shared" si="49"/>
        <v>3098.002599999998</v>
      </c>
      <c r="W379" s="5">
        <f t="shared" si="50"/>
        <v>0.20184133348182787</v>
      </c>
      <c r="X379" s="17" t="str">
        <f t="shared" si="51"/>
        <v>Mar-2023</v>
      </c>
      <c r="Z379" t="str">
        <f t="shared" si="52"/>
        <v>Africa. South Africa. Durban</v>
      </c>
      <c r="AA379" t="str">
        <f t="shared" si="53"/>
        <v>High</v>
      </c>
      <c r="AB379" t="str">
        <f t="array" ref="AB379">TEXT(MIN(IF($E$2:$E$633=E379, $B$2:$B$633)), "YYYY-MM")</f>
        <v>2023-01</v>
      </c>
      <c r="AC379" s="13">
        <f>SUM($T$2:T379)</f>
        <v>6453198.0975300055</v>
      </c>
    </row>
    <row r="380" spans="1:29" x14ac:dyDescent="0.45">
      <c r="A380" t="s">
        <v>392</v>
      </c>
      <c r="B380" s="2">
        <v>45664</v>
      </c>
      <c r="C380" s="2">
        <v>45677</v>
      </c>
      <c r="D380" t="s">
        <v>646</v>
      </c>
      <c r="E380" t="s">
        <v>661</v>
      </c>
      <c r="F380" t="s">
        <v>695</v>
      </c>
      <c r="G380" t="s">
        <v>701</v>
      </c>
      <c r="H380" s="9" t="s">
        <v>711</v>
      </c>
      <c r="I380" s="9" t="s">
        <v>723</v>
      </c>
      <c r="J380" s="9" t="s">
        <v>729</v>
      </c>
      <c r="K380" t="s">
        <v>1112</v>
      </c>
      <c r="L380" s="7">
        <v>432.13</v>
      </c>
      <c r="M380" s="7">
        <v>1034.6600000000001</v>
      </c>
      <c r="N380" s="5">
        <v>9.1999999999999998E-2</v>
      </c>
      <c r="O380">
        <v>7</v>
      </c>
      <c r="P380" s="2">
        <f t="shared" si="45"/>
        <v>45677</v>
      </c>
      <c r="Q380" t="str">
        <f t="shared" si="46"/>
        <v>Ok</v>
      </c>
      <c r="R380">
        <f>ABS(Table2[[#This Row],[UnitPrice]])</f>
        <v>1034.6600000000001</v>
      </c>
      <c r="S380">
        <f t="shared" si="47"/>
        <v>13</v>
      </c>
      <c r="T380" s="12">
        <f t="shared" si="48"/>
        <v>6576.298960000001</v>
      </c>
      <c r="U380">
        <f>Table2[[#This Row],[UnitCost]]*Table2[[#This Row],[Quantity]]</f>
        <v>3024.91</v>
      </c>
      <c r="V380" s="13">
        <f t="shared" si="49"/>
        <v>3551.3889600000011</v>
      </c>
      <c r="W380" s="5">
        <f t="shared" si="50"/>
        <v>0.54002851476204794</v>
      </c>
      <c r="X380" s="17" t="str">
        <f t="shared" si="51"/>
        <v>Jan-2025</v>
      </c>
      <c r="Z380" t="str">
        <f t="shared" si="52"/>
        <v>Africa. South Africa. Cape Town</v>
      </c>
      <c r="AA380" t="str">
        <f t="shared" si="53"/>
        <v>Low</v>
      </c>
      <c r="AB380" t="str">
        <f t="array" ref="AB380">TEXT(MIN(IF($E$2:$E$633=E380, $B$2:$B$633)), "YYYY-MM")</f>
        <v>2023-01</v>
      </c>
      <c r="AC380" s="13">
        <f>SUM($T$2:T380)</f>
        <v>6459774.3964900058</v>
      </c>
    </row>
    <row r="381" spans="1:29" x14ac:dyDescent="0.45">
      <c r="A381" t="s">
        <v>393</v>
      </c>
      <c r="B381" s="2">
        <v>45694</v>
      </c>
      <c r="C381" s="2">
        <v>45703</v>
      </c>
      <c r="D381" t="s">
        <v>648</v>
      </c>
      <c r="E381" t="s">
        <v>655</v>
      </c>
      <c r="F381" t="s">
        <v>670</v>
      </c>
      <c r="G381" t="s">
        <v>703</v>
      </c>
      <c r="H381" s="9" t="s">
        <v>710</v>
      </c>
      <c r="I381" s="9" t="s">
        <v>721</v>
      </c>
      <c r="J381" s="9" t="s">
        <v>729</v>
      </c>
      <c r="K381" t="s">
        <v>1113</v>
      </c>
      <c r="L381" s="7">
        <v>837.39</v>
      </c>
      <c r="M381" s="7">
        <v>1905.42</v>
      </c>
      <c r="N381" s="5">
        <v>3.2000000000000001E-2</v>
      </c>
      <c r="O381">
        <v>18</v>
      </c>
      <c r="P381" s="2">
        <f t="shared" si="45"/>
        <v>45703</v>
      </c>
      <c r="Q381" t="str">
        <f t="shared" si="46"/>
        <v>Ok</v>
      </c>
      <c r="R381">
        <f>ABS(Table2[[#This Row],[UnitPrice]])</f>
        <v>1905.42</v>
      </c>
      <c r="S381">
        <f t="shared" si="47"/>
        <v>9</v>
      </c>
      <c r="T381" s="12">
        <f t="shared" si="48"/>
        <v>33200.038079999998</v>
      </c>
      <c r="U381">
        <f>Table2[[#This Row],[UnitCost]]*Table2[[#This Row],[Quantity]]</f>
        <v>15073.02</v>
      </c>
      <c r="V381" s="13">
        <f t="shared" si="49"/>
        <v>18127.018079999998</v>
      </c>
      <c r="W381" s="5">
        <f t="shared" si="50"/>
        <v>0.54599389423350919</v>
      </c>
      <c r="X381" s="17" t="str">
        <f t="shared" si="51"/>
        <v>Feb-2025</v>
      </c>
      <c r="Z381" t="str">
        <f t="shared" si="52"/>
        <v>Americas. Brazil. São Paulo</v>
      </c>
      <c r="AA381" t="str">
        <f t="shared" si="53"/>
        <v>High</v>
      </c>
      <c r="AB381" t="str">
        <f t="array" ref="AB381">TEXT(MIN(IF($E$2:$E$633=E381, $B$2:$B$633)), "YYYY-MM")</f>
        <v>2023-01</v>
      </c>
      <c r="AC381" s="13">
        <f>SUM($T$2:T381)</f>
        <v>6492974.4345700061</v>
      </c>
    </row>
    <row r="382" spans="1:29" x14ac:dyDescent="0.45">
      <c r="A382" t="s">
        <v>394</v>
      </c>
      <c r="B382" s="2">
        <v>45688</v>
      </c>
      <c r="C382" s="2">
        <v>45705</v>
      </c>
      <c r="D382" t="s">
        <v>649</v>
      </c>
      <c r="E382" t="s">
        <v>658</v>
      </c>
      <c r="F382" t="s">
        <v>683</v>
      </c>
      <c r="G382" t="s">
        <v>706</v>
      </c>
      <c r="H382" s="9" t="s">
        <v>707</v>
      </c>
      <c r="I382" s="9" t="s">
        <v>722</v>
      </c>
      <c r="J382" s="9" t="s">
        <v>727</v>
      </c>
      <c r="K382" t="s">
        <v>812</v>
      </c>
      <c r="L382" s="7">
        <v>378.26</v>
      </c>
      <c r="M382" s="7">
        <v>541.55999999999995</v>
      </c>
      <c r="N382" s="5">
        <v>0.16300000000000001</v>
      </c>
      <c r="O382">
        <v>25</v>
      </c>
      <c r="P382" s="2">
        <f t="shared" si="45"/>
        <v>45705</v>
      </c>
      <c r="Q382" t="str">
        <f t="shared" si="46"/>
        <v>Ok</v>
      </c>
      <c r="R382">
        <f>ABS(Table2[[#This Row],[UnitPrice]])</f>
        <v>541.55999999999995</v>
      </c>
      <c r="S382">
        <f t="shared" si="47"/>
        <v>17</v>
      </c>
      <c r="T382" s="12">
        <f t="shared" si="48"/>
        <v>11332.142999999998</v>
      </c>
      <c r="U382">
        <f>Table2[[#This Row],[UnitCost]]*Table2[[#This Row],[Quantity]]</f>
        <v>9456.5</v>
      </c>
      <c r="V382" s="13">
        <f t="shared" si="49"/>
        <v>1875.6429999999982</v>
      </c>
      <c r="W382" s="5">
        <f t="shared" si="50"/>
        <v>0.16551529573885526</v>
      </c>
      <c r="X382" s="17" t="str">
        <f t="shared" si="51"/>
        <v>Jan-2025</v>
      </c>
      <c r="Z382" t="str">
        <f t="shared" si="52"/>
        <v>Europe. United Kingdom. London</v>
      </c>
      <c r="AA382" t="str">
        <f t="shared" si="53"/>
        <v>Low</v>
      </c>
      <c r="AB382" t="str">
        <f t="array" ref="AB382">TEXT(MIN(IF($E$2:$E$633=E382, $B$2:$B$633)), "YYYY-MM")</f>
        <v>2023-01</v>
      </c>
      <c r="AC382" s="13">
        <f>SUM($T$2:T382)</f>
        <v>6504306.5775700063</v>
      </c>
    </row>
    <row r="383" spans="1:29" x14ac:dyDescent="0.45">
      <c r="A383" t="s">
        <v>395</v>
      </c>
      <c r="B383" s="2">
        <v>45876</v>
      </c>
      <c r="C383" s="2">
        <v>45906</v>
      </c>
      <c r="D383" t="s">
        <v>648</v>
      </c>
      <c r="E383" t="s">
        <v>653</v>
      </c>
      <c r="F383" t="s">
        <v>681</v>
      </c>
      <c r="G383" t="s">
        <v>702</v>
      </c>
      <c r="H383" s="9" t="s">
        <v>711</v>
      </c>
      <c r="I383" s="9" t="s">
        <v>724</v>
      </c>
      <c r="J383" s="9" t="s">
        <v>729</v>
      </c>
      <c r="K383" t="s">
        <v>1114</v>
      </c>
      <c r="L383" s="7">
        <v>833.73</v>
      </c>
      <c r="M383" s="7">
        <v>1116.5999999999999</v>
      </c>
      <c r="N383" s="5">
        <v>0.17599999999999999</v>
      </c>
      <c r="O383">
        <v>14</v>
      </c>
      <c r="P383" s="2">
        <f t="shared" si="45"/>
        <v>45906</v>
      </c>
      <c r="Q383" t="str">
        <f t="shared" si="46"/>
        <v>Ok</v>
      </c>
      <c r="R383">
        <f>ABS(Table2[[#This Row],[UnitPrice]])</f>
        <v>1116.5999999999999</v>
      </c>
      <c r="S383">
        <f t="shared" si="47"/>
        <v>30</v>
      </c>
      <c r="T383" s="12">
        <f t="shared" si="48"/>
        <v>12881.097599999999</v>
      </c>
      <c r="U383">
        <f>Table2[[#This Row],[UnitCost]]*Table2[[#This Row],[Quantity]]</f>
        <v>11672.220000000001</v>
      </c>
      <c r="V383" s="13">
        <f t="shared" si="49"/>
        <v>1208.877599999998</v>
      </c>
      <c r="W383" s="5">
        <f t="shared" si="50"/>
        <v>9.3848958958279924E-2</v>
      </c>
      <c r="X383" s="17" t="str">
        <f t="shared" si="51"/>
        <v>Aug-2025</v>
      </c>
      <c r="Z383" t="str">
        <f t="shared" si="52"/>
        <v>Americas. Canada. Montreal</v>
      </c>
      <c r="AA383" t="str">
        <f t="shared" si="53"/>
        <v>Low</v>
      </c>
      <c r="AB383" t="str">
        <f t="array" ref="AB383">TEXT(MIN(IF($E$2:$E$633=E383, $B$2:$B$633)), "YYYY-MM")</f>
        <v>2023-01</v>
      </c>
      <c r="AC383" s="13">
        <f>SUM($T$2:T383)</f>
        <v>6517187.6751700062</v>
      </c>
    </row>
    <row r="384" spans="1:29" x14ac:dyDescent="0.45">
      <c r="A384" t="s">
        <v>396</v>
      </c>
      <c r="B384" s="2">
        <v>45861</v>
      </c>
      <c r="C384" s="2">
        <v>45886</v>
      </c>
      <c r="D384" t="s">
        <v>649</v>
      </c>
      <c r="E384" t="s">
        <v>658</v>
      </c>
      <c r="F384" t="s">
        <v>674</v>
      </c>
      <c r="G384" t="s">
        <v>702</v>
      </c>
      <c r="H384" s="9" t="s">
        <v>708</v>
      </c>
      <c r="I384" s="9" t="s">
        <v>714</v>
      </c>
      <c r="J384" s="9" t="s">
        <v>728</v>
      </c>
      <c r="K384" t="s">
        <v>1115</v>
      </c>
      <c r="L384" s="7">
        <v>1142.06</v>
      </c>
      <c r="M384" s="7">
        <v>1455</v>
      </c>
      <c r="N384" s="5">
        <v>7.8E-2</v>
      </c>
      <c r="O384">
        <v>28</v>
      </c>
      <c r="P384" s="2">
        <f t="shared" si="45"/>
        <v>45886</v>
      </c>
      <c r="Q384" t="str">
        <f t="shared" si="46"/>
        <v>Ok</v>
      </c>
      <c r="R384">
        <f>ABS(Table2[[#This Row],[UnitPrice]])</f>
        <v>1455</v>
      </c>
      <c r="S384">
        <f t="shared" si="47"/>
        <v>25</v>
      </c>
      <c r="T384" s="12">
        <f t="shared" si="48"/>
        <v>37562.28</v>
      </c>
      <c r="U384">
        <f>Table2[[#This Row],[UnitCost]]*Table2[[#This Row],[Quantity]]</f>
        <v>31977.68</v>
      </c>
      <c r="V384" s="13">
        <f t="shared" si="49"/>
        <v>5584.5999999999985</v>
      </c>
      <c r="W384" s="5">
        <f t="shared" si="50"/>
        <v>0.1486757459877302</v>
      </c>
      <c r="X384" s="17" t="str">
        <f t="shared" si="51"/>
        <v>Jul-2025</v>
      </c>
      <c r="Z384" t="str">
        <f t="shared" si="52"/>
        <v>Europe. United Kingdom. Birmingham</v>
      </c>
      <c r="AA384" t="str">
        <f t="shared" si="53"/>
        <v>High</v>
      </c>
      <c r="AB384" t="str">
        <f t="array" ref="AB384">TEXT(MIN(IF($E$2:$E$633=E384, $B$2:$B$633)), "YYYY-MM")</f>
        <v>2023-01</v>
      </c>
      <c r="AC384" s="13">
        <f>SUM($T$2:T384)</f>
        <v>6554749.9551700065</v>
      </c>
    </row>
    <row r="385" spans="1:29" x14ac:dyDescent="0.45">
      <c r="A385" t="s">
        <v>397</v>
      </c>
      <c r="B385" s="2">
        <v>45097</v>
      </c>
      <c r="C385" s="2">
        <v>45115</v>
      </c>
      <c r="D385" t="s">
        <v>648</v>
      </c>
      <c r="E385" t="s">
        <v>660</v>
      </c>
      <c r="F385" t="s">
        <v>700</v>
      </c>
      <c r="G385" t="s">
        <v>704</v>
      </c>
      <c r="H385" s="9" t="s">
        <v>709</v>
      </c>
      <c r="I385" s="9" t="s">
        <v>719</v>
      </c>
      <c r="J385" s="9" t="s">
        <v>729</v>
      </c>
      <c r="K385" t="s">
        <v>1116</v>
      </c>
      <c r="L385" s="7">
        <v>1145.53</v>
      </c>
      <c r="M385" s="7">
        <v>1278.3</v>
      </c>
      <c r="N385" s="5">
        <v>0.09</v>
      </c>
      <c r="O385">
        <v>41</v>
      </c>
      <c r="P385" s="2">
        <f t="shared" si="45"/>
        <v>45115</v>
      </c>
      <c r="Q385" t="str">
        <f t="shared" si="46"/>
        <v>Ok</v>
      </c>
      <c r="R385">
        <f>ABS(Table2[[#This Row],[UnitPrice]])</f>
        <v>1278.3</v>
      </c>
      <c r="S385">
        <f t="shared" si="47"/>
        <v>18</v>
      </c>
      <c r="T385" s="12">
        <f t="shared" si="48"/>
        <v>47693.373</v>
      </c>
      <c r="U385">
        <f>Table2[[#This Row],[UnitCost]]*Table2[[#This Row],[Quantity]]</f>
        <v>46966.729999999996</v>
      </c>
      <c r="V385" s="13">
        <f t="shared" si="49"/>
        <v>726.64300000000367</v>
      </c>
      <c r="W385" s="5">
        <f t="shared" si="50"/>
        <v>1.5235722581416158E-2</v>
      </c>
      <c r="X385" s="17" t="str">
        <f t="shared" si="51"/>
        <v>Jun-2023</v>
      </c>
      <c r="Z385" t="str">
        <f t="shared" si="52"/>
        <v>Americas. USA. New York</v>
      </c>
      <c r="AA385" t="str">
        <f t="shared" si="53"/>
        <v>High</v>
      </c>
      <c r="AB385" t="str">
        <f t="array" ref="AB385">TEXT(MIN(IF($E$2:$E$633=E385, $B$2:$B$633)), "YYYY-MM")</f>
        <v>2023-01</v>
      </c>
      <c r="AC385" s="13">
        <f>SUM($T$2:T385)</f>
        <v>6602443.3281700062</v>
      </c>
    </row>
    <row r="386" spans="1:29" x14ac:dyDescent="0.45">
      <c r="A386" t="s">
        <v>398</v>
      </c>
      <c r="B386" s="2">
        <v>45491</v>
      </c>
      <c r="C386" s="2">
        <v>45511</v>
      </c>
      <c r="D386" t="s">
        <v>649</v>
      </c>
      <c r="E386" t="s">
        <v>657</v>
      </c>
      <c r="F386" t="s">
        <v>673</v>
      </c>
      <c r="G386" t="s">
        <v>701</v>
      </c>
      <c r="H386" s="9" t="s">
        <v>707</v>
      </c>
      <c r="I386" s="9" t="s">
        <v>721</v>
      </c>
      <c r="J386" s="9" t="s">
        <v>732</v>
      </c>
      <c r="K386" t="s">
        <v>1117</v>
      </c>
      <c r="L386" s="7">
        <v>941.35</v>
      </c>
      <c r="M386" s="7">
        <v>899.83</v>
      </c>
      <c r="N386" s="5">
        <v>5.8000000000000003E-2</v>
      </c>
      <c r="O386">
        <v>18</v>
      </c>
      <c r="P386" s="2">
        <f t="shared" ref="P386:P449" si="54">IF(C386&lt;B386,B386+7,C386)</f>
        <v>45511</v>
      </c>
      <c r="Q386" t="str">
        <f t="shared" ref="Q386:Q449" si="55">IF(M386&lt;0, "Invalid Price","Ok")</f>
        <v>Ok</v>
      </c>
      <c r="R386">
        <f>ABS(Table2[[#This Row],[UnitPrice]])</f>
        <v>899.83</v>
      </c>
      <c r="S386">
        <f t="shared" si="47"/>
        <v>20</v>
      </c>
      <c r="T386" s="12">
        <f t="shared" si="48"/>
        <v>15257.51748</v>
      </c>
      <c r="U386">
        <f>Table2[[#This Row],[UnitCost]]*Table2[[#This Row],[Quantity]]</f>
        <v>16944.3</v>
      </c>
      <c r="V386" s="13">
        <f t="shared" si="49"/>
        <v>-1686.7825199999988</v>
      </c>
      <c r="W386" s="5">
        <f t="shared" si="50"/>
        <v>-0.11055419220139073</v>
      </c>
      <c r="X386" s="17" t="str">
        <f t="shared" si="51"/>
        <v>Jul-2024</v>
      </c>
      <c r="Z386" t="str">
        <f t="shared" si="52"/>
        <v>Europe. France. Marseille</v>
      </c>
      <c r="AA386" t="str">
        <f t="shared" si="53"/>
        <v>Low</v>
      </c>
      <c r="AB386" t="str">
        <f t="array" ref="AB386">TEXT(MIN(IF($E$2:$E$633=E386, $B$2:$B$633)), "YYYY-MM")</f>
        <v>2023-01</v>
      </c>
      <c r="AC386" s="13">
        <f>SUM($T$2:T386)</f>
        <v>6617700.8456500061</v>
      </c>
    </row>
    <row r="387" spans="1:29" x14ac:dyDescent="0.45">
      <c r="A387" t="s">
        <v>399</v>
      </c>
      <c r="B387" s="2">
        <v>45066</v>
      </c>
      <c r="C387" s="2">
        <v>45096</v>
      </c>
      <c r="D387" t="s">
        <v>647</v>
      </c>
      <c r="E387" t="s">
        <v>654</v>
      </c>
      <c r="F387" t="s">
        <v>680</v>
      </c>
      <c r="G387" t="s">
        <v>703</v>
      </c>
      <c r="H387" s="9" t="s">
        <v>709</v>
      </c>
      <c r="I387" s="9" t="s">
        <v>722</v>
      </c>
      <c r="J387" s="9" t="s">
        <v>731</v>
      </c>
      <c r="K387" t="s">
        <v>1118</v>
      </c>
      <c r="L387" s="7">
        <v>1161.2</v>
      </c>
      <c r="M387" s="7">
        <v>878.73</v>
      </c>
      <c r="N387" s="5">
        <v>0.19</v>
      </c>
      <c r="O387">
        <v>31</v>
      </c>
      <c r="P387" s="2">
        <f t="shared" si="54"/>
        <v>45096</v>
      </c>
      <c r="Q387" t="str">
        <f t="shared" si="55"/>
        <v>Ok</v>
      </c>
      <c r="R387">
        <f>ABS(Table2[[#This Row],[UnitPrice]])</f>
        <v>878.73</v>
      </c>
      <c r="S387">
        <f t="shared" ref="S387:S450" si="56">P387-B387</f>
        <v>30</v>
      </c>
      <c r="T387" s="12">
        <f t="shared" ref="T387:T450" si="57">R387*O387*(1-N387)</f>
        <v>22064.910300000003</v>
      </c>
      <c r="U387">
        <f>Table2[[#This Row],[UnitCost]]*Table2[[#This Row],[Quantity]]</f>
        <v>35997.200000000004</v>
      </c>
      <c r="V387" s="13">
        <f t="shared" ref="V387:V450" si="58">T387-U387</f>
        <v>-13932.289700000001</v>
      </c>
      <c r="W387" s="5">
        <f t="shared" ref="W387:W450" si="59">IF(V387=0,0,V387/T387)</f>
        <v>-0.63142290227212028</v>
      </c>
      <c r="X387" s="17" t="str">
        <f t="shared" ref="X387:X450" si="60">TEXT(B387,"mmm-yyyy")</f>
        <v>May-2023</v>
      </c>
      <c r="Z387" t="str">
        <f t="shared" ref="Z387:Z450" si="61">CONCATENATE(D387,". ",E387,". ",F387)</f>
        <v>Asia. India. Delhi</v>
      </c>
      <c r="AA387" t="str">
        <f t="shared" ref="AA387:AA450" si="62">IF(M387&lt;1193.87, "Low",IF(M387&gt;1193.87,"High","Medium"))</f>
        <v>Low</v>
      </c>
      <c r="AB387" t="str">
        <f t="array" ref="AB387">TEXT(MIN(IF($E$2:$E$633=E387, $B$2:$B$633)), "YYYY-MM")</f>
        <v>2023-01</v>
      </c>
      <c r="AC387" s="13">
        <f>SUM($T$2:T387)</f>
        <v>6639765.7559500057</v>
      </c>
    </row>
    <row r="388" spans="1:29" x14ac:dyDescent="0.45">
      <c r="A388" t="s">
        <v>400</v>
      </c>
      <c r="B388" s="2">
        <v>45789</v>
      </c>
      <c r="C388" s="2">
        <v>45803</v>
      </c>
      <c r="D388" t="s">
        <v>647</v>
      </c>
      <c r="E388" t="s">
        <v>654</v>
      </c>
      <c r="F388" t="s">
        <v>696</v>
      </c>
      <c r="G388" t="s">
        <v>701</v>
      </c>
      <c r="H388" s="9" t="s">
        <v>709</v>
      </c>
      <c r="I388" s="9" t="s">
        <v>715</v>
      </c>
      <c r="J388" s="9" t="s">
        <v>728</v>
      </c>
      <c r="K388" t="s">
        <v>1119</v>
      </c>
      <c r="L388" s="7">
        <v>320.12</v>
      </c>
      <c r="M388" s="7">
        <v>594.41999999999996</v>
      </c>
      <c r="N388" s="5">
        <v>0.104</v>
      </c>
      <c r="O388">
        <v>18</v>
      </c>
      <c r="P388" s="2">
        <f t="shared" si="54"/>
        <v>45803</v>
      </c>
      <c r="Q388" t="str">
        <f t="shared" si="55"/>
        <v>Ok</v>
      </c>
      <c r="R388">
        <f>ABS(Table2[[#This Row],[UnitPrice]])</f>
        <v>594.41999999999996</v>
      </c>
      <c r="S388">
        <f t="shared" si="56"/>
        <v>14</v>
      </c>
      <c r="T388" s="12">
        <f t="shared" si="57"/>
        <v>9586.8057599999993</v>
      </c>
      <c r="U388">
        <f>Table2[[#This Row],[UnitCost]]*Table2[[#This Row],[Quantity]]</f>
        <v>5762.16</v>
      </c>
      <c r="V388" s="13">
        <f t="shared" si="58"/>
        <v>3824.6457599999994</v>
      </c>
      <c r="W388" s="5">
        <f t="shared" si="59"/>
        <v>0.39894891538931104</v>
      </c>
      <c r="X388" s="17" t="str">
        <f t="shared" si="60"/>
        <v>May-2025</v>
      </c>
      <c r="Z388" t="str">
        <f t="shared" si="61"/>
        <v>Asia. India. Hyderabad</v>
      </c>
      <c r="AA388" t="str">
        <f t="shared" si="62"/>
        <v>Low</v>
      </c>
      <c r="AB388" t="str">
        <f t="array" ref="AB388">TEXT(MIN(IF($E$2:$E$633=E388, $B$2:$B$633)), "YYYY-MM")</f>
        <v>2023-01</v>
      </c>
      <c r="AC388" s="13">
        <f>SUM($T$2:T388)</f>
        <v>6649352.5617100056</v>
      </c>
    </row>
    <row r="389" spans="1:29" x14ac:dyDescent="0.45">
      <c r="A389" t="s">
        <v>401</v>
      </c>
      <c r="B389" s="2">
        <v>45419</v>
      </c>
      <c r="C389" s="2">
        <v>45424</v>
      </c>
      <c r="D389" t="s">
        <v>646</v>
      </c>
      <c r="E389" t="s">
        <v>651</v>
      </c>
      <c r="F389" t="s">
        <v>669</v>
      </c>
      <c r="G389" t="s">
        <v>703</v>
      </c>
      <c r="H389" s="9" t="s">
        <v>710</v>
      </c>
      <c r="I389" s="9" t="s">
        <v>716</v>
      </c>
      <c r="J389" s="9" t="s">
        <v>731</v>
      </c>
      <c r="K389" t="s">
        <v>1120</v>
      </c>
      <c r="L389" s="7">
        <v>1163.99</v>
      </c>
      <c r="M389" s="7">
        <v>1617.85</v>
      </c>
      <c r="N389" s="5">
        <v>0.127</v>
      </c>
      <c r="O389">
        <v>14</v>
      </c>
      <c r="P389" s="2">
        <f t="shared" si="54"/>
        <v>45424</v>
      </c>
      <c r="Q389" t="str">
        <f t="shared" si="55"/>
        <v>Ok</v>
      </c>
      <c r="R389">
        <f>ABS(Table2[[#This Row],[UnitPrice]])</f>
        <v>1617.85</v>
      </c>
      <c r="S389">
        <f t="shared" si="56"/>
        <v>5</v>
      </c>
      <c r="T389" s="12">
        <f t="shared" si="57"/>
        <v>19773.362699999998</v>
      </c>
      <c r="U389">
        <f>Table2[[#This Row],[UnitCost]]*Table2[[#This Row],[Quantity]]</f>
        <v>16295.86</v>
      </c>
      <c r="V389" s="13">
        <f t="shared" si="58"/>
        <v>3477.5026999999973</v>
      </c>
      <c r="W389" s="5">
        <f t="shared" si="59"/>
        <v>0.17586804797749436</v>
      </c>
      <c r="X389" s="17" t="str">
        <f t="shared" si="60"/>
        <v>May-2024</v>
      </c>
      <c r="Z389" t="str">
        <f t="shared" si="61"/>
        <v>Africa. Nigeria. Abuja</v>
      </c>
      <c r="AA389" t="str">
        <f t="shared" si="62"/>
        <v>High</v>
      </c>
      <c r="AB389" t="str">
        <f t="array" ref="AB389">TEXT(MIN(IF($E$2:$E$633=E389, $B$2:$B$633)), "YYYY-MM")</f>
        <v>2023-01</v>
      </c>
      <c r="AC389" s="13">
        <f>SUM($T$2:T389)</f>
        <v>6669125.924410006</v>
      </c>
    </row>
    <row r="390" spans="1:29" x14ac:dyDescent="0.45">
      <c r="A390" t="s">
        <v>402</v>
      </c>
      <c r="B390" s="2">
        <v>45199</v>
      </c>
      <c r="C390" s="2">
        <v>45202</v>
      </c>
      <c r="D390" t="s">
        <v>647</v>
      </c>
      <c r="E390" t="s">
        <v>659</v>
      </c>
      <c r="F390" t="s">
        <v>699</v>
      </c>
      <c r="G390" t="s">
        <v>703</v>
      </c>
      <c r="H390" s="9" t="s">
        <v>707</v>
      </c>
      <c r="I390" s="9" t="s">
        <v>713</v>
      </c>
      <c r="J390" s="9" t="s">
        <v>731</v>
      </c>
      <c r="K390" t="s">
        <v>1121</v>
      </c>
      <c r="L390" s="7">
        <v>1019.36</v>
      </c>
      <c r="M390" s="7">
        <v>972.91</v>
      </c>
      <c r="N390" s="5">
        <v>0.14699999999999999</v>
      </c>
      <c r="O390">
        <v>17</v>
      </c>
      <c r="P390" s="2">
        <f t="shared" si="54"/>
        <v>45202</v>
      </c>
      <c r="Q390" t="str">
        <f t="shared" si="55"/>
        <v>Ok</v>
      </c>
      <c r="R390">
        <f>ABS(Table2[[#This Row],[UnitPrice]])</f>
        <v>972.91</v>
      </c>
      <c r="S390">
        <f t="shared" si="56"/>
        <v>3</v>
      </c>
      <c r="T390" s="12">
        <f t="shared" si="57"/>
        <v>14108.16791</v>
      </c>
      <c r="U390">
        <f>Table2[[#This Row],[UnitCost]]*Table2[[#This Row],[Quantity]]</f>
        <v>17329.12</v>
      </c>
      <c r="V390" s="13">
        <f t="shared" si="58"/>
        <v>-3220.9520899999989</v>
      </c>
      <c r="W390" s="5">
        <f t="shared" si="59"/>
        <v>-0.22830406545678819</v>
      </c>
      <c r="X390" s="17" t="str">
        <f t="shared" si="60"/>
        <v>Sep-2023</v>
      </c>
      <c r="Z390" t="str">
        <f t="shared" si="61"/>
        <v>Asia. China. Beijing</v>
      </c>
      <c r="AA390" t="str">
        <f t="shared" si="62"/>
        <v>Low</v>
      </c>
      <c r="AB390" t="str">
        <f t="array" ref="AB390">TEXT(MIN(IF($E$2:$E$633=E390, $B$2:$B$633)), "YYYY-MM")</f>
        <v>2023-01</v>
      </c>
      <c r="AC390" s="13">
        <f>SUM($T$2:T390)</f>
        <v>6683234.0923200063</v>
      </c>
    </row>
    <row r="391" spans="1:29" x14ac:dyDescent="0.45">
      <c r="A391" t="s">
        <v>403</v>
      </c>
      <c r="B391" s="2">
        <v>45225</v>
      </c>
      <c r="C391" s="2">
        <v>45235</v>
      </c>
      <c r="D391" t="s">
        <v>646</v>
      </c>
      <c r="E391" t="s">
        <v>661</v>
      </c>
      <c r="F391" t="s">
        <v>695</v>
      </c>
      <c r="G391" t="s">
        <v>703</v>
      </c>
      <c r="H391" s="9" t="s">
        <v>708</v>
      </c>
      <c r="I391" s="9" t="s">
        <v>714</v>
      </c>
      <c r="J391" s="9" t="s">
        <v>731</v>
      </c>
      <c r="K391" t="s">
        <v>1122</v>
      </c>
      <c r="L391" s="7">
        <v>20.38</v>
      </c>
      <c r="M391" s="7">
        <v>42.56</v>
      </c>
      <c r="N391" s="5">
        <v>7.1999999999999995E-2</v>
      </c>
      <c r="O391">
        <v>11</v>
      </c>
      <c r="P391" s="2">
        <f t="shared" si="54"/>
        <v>45235</v>
      </c>
      <c r="Q391" t="str">
        <f t="shared" si="55"/>
        <v>Ok</v>
      </c>
      <c r="R391">
        <f>ABS(Table2[[#This Row],[UnitPrice]])</f>
        <v>42.56</v>
      </c>
      <c r="S391">
        <f t="shared" si="56"/>
        <v>10</v>
      </c>
      <c r="T391" s="12">
        <f t="shared" si="57"/>
        <v>434.45248000000004</v>
      </c>
      <c r="U391">
        <f>Table2[[#This Row],[UnitCost]]*Table2[[#This Row],[Quantity]]</f>
        <v>224.17999999999998</v>
      </c>
      <c r="V391" s="13">
        <f t="shared" si="58"/>
        <v>210.27248000000006</v>
      </c>
      <c r="W391" s="5">
        <f t="shared" si="59"/>
        <v>0.48399419885921713</v>
      </c>
      <c r="X391" s="17" t="str">
        <f t="shared" si="60"/>
        <v>Oct-2023</v>
      </c>
      <c r="Z391" t="str">
        <f t="shared" si="61"/>
        <v>Africa. South Africa. Cape Town</v>
      </c>
      <c r="AA391" t="str">
        <f t="shared" si="62"/>
        <v>Low</v>
      </c>
      <c r="AB391" t="str">
        <f t="array" ref="AB391">TEXT(MIN(IF($E$2:$E$633=E391, $B$2:$B$633)), "YYYY-MM")</f>
        <v>2023-01</v>
      </c>
      <c r="AC391" s="13">
        <f>SUM($T$2:T391)</f>
        <v>6683668.5448000068</v>
      </c>
    </row>
    <row r="392" spans="1:29" x14ac:dyDescent="0.45">
      <c r="A392" t="s">
        <v>404</v>
      </c>
      <c r="B392" s="2">
        <v>45823</v>
      </c>
      <c r="C392" s="2">
        <v>45838</v>
      </c>
      <c r="D392" t="s">
        <v>646</v>
      </c>
      <c r="E392" t="s">
        <v>661</v>
      </c>
      <c r="F392" t="s">
        <v>682</v>
      </c>
      <c r="G392" t="s">
        <v>705</v>
      </c>
      <c r="H392" s="9" t="s">
        <v>711</v>
      </c>
      <c r="I392" s="9" t="s">
        <v>712</v>
      </c>
      <c r="J392" s="9" t="s">
        <v>732</v>
      </c>
      <c r="K392" t="s">
        <v>1123</v>
      </c>
      <c r="L392" s="7">
        <v>1487.59</v>
      </c>
      <c r="M392" s="7">
        <v>1480.83</v>
      </c>
      <c r="N392" s="5">
        <v>8.9999999999999993E-3</v>
      </c>
      <c r="O392">
        <v>11</v>
      </c>
      <c r="P392" s="2">
        <f t="shared" si="54"/>
        <v>45838</v>
      </c>
      <c r="Q392" t="str">
        <f t="shared" si="55"/>
        <v>Ok</v>
      </c>
      <c r="R392">
        <f>ABS(Table2[[#This Row],[UnitPrice]])</f>
        <v>1480.83</v>
      </c>
      <c r="S392">
        <f t="shared" si="56"/>
        <v>15</v>
      </c>
      <c r="T392" s="12">
        <f t="shared" si="57"/>
        <v>16142.527829999999</v>
      </c>
      <c r="U392">
        <f>Table2[[#This Row],[UnitCost]]*Table2[[#This Row],[Quantity]]</f>
        <v>16363.49</v>
      </c>
      <c r="V392" s="13">
        <f t="shared" si="58"/>
        <v>-220.9621700000007</v>
      </c>
      <c r="W392" s="5">
        <f t="shared" si="59"/>
        <v>-1.3688201273492908E-2</v>
      </c>
      <c r="X392" s="17" t="str">
        <f t="shared" si="60"/>
        <v>Jun-2025</v>
      </c>
      <c r="Z392" t="str">
        <f t="shared" si="61"/>
        <v>Africa. South Africa. Johannesburg</v>
      </c>
      <c r="AA392" t="str">
        <f t="shared" si="62"/>
        <v>High</v>
      </c>
      <c r="AB392" t="str">
        <f t="array" ref="AB392">TEXT(MIN(IF($E$2:$E$633=E392, $B$2:$B$633)), "YYYY-MM")</f>
        <v>2023-01</v>
      </c>
      <c r="AC392" s="13">
        <f>SUM($T$2:T392)</f>
        <v>6699811.0726300068</v>
      </c>
    </row>
    <row r="393" spans="1:29" x14ac:dyDescent="0.45">
      <c r="A393" t="s">
        <v>405</v>
      </c>
      <c r="B393" s="2">
        <v>45514</v>
      </c>
      <c r="C393" s="2">
        <v>45542</v>
      </c>
      <c r="D393" t="s">
        <v>649</v>
      </c>
      <c r="E393" t="s">
        <v>657</v>
      </c>
      <c r="F393" t="s">
        <v>673</v>
      </c>
      <c r="G393" t="s">
        <v>703</v>
      </c>
      <c r="H393" s="9" t="s">
        <v>711</v>
      </c>
      <c r="I393" s="9" t="s">
        <v>721</v>
      </c>
      <c r="J393" s="9" t="s">
        <v>728</v>
      </c>
      <c r="K393" t="s">
        <v>1124</v>
      </c>
      <c r="L393" s="7">
        <v>229.96</v>
      </c>
      <c r="M393" s="7">
        <v>564.26</v>
      </c>
      <c r="N393" s="5">
        <v>0.105</v>
      </c>
      <c r="O393">
        <v>5</v>
      </c>
      <c r="P393" s="2">
        <f t="shared" si="54"/>
        <v>45542</v>
      </c>
      <c r="Q393" t="str">
        <f t="shared" si="55"/>
        <v>Ok</v>
      </c>
      <c r="R393">
        <f>ABS(Table2[[#This Row],[UnitPrice]])</f>
        <v>564.26</v>
      </c>
      <c r="S393">
        <f t="shared" si="56"/>
        <v>28</v>
      </c>
      <c r="T393" s="12">
        <f t="shared" si="57"/>
        <v>2525.0635000000002</v>
      </c>
      <c r="U393">
        <f>Table2[[#This Row],[UnitCost]]*Table2[[#This Row],[Quantity]]</f>
        <v>1149.8</v>
      </c>
      <c r="V393" s="13">
        <f t="shared" si="58"/>
        <v>1375.2635000000002</v>
      </c>
      <c r="W393" s="5">
        <f t="shared" si="59"/>
        <v>0.54464511486542821</v>
      </c>
      <c r="X393" s="17" t="str">
        <f t="shared" si="60"/>
        <v>Aug-2024</v>
      </c>
      <c r="Z393" t="str">
        <f t="shared" si="61"/>
        <v>Europe. France. Marseille</v>
      </c>
      <c r="AA393" t="str">
        <f t="shared" si="62"/>
        <v>Low</v>
      </c>
      <c r="AB393" t="str">
        <f t="array" ref="AB393">TEXT(MIN(IF($E$2:$E$633=E393, $B$2:$B$633)), "YYYY-MM")</f>
        <v>2023-01</v>
      </c>
      <c r="AC393" s="13">
        <f>SUM($T$2:T393)</f>
        <v>6702336.136130007</v>
      </c>
    </row>
    <row r="394" spans="1:29" x14ac:dyDescent="0.45">
      <c r="A394" t="s">
        <v>406</v>
      </c>
      <c r="B394" s="2">
        <v>45208</v>
      </c>
      <c r="C394" s="2">
        <v>45225</v>
      </c>
      <c r="D394" t="s">
        <v>647</v>
      </c>
      <c r="E394" t="s">
        <v>659</v>
      </c>
      <c r="F394" t="s">
        <v>685</v>
      </c>
      <c r="G394" t="s">
        <v>704</v>
      </c>
      <c r="H394" s="9" t="s">
        <v>709</v>
      </c>
      <c r="I394" s="9" t="s">
        <v>712</v>
      </c>
      <c r="J394" s="9" t="s">
        <v>727</v>
      </c>
      <c r="K394" t="s">
        <v>1125</v>
      </c>
      <c r="L394" s="7">
        <v>1132.03</v>
      </c>
      <c r="M394" s="7">
        <v>2137.21</v>
      </c>
      <c r="N394" s="5">
        <v>0.35699999999999998</v>
      </c>
      <c r="O394">
        <v>35</v>
      </c>
      <c r="P394" s="2">
        <f t="shared" si="54"/>
        <v>45225</v>
      </c>
      <c r="Q394" t="str">
        <f t="shared" si="55"/>
        <v>Ok</v>
      </c>
      <c r="R394">
        <f>ABS(Table2[[#This Row],[UnitPrice]])</f>
        <v>2137.21</v>
      </c>
      <c r="S394">
        <f t="shared" si="56"/>
        <v>17</v>
      </c>
      <c r="T394" s="12">
        <f t="shared" si="57"/>
        <v>48097.911050000002</v>
      </c>
      <c r="U394">
        <f>Table2[[#This Row],[UnitCost]]*Table2[[#This Row],[Quantity]]</f>
        <v>39621.049999999996</v>
      </c>
      <c r="V394" s="13">
        <f t="shared" si="58"/>
        <v>8476.8610500000068</v>
      </c>
      <c r="W394" s="5">
        <f t="shared" si="59"/>
        <v>0.17624177152284051</v>
      </c>
      <c r="X394" s="17" t="str">
        <f t="shared" si="60"/>
        <v>Oct-2023</v>
      </c>
      <c r="Z394" t="str">
        <f t="shared" si="61"/>
        <v>Asia. China. Shanghai</v>
      </c>
      <c r="AA394" t="str">
        <f t="shared" si="62"/>
        <v>High</v>
      </c>
      <c r="AB394" t="str">
        <f t="array" ref="AB394">TEXT(MIN(IF($E$2:$E$633=E394, $B$2:$B$633)), "YYYY-MM")</f>
        <v>2023-01</v>
      </c>
      <c r="AC394" s="13">
        <f>SUM($T$2:T394)</f>
        <v>6750434.0471800072</v>
      </c>
    </row>
    <row r="395" spans="1:29" x14ac:dyDescent="0.45">
      <c r="A395" t="s">
        <v>407</v>
      </c>
      <c r="B395" s="2">
        <v>45360</v>
      </c>
      <c r="C395" s="2">
        <v>45377</v>
      </c>
      <c r="D395" t="s">
        <v>648</v>
      </c>
      <c r="E395" t="s">
        <v>660</v>
      </c>
      <c r="F395" t="s">
        <v>686</v>
      </c>
      <c r="G395" t="s">
        <v>702</v>
      </c>
      <c r="H395" s="9" t="s">
        <v>711</v>
      </c>
      <c r="I395" s="9" t="s">
        <v>714</v>
      </c>
      <c r="J395" s="9" t="s">
        <v>730</v>
      </c>
      <c r="K395" t="s">
        <v>1126</v>
      </c>
      <c r="L395" s="7">
        <v>1137.4100000000001</v>
      </c>
      <c r="M395" s="7">
        <v>1680.93</v>
      </c>
      <c r="N395" s="5">
        <v>0.254</v>
      </c>
      <c r="O395">
        <v>9</v>
      </c>
      <c r="P395" s="2">
        <f t="shared" si="54"/>
        <v>45377</v>
      </c>
      <c r="Q395" t="str">
        <f t="shared" si="55"/>
        <v>Ok</v>
      </c>
      <c r="R395">
        <f>ABS(Table2[[#This Row],[UnitPrice]])</f>
        <v>1680.93</v>
      </c>
      <c r="S395">
        <f t="shared" si="56"/>
        <v>17</v>
      </c>
      <c r="T395" s="12">
        <f t="shared" si="57"/>
        <v>11285.764020000001</v>
      </c>
      <c r="U395">
        <f>Table2[[#This Row],[UnitCost]]*Table2[[#This Row],[Quantity]]</f>
        <v>10236.69</v>
      </c>
      <c r="V395" s="13">
        <f t="shared" si="58"/>
        <v>1049.07402</v>
      </c>
      <c r="W395" s="5">
        <f t="shared" si="59"/>
        <v>9.2955516183121464E-2</v>
      </c>
      <c r="X395" s="17" t="str">
        <f t="shared" si="60"/>
        <v>Mar-2024</v>
      </c>
      <c r="Z395" t="str">
        <f t="shared" si="61"/>
        <v>Americas. USA. San Francisco</v>
      </c>
      <c r="AA395" t="str">
        <f t="shared" si="62"/>
        <v>High</v>
      </c>
      <c r="AB395" t="str">
        <f t="array" ref="AB395">TEXT(MIN(IF($E$2:$E$633=E395, $B$2:$B$633)), "YYYY-MM")</f>
        <v>2023-01</v>
      </c>
      <c r="AC395" s="13">
        <f>SUM($T$2:T395)</f>
        <v>6761719.8112000069</v>
      </c>
    </row>
    <row r="396" spans="1:29" x14ac:dyDescent="0.45">
      <c r="A396" t="s">
        <v>408</v>
      </c>
      <c r="B396" s="2">
        <v>45075</v>
      </c>
      <c r="C396" s="2">
        <v>45097</v>
      </c>
      <c r="D396" t="s">
        <v>649</v>
      </c>
      <c r="E396" t="s">
        <v>658</v>
      </c>
      <c r="F396" t="s">
        <v>683</v>
      </c>
      <c r="G396" t="s">
        <v>705</v>
      </c>
      <c r="H396" s="9" t="s">
        <v>711</v>
      </c>
      <c r="I396" s="9" t="s">
        <v>723</v>
      </c>
      <c r="J396" s="9" t="s">
        <v>727</v>
      </c>
      <c r="K396" t="s">
        <v>1127</v>
      </c>
      <c r="L396" s="7">
        <v>1295.3900000000001</v>
      </c>
      <c r="M396" s="7">
        <v>2905.06</v>
      </c>
      <c r="N396" s="5">
        <v>0.14799999999999999</v>
      </c>
      <c r="O396">
        <v>8</v>
      </c>
      <c r="P396" s="2">
        <f t="shared" si="54"/>
        <v>45097</v>
      </c>
      <c r="Q396" t="str">
        <f t="shared" si="55"/>
        <v>Ok</v>
      </c>
      <c r="R396">
        <f>ABS(Table2[[#This Row],[UnitPrice]])</f>
        <v>2905.06</v>
      </c>
      <c r="S396">
        <f t="shared" si="56"/>
        <v>22</v>
      </c>
      <c r="T396" s="12">
        <f t="shared" si="57"/>
        <v>19800.88896</v>
      </c>
      <c r="U396">
        <f>Table2[[#This Row],[UnitCost]]*Table2[[#This Row],[Quantity]]</f>
        <v>10363.120000000001</v>
      </c>
      <c r="V396" s="13">
        <f t="shared" si="58"/>
        <v>9437.7689599999994</v>
      </c>
      <c r="W396" s="5">
        <f t="shared" si="59"/>
        <v>0.47663359857556614</v>
      </c>
      <c r="X396" s="17" t="str">
        <f t="shared" si="60"/>
        <v>May-2023</v>
      </c>
      <c r="Z396" t="str">
        <f t="shared" si="61"/>
        <v>Europe. United Kingdom. London</v>
      </c>
      <c r="AA396" t="str">
        <f t="shared" si="62"/>
        <v>High</v>
      </c>
      <c r="AB396" t="str">
        <f t="array" ref="AB396">TEXT(MIN(IF($E$2:$E$633=E396, $B$2:$B$633)), "YYYY-MM")</f>
        <v>2023-01</v>
      </c>
      <c r="AC396" s="13">
        <f>SUM($T$2:T396)</f>
        <v>6781520.700160007</v>
      </c>
    </row>
    <row r="397" spans="1:29" x14ac:dyDescent="0.45">
      <c r="A397" t="s">
        <v>409</v>
      </c>
      <c r="B397" s="2">
        <v>45804</v>
      </c>
      <c r="C397" s="2">
        <v>45816</v>
      </c>
      <c r="D397" t="s">
        <v>647</v>
      </c>
      <c r="E397" t="s">
        <v>652</v>
      </c>
      <c r="F397" t="s">
        <v>666</v>
      </c>
      <c r="G397" t="s">
        <v>701</v>
      </c>
      <c r="H397" s="9" t="s">
        <v>707</v>
      </c>
      <c r="I397" s="9" t="s">
        <v>722</v>
      </c>
      <c r="J397" s="9" t="s">
        <v>733</v>
      </c>
      <c r="K397" t="s">
        <v>1128</v>
      </c>
      <c r="L397" s="7">
        <v>653.6</v>
      </c>
      <c r="M397" s="7">
        <v>842.09</v>
      </c>
      <c r="N397" s="5">
        <v>9.8000000000000004E-2</v>
      </c>
      <c r="O397">
        <v>19</v>
      </c>
      <c r="P397" s="2">
        <f t="shared" si="54"/>
        <v>45816</v>
      </c>
      <c r="Q397" t="str">
        <f t="shared" si="55"/>
        <v>Ok</v>
      </c>
      <c r="R397">
        <f>ABS(Table2[[#This Row],[UnitPrice]])</f>
        <v>842.09</v>
      </c>
      <c r="S397">
        <f t="shared" si="56"/>
        <v>12</v>
      </c>
      <c r="T397" s="12">
        <f t="shared" si="57"/>
        <v>14431.738420000001</v>
      </c>
      <c r="U397">
        <f>Table2[[#This Row],[UnitCost]]*Table2[[#This Row],[Quantity]]</f>
        <v>12418.4</v>
      </c>
      <c r="V397" s="13">
        <f t="shared" si="58"/>
        <v>2013.3384200000019</v>
      </c>
      <c r="W397" s="5">
        <f t="shared" si="59"/>
        <v>0.13950768517324622</v>
      </c>
      <c r="X397" s="17" t="str">
        <f t="shared" si="60"/>
        <v>May-2025</v>
      </c>
      <c r="Z397" t="str">
        <f t="shared" si="61"/>
        <v>Asia. Japan. Osaka</v>
      </c>
      <c r="AA397" t="str">
        <f t="shared" si="62"/>
        <v>Low</v>
      </c>
      <c r="AB397" t="str">
        <f t="array" ref="AB397">TEXT(MIN(IF($E$2:$E$633=E397, $B$2:$B$633)), "YYYY-MM")</f>
        <v>2023-03</v>
      </c>
      <c r="AC397" s="13">
        <f>SUM($T$2:T397)</f>
        <v>6795952.4385800073</v>
      </c>
    </row>
    <row r="398" spans="1:29" x14ac:dyDescent="0.45">
      <c r="A398" t="s">
        <v>410</v>
      </c>
      <c r="B398" s="2">
        <v>45890</v>
      </c>
      <c r="C398" s="2">
        <v>45914</v>
      </c>
      <c r="D398" t="s">
        <v>649</v>
      </c>
      <c r="E398" t="s">
        <v>656</v>
      </c>
      <c r="F398" t="s">
        <v>671</v>
      </c>
      <c r="G398" t="s">
        <v>703</v>
      </c>
      <c r="H398" s="9" t="s">
        <v>708</v>
      </c>
      <c r="I398" s="9" t="s">
        <v>720</v>
      </c>
      <c r="J398" s="9" t="s">
        <v>732</v>
      </c>
      <c r="K398" t="s">
        <v>1129</v>
      </c>
      <c r="L398" s="7">
        <v>1397.67</v>
      </c>
      <c r="M398" s="7">
        <v>3131.37</v>
      </c>
      <c r="N398" s="5">
        <v>0.10299999999999999</v>
      </c>
      <c r="O398">
        <v>20</v>
      </c>
      <c r="P398" s="2">
        <f t="shared" si="54"/>
        <v>45914</v>
      </c>
      <c r="Q398" t="str">
        <f t="shared" si="55"/>
        <v>Ok</v>
      </c>
      <c r="R398">
        <f>ABS(Table2[[#This Row],[UnitPrice]])</f>
        <v>3131.37</v>
      </c>
      <c r="S398">
        <f t="shared" si="56"/>
        <v>24</v>
      </c>
      <c r="T398" s="12">
        <f t="shared" si="57"/>
        <v>56176.777799999996</v>
      </c>
      <c r="U398">
        <f>Table2[[#This Row],[UnitCost]]*Table2[[#This Row],[Quantity]]</f>
        <v>27953.4</v>
      </c>
      <c r="V398" s="13">
        <f t="shared" si="58"/>
        <v>28223.377799999995</v>
      </c>
      <c r="W398" s="5">
        <f t="shared" si="59"/>
        <v>0.50240293062874808</v>
      </c>
      <c r="X398" s="17" t="str">
        <f t="shared" si="60"/>
        <v>Aug-2025</v>
      </c>
      <c r="Z398" t="str">
        <f t="shared" si="61"/>
        <v>Europe. Germany. Berlin</v>
      </c>
      <c r="AA398" t="str">
        <f t="shared" si="62"/>
        <v>High</v>
      </c>
      <c r="AB398" t="str">
        <f t="array" ref="AB398">TEXT(MIN(IF($E$2:$E$633=E398, $B$2:$B$633)), "YYYY-MM")</f>
        <v>2023-01</v>
      </c>
      <c r="AC398" s="13">
        <f>SUM($T$2:T398)</f>
        <v>6852129.2163800076</v>
      </c>
    </row>
    <row r="399" spans="1:29" x14ac:dyDescent="0.45">
      <c r="A399" t="s">
        <v>411</v>
      </c>
      <c r="B399" s="2">
        <v>45638</v>
      </c>
      <c r="C399" s="2">
        <v>45646</v>
      </c>
      <c r="D399" t="s">
        <v>647</v>
      </c>
      <c r="E399" t="s">
        <v>652</v>
      </c>
      <c r="F399" t="s">
        <v>689</v>
      </c>
      <c r="G399" t="s">
        <v>701</v>
      </c>
      <c r="H399" s="9" t="s">
        <v>707</v>
      </c>
      <c r="I399" s="9" t="s">
        <v>717</v>
      </c>
      <c r="J399" s="9" t="s">
        <v>731</v>
      </c>
      <c r="K399" t="s">
        <v>1130</v>
      </c>
      <c r="L399" s="7">
        <v>1202.47</v>
      </c>
      <c r="M399" s="7">
        <v>1444.72</v>
      </c>
      <c r="N399" s="5">
        <v>0.24099999999999999</v>
      </c>
      <c r="O399">
        <v>17</v>
      </c>
      <c r="P399" s="2">
        <f t="shared" si="54"/>
        <v>45646</v>
      </c>
      <c r="Q399" t="str">
        <f t="shared" si="55"/>
        <v>Ok</v>
      </c>
      <c r="R399">
        <f>ABS(Table2[[#This Row],[UnitPrice]])</f>
        <v>1444.72</v>
      </c>
      <c r="S399">
        <f t="shared" si="56"/>
        <v>8</v>
      </c>
      <c r="T399" s="12">
        <f t="shared" si="57"/>
        <v>18641.222160000001</v>
      </c>
      <c r="U399">
        <f>Table2[[#This Row],[UnitCost]]*Table2[[#This Row],[Quantity]]</f>
        <v>20441.990000000002</v>
      </c>
      <c r="V399" s="13">
        <f t="shared" si="58"/>
        <v>-1800.7678400000004</v>
      </c>
      <c r="W399" s="5">
        <f t="shared" si="59"/>
        <v>-9.6601382921343834E-2</v>
      </c>
      <c r="X399" s="17" t="str">
        <f t="shared" si="60"/>
        <v>Dec-2024</v>
      </c>
      <c r="Z399" t="str">
        <f t="shared" si="61"/>
        <v>Asia. Japan. Tokyo</v>
      </c>
      <c r="AA399" t="str">
        <f t="shared" si="62"/>
        <v>High</v>
      </c>
      <c r="AB399" t="str">
        <f t="array" ref="AB399">TEXT(MIN(IF($E$2:$E$633=E399, $B$2:$B$633)), "YYYY-MM")</f>
        <v>2023-03</v>
      </c>
      <c r="AC399" s="13">
        <f>SUM($T$2:T399)</f>
        <v>6870770.4385400079</v>
      </c>
    </row>
    <row r="400" spans="1:29" x14ac:dyDescent="0.45">
      <c r="A400" t="s">
        <v>412</v>
      </c>
      <c r="B400" s="2">
        <v>45914</v>
      </c>
      <c r="C400" s="2">
        <v>45923</v>
      </c>
      <c r="D400" t="s">
        <v>646</v>
      </c>
      <c r="E400" t="s">
        <v>661</v>
      </c>
      <c r="F400" t="s">
        <v>687</v>
      </c>
      <c r="G400" t="s">
        <v>703</v>
      </c>
      <c r="H400" s="9" t="s">
        <v>708</v>
      </c>
      <c r="I400" s="9" t="s">
        <v>726</v>
      </c>
      <c r="J400" s="9" t="s">
        <v>727</v>
      </c>
      <c r="K400" t="s">
        <v>1131</v>
      </c>
      <c r="L400" s="7">
        <v>1310.3</v>
      </c>
      <c r="M400" s="7">
        <v>2875.8</v>
      </c>
      <c r="N400" s="5">
        <v>8.3000000000000004E-2</v>
      </c>
      <c r="O400">
        <v>5</v>
      </c>
      <c r="P400" s="2">
        <f t="shared" si="54"/>
        <v>45923</v>
      </c>
      <c r="Q400" t="str">
        <f t="shared" si="55"/>
        <v>Ok</v>
      </c>
      <c r="R400">
        <f>ABS(Table2[[#This Row],[UnitPrice]])</f>
        <v>2875.8</v>
      </c>
      <c r="S400">
        <f t="shared" si="56"/>
        <v>9</v>
      </c>
      <c r="T400" s="12">
        <f t="shared" si="57"/>
        <v>13185.543</v>
      </c>
      <c r="U400">
        <f>Table2[[#This Row],[UnitCost]]*Table2[[#This Row],[Quantity]]</f>
        <v>6551.5</v>
      </c>
      <c r="V400" s="13">
        <f t="shared" si="58"/>
        <v>6634.0429999999997</v>
      </c>
      <c r="W400" s="5">
        <f t="shared" si="59"/>
        <v>0.50313005691157353</v>
      </c>
      <c r="X400" s="17" t="str">
        <f t="shared" si="60"/>
        <v>Sep-2025</v>
      </c>
      <c r="Z400" t="str">
        <f t="shared" si="61"/>
        <v>Africa. South Africa. Durban</v>
      </c>
      <c r="AA400" t="str">
        <f t="shared" si="62"/>
        <v>High</v>
      </c>
      <c r="AB400" t="str">
        <f t="array" ref="AB400">TEXT(MIN(IF($E$2:$E$633=E400, $B$2:$B$633)), "YYYY-MM")</f>
        <v>2023-01</v>
      </c>
      <c r="AC400" s="13">
        <f>SUM($T$2:T400)</f>
        <v>6883955.9815400075</v>
      </c>
    </row>
    <row r="401" spans="1:29" x14ac:dyDescent="0.45">
      <c r="A401" t="s">
        <v>413</v>
      </c>
      <c r="B401" s="2">
        <v>45541</v>
      </c>
      <c r="C401" s="2">
        <v>45569</v>
      </c>
      <c r="D401" t="s">
        <v>646</v>
      </c>
      <c r="E401" t="s">
        <v>661</v>
      </c>
      <c r="F401" t="s">
        <v>695</v>
      </c>
      <c r="G401" t="s">
        <v>701</v>
      </c>
      <c r="H401" s="9" t="s">
        <v>709</v>
      </c>
      <c r="I401" s="9" t="s">
        <v>726</v>
      </c>
      <c r="J401" s="9" t="s">
        <v>732</v>
      </c>
      <c r="K401" t="s">
        <v>1132</v>
      </c>
      <c r="L401" s="7">
        <v>1174.17</v>
      </c>
      <c r="M401" s="7">
        <v>1641.61</v>
      </c>
      <c r="N401" s="5">
        <v>0.122</v>
      </c>
      <c r="O401">
        <v>9</v>
      </c>
      <c r="P401" s="2">
        <f t="shared" si="54"/>
        <v>45569</v>
      </c>
      <c r="Q401" t="str">
        <f t="shared" si="55"/>
        <v>Ok</v>
      </c>
      <c r="R401">
        <f>ABS(Table2[[#This Row],[UnitPrice]])</f>
        <v>1641.61</v>
      </c>
      <c r="S401">
        <f t="shared" si="56"/>
        <v>28</v>
      </c>
      <c r="T401" s="12">
        <f t="shared" si="57"/>
        <v>12972.00222</v>
      </c>
      <c r="U401">
        <f>Table2[[#This Row],[UnitCost]]*Table2[[#This Row],[Quantity]]</f>
        <v>10567.53</v>
      </c>
      <c r="V401" s="13">
        <f t="shared" si="58"/>
        <v>2404.4722199999997</v>
      </c>
      <c r="W401" s="5">
        <f t="shared" si="59"/>
        <v>0.18535860380079394</v>
      </c>
      <c r="X401" s="17" t="str">
        <f t="shared" si="60"/>
        <v>Sep-2024</v>
      </c>
      <c r="Z401" t="str">
        <f t="shared" si="61"/>
        <v>Africa. South Africa. Cape Town</v>
      </c>
      <c r="AA401" t="str">
        <f t="shared" si="62"/>
        <v>High</v>
      </c>
      <c r="AB401" t="str">
        <f t="array" ref="AB401">TEXT(MIN(IF($E$2:$E$633=E401, $B$2:$B$633)), "YYYY-MM")</f>
        <v>2023-01</v>
      </c>
      <c r="AC401" s="13">
        <f>SUM($T$2:T401)</f>
        <v>6896927.9837600077</v>
      </c>
    </row>
    <row r="402" spans="1:29" x14ac:dyDescent="0.45">
      <c r="A402" t="s">
        <v>414</v>
      </c>
      <c r="B402" s="2">
        <v>45759</v>
      </c>
      <c r="C402" s="2">
        <v>45777</v>
      </c>
      <c r="D402" t="s">
        <v>646</v>
      </c>
      <c r="E402" t="s">
        <v>650</v>
      </c>
      <c r="F402" t="s">
        <v>662</v>
      </c>
      <c r="G402" t="s">
        <v>701</v>
      </c>
      <c r="H402" s="9" t="s">
        <v>709</v>
      </c>
      <c r="I402" s="9" t="s">
        <v>721</v>
      </c>
      <c r="J402" s="9" t="s">
        <v>729</v>
      </c>
      <c r="K402" t="s">
        <v>1133</v>
      </c>
      <c r="L402" s="7">
        <v>1119.04</v>
      </c>
      <c r="M402" s="7">
        <v>1299.02</v>
      </c>
      <c r="N402" s="5">
        <v>2.5000000000000001E-2</v>
      </c>
      <c r="O402">
        <v>14</v>
      </c>
      <c r="P402" s="2">
        <f t="shared" si="54"/>
        <v>45777</v>
      </c>
      <c r="Q402" t="str">
        <f t="shared" si="55"/>
        <v>Ok</v>
      </c>
      <c r="R402">
        <f>ABS(Table2[[#This Row],[UnitPrice]])</f>
        <v>1299.02</v>
      </c>
      <c r="S402">
        <f t="shared" si="56"/>
        <v>18</v>
      </c>
      <c r="T402" s="12">
        <f t="shared" si="57"/>
        <v>17731.623</v>
      </c>
      <c r="U402">
        <f>Table2[[#This Row],[UnitCost]]*Table2[[#This Row],[Quantity]]</f>
        <v>15666.56</v>
      </c>
      <c r="V402" s="13">
        <f t="shared" si="58"/>
        <v>2065.0630000000001</v>
      </c>
      <c r="W402" s="5">
        <f t="shared" si="59"/>
        <v>0.11646215352085933</v>
      </c>
      <c r="X402" s="17" t="str">
        <f t="shared" si="60"/>
        <v>Apr-2025</v>
      </c>
      <c r="Z402" t="str">
        <f t="shared" si="61"/>
        <v>Africa. Kenya. Kisumu</v>
      </c>
      <c r="AA402" t="str">
        <f t="shared" si="62"/>
        <v>High</v>
      </c>
      <c r="AB402" t="str">
        <f t="array" ref="AB402">TEXT(MIN(IF($E$2:$E$633=E402, $B$2:$B$633)), "YYYY-MM")</f>
        <v>2023-01</v>
      </c>
      <c r="AC402" s="13">
        <f>SUM($T$2:T402)</f>
        <v>6914659.6067600073</v>
      </c>
    </row>
    <row r="403" spans="1:29" x14ac:dyDescent="0.45">
      <c r="A403" t="s">
        <v>415</v>
      </c>
      <c r="B403" s="2">
        <v>45516</v>
      </c>
      <c r="C403" s="2">
        <v>45519</v>
      </c>
      <c r="D403" t="s">
        <v>648</v>
      </c>
      <c r="E403" t="s">
        <v>660</v>
      </c>
      <c r="F403" t="s">
        <v>677</v>
      </c>
      <c r="G403" t="s">
        <v>701</v>
      </c>
      <c r="H403" s="9" t="s">
        <v>709</v>
      </c>
      <c r="I403" s="9" t="s">
        <v>726</v>
      </c>
      <c r="J403" s="9" t="s">
        <v>728</v>
      </c>
      <c r="K403" t="s">
        <v>1134</v>
      </c>
      <c r="L403" s="7">
        <v>850.7</v>
      </c>
      <c r="M403" s="7">
        <v>1118.56</v>
      </c>
      <c r="N403" s="5">
        <v>0.18</v>
      </c>
      <c r="O403">
        <v>19</v>
      </c>
      <c r="P403" s="2">
        <f t="shared" si="54"/>
        <v>45519</v>
      </c>
      <c r="Q403" t="str">
        <f t="shared" si="55"/>
        <v>Ok</v>
      </c>
      <c r="R403">
        <f>ABS(Table2[[#This Row],[UnitPrice]])</f>
        <v>1118.56</v>
      </c>
      <c r="S403">
        <f t="shared" si="56"/>
        <v>3</v>
      </c>
      <c r="T403" s="12">
        <f t="shared" si="57"/>
        <v>17427.164800000002</v>
      </c>
      <c r="U403">
        <f>Table2[[#This Row],[UnitCost]]*Table2[[#This Row],[Quantity]]</f>
        <v>16163.300000000001</v>
      </c>
      <c r="V403" s="13">
        <f t="shared" si="58"/>
        <v>1263.8648000000012</v>
      </c>
      <c r="W403" s="5">
        <f t="shared" si="59"/>
        <v>7.2522685962090688E-2</v>
      </c>
      <c r="X403" s="17" t="str">
        <f t="shared" si="60"/>
        <v>Aug-2024</v>
      </c>
      <c r="Z403" t="str">
        <f t="shared" si="61"/>
        <v>Americas. USA. Chicago</v>
      </c>
      <c r="AA403" t="str">
        <f t="shared" si="62"/>
        <v>Low</v>
      </c>
      <c r="AB403" t="str">
        <f t="array" ref="AB403">TEXT(MIN(IF($E$2:$E$633=E403, $B$2:$B$633)), "YYYY-MM")</f>
        <v>2023-01</v>
      </c>
      <c r="AC403" s="13">
        <f>SUM($T$2:T403)</f>
        <v>6932086.7715600077</v>
      </c>
    </row>
    <row r="404" spans="1:29" x14ac:dyDescent="0.45">
      <c r="A404" t="s">
        <v>416</v>
      </c>
      <c r="B404" s="2">
        <v>45601</v>
      </c>
      <c r="C404" s="2">
        <v>45604</v>
      </c>
      <c r="D404" t="s">
        <v>648</v>
      </c>
      <c r="E404" t="s">
        <v>653</v>
      </c>
      <c r="F404" t="s">
        <v>667</v>
      </c>
      <c r="G404" t="s">
        <v>702</v>
      </c>
      <c r="H404" s="9" t="s">
        <v>709</v>
      </c>
      <c r="I404" s="9" t="s">
        <v>719</v>
      </c>
      <c r="J404" s="9" t="s">
        <v>727</v>
      </c>
      <c r="K404" t="s">
        <v>1135</v>
      </c>
      <c r="L404" s="7">
        <v>1020.4</v>
      </c>
      <c r="M404" s="7">
        <v>1184.71</v>
      </c>
      <c r="N404" s="5">
        <v>0.106</v>
      </c>
      <c r="O404">
        <v>16</v>
      </c>
      <c r="P404" s="2">
        <f t="shared" si="54"/>
        <v>45604</v>
      </c>
      <c r="Q404" t="str">
        <f t="shared" si="55"/>
        <v>Ok</v>
      </c>
      <c r="R404">
        <f>ABS(Table2[[#This Row],[UnitPrice]])</f>
        <v>1184.71</v>
      </c>
      <c r="S404">
        <f t="shared" si="56"/>
        <v>3</v>
      </c>
      <c r="T404" s="12">
        <f t="shared" si="57"/>
        <v>16946.091840000001</v>
      </c>
      <c r="U404">
        <f>Table2[[#This Row],[UnitCost]]*Table2[[#This Row],[Quantity]]</f>
        <v>16326.4</v>
      </c>
      <c r="V404" s="13">
        <f t="shared" si="58"/>
        <v>619.69184000000132</v>
      </c>
      <c r="W404" s="5">
        <f t="shared" si="59"/>
        <v>3.6568422138328345E-2</v>
      </c>
      <c r="X404" s="17" t="str">
        <f t="shared" si="60"/>
        <v>Nov-2024</v>
      </c>
      <c r="Z404" t="str">
        <f t="shared" si="61"/>
        <v>Americas. Canada. Toronto</v>
      </c>
      <c r="AA404" t="str">
        <f t="shared" si="62"/>
        <v>Low</v>
      </c>
      <c r="AB404" t="str">
        <f t="array" ref="AB404">TEXT(MIN(IF($E$2:$E$633=E404, $B$2:$B$633)), "YYYY-MM")</f>
        <v>2023-01</v>
      </c>
      <c r="AC404" s="13">
        <f>SUM($T$2:T404)</f>
        <v>6949032.8634000076</v>
      </c>
    </row>
    <row r="405" spans="1:29" x14ac:dyDescent="0.45">
      <c r="A405" t="s">
        <v>417</v>
      </c>
      <c r="B405" s="2">
        <v>45497</v>
      </c>
      <c r="C405" s="2">
        <v>45512</v>
      </c>
      <c r="D405" t="s">
        <v>649</v>
      </c>
      <c r="E405" t="s">
        <v>657</v>
      </c>
      <c r="F405" t="s">
        <v>673</v>
      </c>
      <c r="G405" t="s">
        <v>706</v>
      </c>
      <c r="H405" s="9" t="s">
        <v>709</v>
      </c>
      <c r="I405" s="9" t="s">
        <v>722</v>
      </c>
      <c r="J405" s="9" t="s">
        <v>731</v>
      </c>
      <c r="K405" t="s">
        <v>1136</v>
      </c>
      <c r="L405" s="7">
        <v>501.5</v>
      </c>
      <c r="M405" s="7">
        <v>1201.47</v>
      </c>
      <c r="N405" s="5">
        <v>0.126</v>
      </c>
      <c r="O405">
        <v>5</v>
      </c>
      <c r="P405" s="2">
        <f t="shared" si="54"/>
        <v>45512</v>
      </c>
      <c r="Q405" t="str">
        <f t="shared" si="55"/>
        <v>Ok</v>
      </c>
      <c r="R405">
        <f>ABS(Table2[[#This Row],[UnitPrice]])</f>
        <v>1201.47</v>
      </c>
      <c r="S405">
        <f t="shared" si="56"/>
        <v>15</v>
      </c>
      <c r="T405" s="12">
        <f t="shared" si="57"/>
        <v>5250.4239000000007</v>
      </c>
      <c r="U405">
        <f>Table2[[#This Row],[UnitCost]]*Table2[[#This Row],[Quantity]]</f>
        <v>2507.5</v>
      </c>
      <c r="V405" s="13">
        <f t="shared" si="58"/>
        <v>2742.9239000000007</v>
      </c>
      <c r="W405" s="5">
        <f t="shared" si="59"/>
        <v>0.52241951359394057</v>
      </c>
      <c r="X405" s="17" t="str">
        <f t="shared" si="60"/>
        <v>Jul-2024</v>
      </c>
      <c r="Z405" t="str">
        <f t="shared" si="61"/>
        <v>Europe. France. Marseille</v>
      </c>
      <c r="AA405" t="str">
        <f t="shared" si="62"/>
        <v>High</v>
      </c>
      <c r="AB405" t="str">
        <f t="array" ref="AB405">TEXT(MIN(IF($E$2:$E$633=E405, $B$2:$B$633)), "YYYY-MM")</f>
        <v>2023-01</v>
      </c>
      <c r="AC405" s="13">
        <f>SUM($T$2:T405)</f>
        <v>6954283.2873000074</v>
      </c>
    </row>
    <row r="406" spans="1:29" x14ac:dyDescent="0.45">
      <c r="A406" t="s">
        <v>418</v>
      </c>
      <c r="B406" s="2">
        <v>45677</v>
      </c>
      <c r="C406" s="2">
        <v>45691</v>
      </c>
      <c r="D406" t="s">
        <v>648</v>
      </c>
      <c r="E406" t="s">
        <v>655</v>
      </c>
      <c r="F406" t="s">
        <v>672</v>
      </c>
      <c r="G406" t="s">
        <v>706</v>
      </c>
      <c r="H406" s="9" t="s">
        <v>709</v>
      </c>
      <c r="I406" s="9" t="s">
        <v>721</v>
      </c>
      <c r="J406" s="9" t="s">
        <v>727</v>
      </c>
      <c r="K406" t="s">
        <v>1137</v>
      </c>
      <c r="L406" s="7">
        <v>974.11</v>
      </c>
      <c r="M406" s="7">
        <v>880.99</v>
      </c>
      <c r="N406" s="5">
        <v>0.111</v>
      </c>
      <c r="O406">
        <v>10</v>
      </c>
      <c r="P406" s="2">
        <f t="shared" si="54"/>
        <v>45691</v>
      </c>
      <c r="Q406" t="str">
        <f t="shared" si="55"/>
        <v>Ok</v>
      </c>
      <c r="R406">
        <f>ABS(Table2[[#This Row],[UnitPrice]])</f>
        <v>880.99</v>
      </c>
      <c r="S406">
        <f t="shared" si="56"/>
        <v>14</v>
      </c>
      <c r="T406" s="12">
        <f t="shared" si="57"/>
        <v>7832.0010999999995</v>
      </c>
      <c r="U406">
        <f>Table2[[#This Row],[UnitCost]]*Table2[[#This Row],[Quantity]]</f>
        <v>9741.1</v>
      </c>
      <c r="V406" s="13">
        <f t="shared" si="58"/>
        <v>-1909.0989000000009</v>
      </c>
      <c r="W406" s="5">
        <f t="shared" si="59"/>
        <v>-0.2437562093805121</v>
      </c>
      <c r="X406" s="17" t="str">
        <f t="shared" si="60"/>
        <v>Jan-2025</v>
      </c>
      <c r="Z406" t="str">
        <f t="shared" si="61"/>
        <v>Americas. Brazil. Brasília</v>
      </c>
      <c r="AA406" t="str">
        <f t="shared" si="62"/>
        <v>Low</v>
      </c>
      <c r="AB406" t="str">
        <f t="array" ref="AB406">TEXT(MIN(IF($E$2:$E$633=E406, $B$2:$B$633)), "YYYY-MM")</f>
        <v>2023-01</v>
      </c>
      <c r="AC406" s="13">
        <f>SUM($T$2:T406)</f>
        <v>6962115.2884000074</v>
      </c>
    </row>
    <row r="407" spans="1:29" x14ac:dyDescent="0.45">
      <c r="A407" t="s">
        <v>419</v>
      </c>
      <c r="B407" s="2">
        <v>44991</v>
      </c>
      <c r="C407" s="2">
        <v>45020</v>
      </c>
      <c r="D407" t="s">
        <v>647</v>
      </c>
      <c r="E407" t="s">
        <v>659</v>
      </c>
      <c r="F407" t="s">
        <v>699</v>
      </c>
      <c r="G407" t="s">
        <v>705</v>
      </c>
      <c r="H407" s="9" t="s">
        <v>711</v>
      </c>
      <c r="I407" s="9" t="s">
        <v>712</v>
      </c>
      <c r="J407" s="9" t="s">
        <v>732</v>
      </c>
      <c r="K407" t="s">
        <v>1138</v>
      </c>
      <c r="L407" s="7">
        <v>1126.29</v>
      </c>
      <c r="M407" s="7">
        <v>2050.87</v>
      </c>
      <c r="N407" s="5">
        <v>6.4000000000000001E-2</v>
      </c>
      <c r="O407">
        <v>7</v>
      </c>
      <c r="P407" s="2">
        <f t="shared" si="54"/>
        <v>45020</v>
      </c>
      <c r="Q407" t="str">
        <f t="shared" si="55"/>
        <v>Ok</v>
      </c>
      <c r="R407">
        <f>ABS(Table2[[#This Row],[UnitPrice]])</f>
        <v>2050.87</v>
      </c>
      <c r="S407">
        <f t="shared" si="56"/>
        <v>29</v>
      </c>
      <c r="T407" s="12">
        <f t="shared" si="57"/>
        <v>13437.300239999999</v>
      </c>
      <c r="U407">
        <f>Table2[[#This Row],[UnitCost]]*Table2[[#This Row],[Quantity]]</f>
        <v>7884.03</v>
      </c>
      <c r="V407" s="13">
        <f t="shared" si="58"/>
        <v>5553.2702399999989</v>
      </c>
      <c r="W407" s="5">
        <f t="shared" si="59"/>
        <v>0.41327276616690373</v>
      </c>
      <c r="X407" s="17" t="str">
        <f t="shared" si="60"/>
        <v>Mar-2023</v>
      </c>
      <c r="Z407" t="str">
        <f t="shared" si="61"/>
        <v>Asia. China. Beijing</v>
      </c>
      <c r="AA407" t="str">
        <f t="shared" si="62"/>
        <v>High</v>
      </c>
      <c r="AB407" t="str">
        <f t="array" ref="AB407">TEXT(MIN(IF($E$2:$E$633=E407, $B$2:$B$633)), "YYYY-MM")</f>
        <v>2023-01</v>
      </c>
      <c r="AC407" s="13">
        <f>SUM($T$2:T407)</f>
        <v>6975552.5886400072</v>
      </c>
    </row>
    <row r="408" spans="1:29" x14ac:dyDescent="0.45">
      <c r="A408" t="s">
        <v>420</v>
      </c>
      <c r="B408" s="2">
        <v>45646</v>
      </c>
      <c r="C408" s="2">
        <v>45671</v>
      </c>
      <c r="D408" t="s">
        <v>647</v>
      </c>
      <c r="E408" t="s">
        <v>654</v>
      </c>
      <c r="F408" t="s">
        <v>680</v>
      </c>
      <c r="G408" t="s">
        <v>705</v>
      </c>
      <c r="H408" s="9" t="s">
        <v>707</v>
      </c>
      <c r="I408" s="9" t="s">
        <v>724</v>
      </c>
      <c r="J408" s="9" t="s">
        <v>728</v>
      </c>
      <c r="K408" t="s">
        <v>1139</v>
      </c>
      <c r="L408" s="7">
        <v>1361.34</v>
      </c>
      <c r="M408" s="7">
        <v>1737.9</v>
      </c>
      <c r="N408" s="5">
        <v>7.6999999999999999E-2</v>
      </c>
      <c r="O408">
        <v>14</v>
      </c>
      <c r="P408" s="2">
        <f t="shared" si="54"/>
        <v>45671</v>
      </c>
      <c r="Q408" t="str">
        <f t="shared" si="55"/>
        <v>Ok</v>
      </c>
      <c r="R408">
        <f>ABS(Table2[[#This Row],[UnitPrice]])</f>
        <v>1737.9</v>
      </c>
      <c r="S408">
        <f t="shared" si="56"/>
        <v>25</v>
      </c>
      <c r="T408" s="12">
        <f t="shared" si="57"/>
        <v>22457.143800000002</v>
      </c>
      <c r="U408">
        <f>Table2[[#This Row],[UnitCost]]*Table2[[#This Row],[Quantity]]</f>
        <v>19058.759999999998</v>
      </c>
      <c r="V408" s="13">
        <f t="shared" si="58"/>
        <v>3398.3838000000032</v>
      </c>
      <c r="W408" s="5">
        <f t="shared" si="59"/>
        <v>0.15132751654731813</v>
      </c>
      <c r="X408" s="17" t="str">
        <f t="shared" si="60"/>
        <v>Dec-2024</v>
      </c>
      <c r="Z408" t="str">
        <f t="shared" si="61"/>
        <v>Asia. India. Delhi</v>
      </c>
      <c r="AA408" t="str">
        <f t="shared" si="62"/>
        <v>High</v>
      </c>
      <c r="AB408" t="str">
        <f t="array" ref="AB408">TEXT(MIN(IF($E$2:$E$633=E408, $B$2:$B$633)), "YYYY-MM")</f>
        <v>2023-01</v>
      </c>
      <c r="AC408" s="13">
        <f>SUM($T$2:T408)</f>
        <v>6998009.7324400069</v>
      </c>
    </row>
    <row r="409" spans="1:29" x14ac:dyDescent="0.45">
      <c r="A409" t="s">
        <v>421</v>
      </c>
      <c r="B409" s="2">
        <v>45709</v>
      </c>
      <c r="C409" s="2">
        <v>45737</v>
      </c>
      <c r="D409" t="s">
        <v>646</v>
      </c>
      <c r="E409" t="s">
        <v>651</v>
      </c>
      <c r="F409" t="s">
        <v>669</v>
      </c>
      <c r="G409" t="s">
        <v>706</v>
      </c>
      <c r="H409" s="9" t="s">
        <v>709</v>
      </c>
      <c r="I409" s="9" t="s">
        <v>714</v>
      </c>
      <c r="J409" s="9" t="s">
        <v>730</v>
      </c>
      <c r="K409" t="s">
        <v>1140</v>
      </c>
      <c r="L409" s="7">
        <v>1437.39</v>
      </c>
      <c r="M409" s="7">
        <v>1388.31</v>
      </c>
      <c r="N409" s="5">
        <v>0.13800000000000001</v>
      </c>
      <c r="O409">
        <v>18</v>
      </c>
      <c r="P409" s="2">
        <f t="shared" si="54"/>
        <v>45737</v>
      </c>
      <c r="Q409" t="str">
        <f t="shared" si="55"/>
        <v>Ok</v>
      </c>
      <c r="R409">
        <f>ABS(Table2[[#This Row],[UnitPrice]])</f>
        <v>1388.31</v>
      </c>
      <c r="S409">
        <f t="shared" si="56"/>
        <v>28</v>
      </c>
      <c r="T409" s="12">
        <f t="shared" si="57"/>
        <v>21541.017959999997</v>
      </c>
      <c r="U409">
        <f>Table2[[#This Row],[UnitCost]]*Table2[[#This Row],[Quantity]]</f>
        <v>25873.02</v>
      </c>
      <c r="V409" s="13">
        <f t="shared" si="58"/>
        <v>-4332.002040000003</v>
      </c>
      <c r="W409" s="5">
        <f t="shared" si="59"/>
        <v>-0.20110479681341872</v>
      </c>
      <c r="X409" s="17" t="str">
        <f t="shared" si="60"/>
        <v>Feb-2025</v>
      </c>
      <c r="Z409" t="str">
        <f t="shared" si="61"/>
        <v>Africa. Nigeria. Abuja</v>
      </c>
      <c r="AA409" t="str">
        <f t="shared" si="62"/>
        <v>High</v>
      </c>
      <c r="AB409" t="str">
        <f t="array" ref="AB409">TEXT(MIN(IF($E$2:$E$633=E409, $B$2:$B$633)), "YYYY-MM")</f>
        <v>2023-01</v>
      </c>
      <c r="AC409" s="13">
        <f>SUM($T$2:T409)</f>
        <v>7019550.7504000068</v>
      </c>
    </row>
    <row r="410" spans="1:29" x14ac:dyDescent="0.45">
      <c r="A410" t="s">
        <v>422</v>
      </c>
      <c r="B410" s="2">
        <v>45724</v>
      </c>
      <c r="C410" s="2">
        <v>45731</v>
      </c>
      <c r="D410" t="s">
        <v>647</v>
      </c>
      <c r="E410" t="s">
        <v>654</v>
      </c>
      <c r="F410" t="s">
        <v>668</v>
      </c>
      <c r="G410" t="s">
        <v>701</v>
      </c>
      <c r="H410" s="9" t="s">
        <v>710</v>
      </c>
      <c r="I410" s="9" t="s">
        <v>723</v>
      </c>
      <c r="J410" s="9" t="s">
        <v>731</v>
      </c>
      <c r="K410" t="s">
        <v>1141</v>
      </c>
      <c r="L410" s="7">
        <v>475.66</v>
      </c>
      <c r="M410" s="7">
        <v>529.14</v>
      </c>
      <c r="N410" s="5">
        <v>0.19600000000000001</v>
      </c>
      <c r="O410">
        <v>11</v>
      </c>
      <c r="P410" s="2">
        <f t="shared" si="54"/>
        <v>45731</v>
      </c>
      <c r="Q410" t="str">
        <f t="shared" si="55"/>
        <v>Ok</v>
      </c>
      <c r="R410">
        <f>ABS(Table2[[#This Row],[UnitPrice]])</f>
        <v>529.14</v>
      </c>
      <c r="S410">
        <f t="shared" si="56"/>
        <v>7</v>
      </c>
      <c r="T410" s="12">
        <f t="shared" si="57"/>
        <v>4679.7141600000004</v>
      </c>
      <c r="U410">
        <f>Table2[[#This Row],[UnitCost]]*Table2[[#This Row],[Quantity]]</f>
        <v>5232.26</v>
      </c>
      <c r="V410" s="13">
        <f t="shared" si="58"/>
        <v>-552.54583999999977</v>
      </c>
      <c r="W410" s="5">
        <f t="shared" si="59"/>
        <v>-0.11807256193613323</v>
      </c>
      <c r="X410" s="17" t="str">
        <f t="shared" si="60"/>
        <v>Mar-2025</v>
      </c>
      <c r="Z410" t="str">
        <f t="shared" si="61"/>
        <v>Asia. India. Bengaluru</v>
      </c>
      <c r="AA410" t="str">
        <f t="shared" si="62"/>
        <v>Low</v>
      </c>
      <c r="AB410" t="str">
        <f t="array" ref="AB410">TEXT(MIN(IF($E$2:$E$633=E410, $B$2:$B$633)), "YYYY-MM")</f>
        <v>2023-01</v>
      </c>
      <c r="AC410" s="13">
        <f>SUM($T$2:T410)</f>
        <v>7024230.4645600067</v>
      </c>
    </row>
    <row r="411" spans="1:29" x14ac:dyDescent="0.45">
      <c r="A411" t="s">
        <v>423</v>
      </c>
      <c r="B411" s="2">
        <v>45276</v>
      </c>
      <c r="C411" s="2">
        <v>45279</v>
      </c>
      <c r="D411" t="s">
        <v>647</v>
      </c>
      <c r="E411" t="s">
        <v>659</v>
      </c>
      <c r="F411" t="s">
        <v>699</v>
      </c>
      <c r="G411" t="s">
        <v>702</v>
      </c>
      <c r="H411" s="9" t="s">
        <v>707</v>
      </c>
      <c r="I411" s="9" t="s">
        <v>720</v>
      </c>
      <c r="J411" s="9" t="s">
        <v>733</v>
      </c>
      <c r="K411" t="s">
        <v>1142</v>
      </c>
      <c r="L411" s="7">
        <v>1415.05</v>
      </c>
      <c r="M411" s="7">
        <v>1972.38</v>
      </c>
      <c r="N411" s="5">
        <v>0</v>
      </c>
      <c r="O411">
        <v>12</v>
      </c>
      <c r="P411" s="2">
        <f t="shared" si="54"/>
        <v>45279</v>
      </c>
      <c r="Q411" t="str">
        <f t="shared" si="55"/>
        <v>Ok</v>
      </c>
      <c r="R411">
        <f>ABS(Table2[[#This Row],[UnitPrice]])</f>
        <v>1972.38</v>
      </c>
      <c r="S411">
        <f t="shared" si="56"/>
        <v>3</v>
      </c>
      <c r="T411" s="12">
        <f t="shared" si="57"/>
        <v>23668.560000000001</v>
      </c>
      <c r="U411">
        <f>Table2[[#This Row],[UnitCost]]*Table2[[#This Row],[Quantity]]</f>
        <v>16980.599999999999</v>
      </c>
      <c r="V411" s="13">
        <f t="shared" si="58"/>
        <v>6687.9600000000028</v>
      </c>
      <c r="W411" s="5">
        <f t="shared" si="59"/>
        <v>0.28256725377462771</v>
      </c>
      <c r="X411" s="17" t="str">
        <f t="shared" si="60"/>
        <v>Dec-2023</v>
      </c>
      <c r="Z411" t="str">
        <f t="shared" si="61"/>
        <v>Asia. China. Beijing</v>
      </c>
      <c r="AA411" t="str">
        <f t="shared" si="62"/>
        <v>High</v>
      </c>
      <c r="AB411" t="str">
        <f t="array" ref="AB411">TEXT(MIN(IF($E$2:$E$633=E411, $B$2:$B$633)), "YYYY-MM")</f>
        <v>2023-01</v>
      </c>
      <c r="AC411" s="13">
        <f>SUM($T$2:T411)</f>
        <v>7047899.0245600063</v>
      </c>
    </row>
    <row r="412" spans="1:29" x14ac:dyDescent="0.45">
      <c r="A412" t="s">
        <v>424</v>
      </c>
      <c r="B412" s="2">
        <v>45534</v>
      </c>
      <c r="C412" s="2">
        <v>45540</v>
      </c>
      <c r="D412" t="s">
        <v>647</v>
      </c>
      <c r="E412" t="s">
        <v>652</v>
      </c>
      <c r="F412" t="s">
        <v>694</v>
      </c>
      <c r="G412" t="s">
        <v>702</v>
      </c>
      <c r="H412" s="9" t="s">
        <v>708</v>
      </c>
      <c r="I412" s="9" t="s">
        <v>725</v>
      </c>
      <c r="J412" s="9" t="s">
        <v>731</v>
      </c>
      <c r="K412" t="s">
        <v>1143</v>
      </c>
      <c r="L412" s="7">
        <v>466.16</v>
      </c>
      <c r="M412" s="7">
        <v>876.81</v>
      </c>
      <c r="N412" s="5">
        <v>0.24099999999999999</v>
      </c>
      <c r="O412">
        <v>8</v>
      </c>
      <c r="P412" s="2">
        <f t="shared" si="54"/>
        <v>45540</v>
      </c>
      <c r="Q412" t="str">
        <f t="shared" si="55"/>
        <v>Ok</v>
      </c>
      <c r="R412">
        <f>ABS(Table2[[#This Row],[UnitPrice]])</f>
        <v>876.81</v>
      </c>
      <c r="S412">
        <f t="shared" si="56"/>
        <v>6</v>
      </c>
      <c r="T412" s="12">
        <f t="shared" si="57"/>
        <v>5323.9903199999999</v>
      </c>
      <c r="U412">
        <f>Table2[[#This Row],[UnitCost]]*Table2[[#This Row],[Quantity]]</f>
        <v>3729.28</v>
      </c>
      <c r="V412" s="13">
        <f t="shared" si="58"/>
        <v>1594.7103199999997</v>
      </c>
      <c r="W412" s="5">
        <f t="shared" si="59"/>
        <v>0.29953291124691594</v>
      </c>
      <c r="X412" s="17" t="str">
        <f t="shared" si="60"/>
        <v>Aug-2024</v>
      </c>
      <c r="Z412" t="str">
        <f t="shared" si="61"/>
        <v>Asia. Japan. Nagoya</v>
      </c>
      <c r="AA412" t="str">
        <f t="shared" si="62"/>
        <v>Low</v>
      </c>
      <c r="AB412" t="str">
        <f t="array" ref="AB412">TEXT(MIN(IF($E$2:$E$633=E412, $B$2:$B$633)), "YYYY-MM")</f>
        <v>2023-03</v>
      </c>
      <c r="AC412" s="13">
        <f>SUM($T$2:T412)</f>
        <v>7053223.0148800062</v>
      </c>
    </row>
    <row r="413" spans="1:29" x14ac:dyDescent="0.45">
      <c r="A413" t="s">
        <v>425</v>
      </c>
      <c r="B413" s="2">
        <v>45430</v>
      </c>
      <c r="C413" s="2">
        <v>45433</v>
      </c>
      <c r="D413" t="s">
        <v>649</v>
      </c>
      <c r="E413" t="s">
        <v>657</v>
      </c>
      <c r="F413" t="s">
        <v>673</v>
      </c>
      <c r="G413" t="s">
        <v>703</v>
      </c>
      <c r="H413" s="9" t="s">
        <v>709</v>
      </c>
      <c r="I413" s="9" t="s">
        <v>726</v>
      </c>
      <c r="J413" s="9" t="s">
        <v>728</v>
      </c>
      <c r="K413" t="s">
        <v>1144</v>
      </c>
      <c r="L413" s="7">
        <v>663.66</v>
      </c>
      <c r="M413" s="7">
        <v>824.26</v>
      </c>
      <c r="N413" s="5">
        <v>0.23899999999999999</v>
      </c>
      <c r="O413">
        <v>11</v>
      </c>
      <c r="P413" s="2">
        <f t="shared" si="54"/>
        <v>45433</v>
      </c>
      <c r="Q413" t="str">
        <f t="shared" si="55"/>
        <v>Ok</v>
      </c>
      <c r="R413">
        <f>ABS(Table2[[#This Row],[UnitPrice]])</f>
        <v>824.26</v>
      </c>
      <c r="S413">
        <f t="shared" si="56"/>
        <v>3</v>
      </c>
      <c r="T413" s="12">
        <f t="shared" si="57"/>
        <v>6899.8804600000003</v>
      </c>
      <c r="U413">
        <f>Table2[[#This Row],[UnitCost]]*Table2[[#This Row],[Quantity]]</f>
        <v>7300.2599999999993</v>
      </c>
      <c r="V413" s="13">
        <f t="shared" si="58"/>
        <v>-400.379539999999</v>
      </c>
      <c r="W413" s="5">
        <f t="shared" si="59"/>
        <v>-5.8027025587048933E-2</v>
      </c>
      <c r="X413" s="17" t="str">
        <f t="shared" si="60"/>
        <v>May-2024</v>
      </c>
      <c r="Z413" t="str">
        <f t="shared" si="61"/>
        <v>Europe. France. Marseille</v>
      </c>
      <c r="AA413" t="str">
        <f t="shared" si="62"/>
        <v>Low</v>
      </c>
      <c r="AB413" t="str">
        <f t="array" ref="AB413">TEXT(MIN(IF($E$2:$E$633=E413, $B$2:$B$633)), "YYYY-MM")</f>
        <v>2023-01</v>
      </c>
      <c r="AC413" s="13">
        <f>SUM($T$2:T413)</f>
        <v>7060122.8953400059</v>
      </c>
    </row>
    <row r="414" spans="1:29" x14ac:dyDescent="0.45">
      <c r="A414" t="s">
        <v>426</v>
      </c>
      <c r="B414" s="2">
        <v>45002</v>
      </c>
      <c r="C414" s="2">
        <v>45022</v>
      </c>
      <c r="D414" t="s">
        <v>649</v>
      </c>
      <c r="E414" t="s">
        <v>656</v>
      </c>
      <c r="F414" t="s">
        <v>684</v>
      </c>
      <c r="G414" t="s">
        <v>704</v>
      </c>
      <c r="H414" s="9" t="s">
        <v>707</v>
      </c>
      <c r="I414" s="9" t="s">
        <v>719</v>
      </c>
      <c r="J414" s="9" t="s">
        <v>730</v>
      </c>
      <c r="K414" t="s">
        <v>1145</v>
      </c>
      <c r="L414" s="7">
        <v>692.18</v>
      </c>
      <c r="M414" s="7">
        <v>1159.3499999999999</v>
      </c>
      <c r="N414" s="5">
        <v>0.112</v>
      </c>
      <c r="O414">
        <v>2</v>
      </c>
      <c r="P414" s="2">
        <f t="shared" si="54"/>
        <v>45022</v>
      </c>
      <c r="Q414" t="str">
        <f t="shared" si="55"/>
        <v>Ok</v>
      </c>
      <c r="R414">
        <f>ABS(Table2[[#This Row],[UnitPrice]])</f>
        <v>1159.3499999999999</v>
      </c>
      <c r="S414">
        <f t="shared" si="56"/>
        <v>20</v>
      </c>
      <c r="T414" s="12">
        <f t="shared" si="57"/>
        <v>2059.0056</v>
      </c>
      <c r="U414">
        <f>Table2[[#This Row],[UnitCost]]*Table2[[#This Row],[Quantity]]</f>
        <v>1384.36</v>
      </c>
      <c r="V414" s="13">
        <f t="shared" si="58"/>
        <v>674.64560000000006</v>
      </c>
      <c r="W414" s="5">
        <f t="shared" si="59"/>
        <v>0.32765602968734037</v>
      </c>
      <c r="X414" s="17" t="str">
        <f t="shared" si="60"/>
        <v>Mar-2023</v>
      </c>
      <c r="Z414" t="str">
        <f t="shared" si="61"/>
        <v>Europe. Germany. Munich</v>
      </c>
      <c r="AA414" t="str">
        <f t="shared" si="62"/>
        <v>Low</v>
      </c>
      <c r="AB414" t="str">
        <f t="array" ref="AB414">TEXT(MIN(IF($E$2:$E$633=E414, $B$2:$B$633)), "YYYY-MM")</f>
        <v>2023-01</v>
      </c>
      <c r="AC414" s="13">
        <f>SUM($T$2:T414)</f>
        <v>7062181.9009400057</v>
      </c>
    </row>
    <row r="415" spans="1:29" x14ac:dyDescent="0.45">
      <c r="A415" t="s">
        <v>427</v>
      </c>
      <c r="B415" s="2">
        <v>45163</v>
      </c>
      <c r="C415" s="2">
        <v>45185</v>
      </c>
      <c r="D415" t="s">
        <v>646</v>
      </c>
      <c r="E415" t="s">
        <v>651</v>
      </c>
      <c r="F415" t="s">
        <v>669</v>
      </c>
      <c r="G415" t="s">
        <v>701</v>
      </c>
      <c r="H415" s="9" t="s">
        <v>709</v>
      </c>
      <c r="I415" s="9" t="s">
        <v>716</v>
      </c>
      <c r="J415" s="9" t="s">
        <v>730</v>
      </c>
      <c r="K415" t="s">
        <v>1146</v>
      </c>
      <c r="L415" s="7">
        <v>1196.83</v>
      </c>
      <c r="M415" s="7">
        <v>2513.5100000000002</v>
      </c>
      <c r="N415" s="5">
        <v>8.3000000000000004E-2</v>
      </c>
      <c r="O415">
        <v>7</v>
      </c>
      <c r="P415" s="2">
        <f t="shared" si="54"/>
        <v>45185</v>
      </c>
      <c r="Q415" t="str">
        <f t="shared" si="55"/>
        <v>Ok</v>
      </c>
      <c r="R415">
        <f>ABS(Table2[[#This Row],[UnitPrice]])</f>
        <v>2513.5100000000002</v>
      </c>
      <c r="S415">
        <f t="shared" si="56"/>
        <v>22</v>
      </c>
      <c r="T415" s="12">
        <f t="shared" si="57"/>
        <v>16134.22069</v>
      </c>
      <c r="U415">
        <f>Table2[[#This Row],[UnitCost]]*Table2[[#This Row],[Quantity]]</f>
        <v>8377.81</v>
      </c>
      <c r="V415" s="13">
        <f t="shared" si="58"/>
        <v>7756.4106900000006</v>
      </c>
      <c r="W415" s="5">
        <f t="shared" si="59"/>
        <v>0.48074281609445374</v>
      </c>
      <c r="X415" s="17" t="str">
        <f t="shared" si="60"/>
        <v>Aug-2023</v>
      </c>
      <c r="Z415" t="str">
        <f t="shared" si="61"/>
        <v>Africa. Nigeria. Abuja</v>
      </c>
      <c r="AA415" t="str">
        <f t="shared" si="62"/>
        <v>High</v>
      </c>
      <c r="AB415" t="str">
        <f t="array" ref="AB415">TEXT(MIN(IF($E$2:$E$633=E415, $B$2:$B$633)), "YYYY-MM")</f>
        <v>2023-01</v>
      </c>
      <c r="AC415" s="13">
        <f>SUM($T$2:T415)</f>
        <v>7078316.1216300055</v>
      </c>
    </row>
    <row r="416" spans="1:29" x14ac:dyDescent="0.45">
      <c r="A416" t="s">
        <v>428</v>
      </c>
      <c r="B416" s="2">
        <v>45449</v>
      </c>
      <c r="C416" s="2">
        <v>45467</v>
      </c>
      <c r="D416" t="s">
        <v>647</v>
      </c>
      <c r="E416" t="s">
        <v>654</v>
      </c>
      <c r="F416" t="s">
        <v>668</v>
      </c>
      <c r="G416" t="s">
        <v>705</v>
      </c>
      <c r="H416" s="9" t="s">
        <v>711</v>
      </c>
      <c r="I416" s="9" t="s">
        <v>722</v>
      </c>
      <c r="J416" s="9" t="s">
        <v>729</v>
      </c>
      <c r="K416" t="s">
        <v>1147</v>
      </c>
      <c r="L416" s="7">
        <v>1253.25</v>
      </c>
      <c r="M416" s="7">
        <v>3087.13</v>
      </c>
      <c r="N416" s="5">
        <v>7.1999999999999995E-2</v>
      </c>
      <c r="O416">
        <v>11</v>
      </c>
      <c r="P416" s="2">
        <f t="shared" si="54"/>
        <v>45467</v>
      </c>
      <c r="Q416" t="str">
        <f t="shared" si="55"/>
        <v>Ok</v>
      </c>
      <c r="R416">
        <f>ABS(Table2[[#This Row],[UnitPrice]])</f>
        <v>3087.13</v>
      </c>
      <c r="S416">
        <f t="shared" si="56"/>
        <v>18</v>
      </c>
      <c r="T416" s="12">
        <f t="shared" si="57"/>
        <v>31513.423040000001</v>
      </c>
      <c r="U416">
        <f>Table2[[#This Row],[UnitCost]]*Table2[[#This Row],[Quantity]]</f>
        <v>13785.75</v>
      </c>
      <c r="V416" s="13">
        <f t="shared" si="58"/>
        <v>17727.673040000001</v>
      </c>
      <c r="W416" s="5">
        <f t="shared" si="59"/>
        <v>0.562543555408064</v>
      </c>
      <c r="X416" s="17" t="str">
        <f t="shared" si="60"/>
        <v>Jun-2024</v>
      </c>
      <c r="Z416" t="str">
        <f t="shared" si="61"/>
        <v>Asia. India. Bengaluru</v>
      </c>
      <c r="AA416" t="str">
        <f t="shared" si="62"/>
        <v>High</v>
      </c>
      <c r="AB416" t="str">
        <f t="array" ref="AB416">TEXT(MIN(IF($E$2:$E$633=E416, $B$2:$B$633)), "YYYY-MM")</f>
        <v>2023-01</v>
      </c>
      <c r="AC416" s="13">
        <f>SUM($T$2:T416)</f>
        <v>7109829.5446700053</v>
      </c>
    </row>
    <row r="417" spans="1:29" x14ac:dyDescent="0.45">
      <c r="A417" t="s">
        <v>429</v>
      </c>
      <c r="B417" s="2">
        <v>45167</v>
      </c>
      <c r="C417" s="2">
        <v>45182</v>
      </c>
      <c r="D417" t="s">
        <v>648</v>
      </c>
      <c r="E417" t="s">
        <v>653</v>
      </c>
      <c r="F417" t="s">
        <v>688</v>
      </c>
      <c r="G417" t="s">
        <v>705</v>
      </c>
      <c r="H417" s="9" t="s">
        <v>709</v>
      </c>
      <c r="I417" s="9" t="s">
        <v>719</v>
      </c>
      <c r="J417" s="9" t="s">
        <v>728</v>
      </c>
      <c r="K417" t="s">
        <v>1148</v>
      </c>
      <c r="L417" s="7">
        <v>1287.6400000000001</v>
      </c>
      <c r="M417" s="7">
        <v>2717.15</v>
      </c>
      <c r="N417" s="5">
        <v>3.2000000000000001E-2</v>
      </c>
      <c r="O417">
        <v>7</v>
      </c>
      <c r="P417" s="2">
        <f t="shared" si="54"/>
        <v>45182</v>
      </c>
      <c r="Q417" t="str">
        <f t="shared" si="55"/>
        <v>Ok</v>
      </c>
      <c r="R417">
        <f>ABS(Table2[[#This Row],[UnitPrice]])</f>
        <v>2717.15</v>
      </c>
      <c r="S417">
        <f t="shared" si="56"/>
        <v>15</v>
      </c>
      <c r="T417" s="12">
        <f t="shared" si="57"/>
        <v>18411.4084</v>
      </c>
      <c r="U417">
        <f>Table2[[#This Row],[UnitCost]]*Table2[[#This Row],[Quantity]]</f>
        <v>9013.4800000000014</v>
      </c>
      <c r="V417" s="13">
        <f t="shared" si="58"/>
        <v>9397.9283999999989</v>
      </c>
      <c r="W417" s="5">
        <f t="shared" si="59"/>
        <v>0.51044049405802105</v>
      </c>
      <c r="X417" s="17" t="str">
        <f t="shared" si="60"/>
        <v>Aug-2023</v>
      </c>
      <c r="Z417" t="str">
        <f t="shared" si="61"/>
        <v>Americas. Canada. Vancouver</v>
      </c>
      <c r="AA417" t="str">
        <f t="shared" si="62"/>
        <v>High</v>
      </c>
      <c r="AB417" t="str">
        <f t="array" ref="AB417">TEXT(MIN(IF($E$2:$E$633=E417, $B$2:$B$633)), "YYYY-MM")</f>
        <v>2023-01</v>
      </c>
      <c r="AC417" s="13">
        <f>SUM($T$2:T417)</f>
        <v>7128240.9530700054</v>
      </c>
    </row>
    <row r="418" spans="1:29" x14ac:dyDescent="0.45">
      <c r="A418" t="s">
        <v>430</v>
      </c>
      <c r="B418" s="2">
        <v>45626</v>
      </c>
      <c r="C418" s="2">
        <v>45636</v>
      </c>
      <c r="D418" t="s">
        <v>647</v>
      </c>
      <c r="E418" t="s">
        <v>654</v>
      </c>
      <c r="F418" t="s">
        <v>696</v>
      </c>
      <c r="G418" t="s">
        <v>705</v>
      </c>
      <c r="H418" s="9" t="s">
        <v>707</v>
      </c>
      <c r="I418" s="9" t="s">
        <v>721</v>
      </c>
      <c r="J418" s="9" t="s">
        <v>733</v>
      </c>
      <c r="K418" t="s">
        <v>1149</v>
      </c>
      <c r="L418" s="7">
        <v>851.49</v>
      </c>
      <c r="M418" s="7">
        <v>901.79</v>
      </c>
      <c r="N418" s="5">
        <v>0.245</v>
      </c>
      <c r="O418">
        <v>16</v>
      </c>
      <c r="P418" s="2">
        <f t="shared" si="54"/>
        <v>45636</v>
      </c>
      <c r="Q418" t="str">
        <f t="shared" si="55"/>
        <v>Ok</v>
      </c>
      <c r="R418">
        <f>ABS(Table2[[#This Row],[UnitPrice]])</f>
        <v>901.79</v>
      </c>
      <c r="S418">
        <f t="shared" si="56"/>
        <v>10</v>
      </c>
      <c r="T418" s="12">
        <f t="shared" si="57"/>
        <v>10893.6232</v>
      </c>
      <c r="U418">
        <f>Table2[[#This Row],[UnitCost]]*Table2[[#This Row],[Quantity]]</f>
        <v>13623.84</v>
      </c>
      <c r="V418" s="13">
        <f t="shared" si="58"/>
        <v>-2730.2168000000001</v>
      </c>
      <c r="W418" s="5">
        <f t="shared" si="59"/>
        <v>-0.25062522816100341</v>
      </c>
      <c r="X418" s="17" t="str">
        <f t="shared" si="60"/>
        <v>Nov-2024</v>
      </c>
      <c r="Z418" t="str">
        <f t="shared" si="61"/>
        <v>Asia. India. Hyderabad</v>
      </c>
      <c r="AA418" t="str">
        <f t="shared" si="62"/>
        <v>Low</v>
      </c>
      <c r="AB418" t="str">
        <f t="array" ref="AB418">TEXT(MIN(IF($E$2:$E$633=E418, $B$2:$B$633)), "YYYY-MM")</f>
        <v>2023-01</v>
      </c>
      <c r="AC418" s="13">
        <f>SUM($T$2:T418)</f>
        <v>7139134.5762700057</v>
      </c>
    </row>
    <row r="419" spans="1:29" x14ac:dyDescent="0.45">
      <c r="A419" t="s">
        <v>431</v>
      </c>
      <c r="B419" s="2">
        <v>45813</v>
      </c>
      <c r="C419" s="2">
        <v>45822</v>
      </c>
      <c r="D419" t="s">
        <v>647</v>
      </c>
      <c r="E419" t="s">
        <v>654</v>
      </c>
      <c r="F419" t="s">
        <v>680</v>
      </c>
      <c r="G419" t="s">
        <v>703</v>
      </c>
      <c r="H419" s="9" t="s">
        <v>707</v>
      </c>
      <c r="I419" s="9" t="s">
        <v>720</v>
      </c>
      <c r="J419" s="9" t="s">
        <v>733</v>
      </c>
      <c r="K419" t="s">
        <v>1150</v>
      </c>
      <c r="L419" s="7">
        <v>618.69000000000005</v>
      </c>
      <c r="M419" s="7">
        <v>796.15</v>
      </c>
      <c r="N419" s="5">
        <v>0.09</v>
      </c>
      <c r="O419">
        <v>11</v>
      </c>
      <c r="P419" s="2">
        <f t="shared" si="54"/>
        <v>45822</v>
      </c>
      <c r="Q419" t="str">
        <f t="shared" si="55"/>
        <v>Ok</v>
      </c>
      <c r="R419">
        <f>ABS(Table2[[#This Row],[UnitPrice]])</f>
        <v>796.15</v>
      </c>
      <c r="S419">
        <f t="shared" si="56"/>
        <v>9</v>
      </c>
      <c r="T419" s="12">
        <f t="shared" si="57"/>
        <v>7969.4615000000003</v>
      </c>
      <c r="U419">
        <f>Table2[[#This Row],[UnitCost]]*Table2[[#This Row],[Quantity]]</f>
        <v>6805.59</v>
      </c>
      <c r="V419" s="13">
        <f t="shared" si="58"/>
        <v>1163.8715000000002</v>
      </c>
      <c r="W419" s="5">
        <f t="shared" si="59"/>
        <v>0.14604142325049191</v>
      </c>
      <c r="X419" s="17" t="str">
        <f t="shared" si="60"/>
        <v>Jun-2025</v>
      </c>
      <c r="Z419" t="str">
        <f t="shared" si="61"/>
        <v>Asia. India. Delhi</v>
      </c>
      <c r="AA419" t="str">
        <f t="shared" si="62"/>
        <v>Low</v>
      </c>
      <c r="AB419" t="str">
        <f t="array" ref="AB419">TEXT(MIN(IF($E$2:$E$633=E419, $B$2:$B$633)), "YYYY-MM")</f>
        <v>2023-01</v>
      </c>
      <c r="AC419" s="13">
        <f>SUM($T$2:T419)</f>
        <v>7147104.0377700059</v>
      </c>
    </row>
    <row r="420" spans="1:29" x14ac:dyDescent="0.45">
      <c r="A420" t="s">
        <v>432</v>
      </c>
      <c r="B420" s="2">
        <v>45730</v>
      </c>
      <c r="C420" s="2">
        <v>45755</v>
      </c>
      <c r="D420" t="s">
        <v>647</v>
      </c>
      <c r="E420" t="s">
        <v>659</v>
      </c>
      <c r="F420" t="s">
        <v>1422</v>
      </c>
      <c r="G420" t="s">
        <v>701</v>
      </c>
      <c r="H420" s="9" t="s">
        <v>710</v>
      </c>
      <c r="I420" s="9" t="s">
        <v>726</v>
      </c>
      <c r="J420" s="9" t="s">
        <v>728</v>
      </c>
      <c r="K420" t="s">
        <v>1151</v>
      </c>
      <c r="L420" s="7">
        <v>80.59</v>
      </c>
      <c r="M420" s="7">
        <v>157.82</v>
      </c>
      <c r="N420" s="5">
        <v>0.217</v>
      </c>
      <c r="O420">
        <v>6</v>
      </c>
      <c r="P420" s="2">
        <f t="shared" si="54"/>
        <v>45755</v>
      </c>
      <c r="Q420" t="str">
        <f t="shared" si="55"/>
        <v>Ok</v>
      </c>
      <c r="R420">
        <f>ABS(Table2[[#This Row],[UnitPrice]])</f>
        <v>157.82</v>
      </c>
      <c r="S420">
        <f t="shared" si="56"/>
        <v>25</v>
      </c>
      <c r="T420" s="12">
        <f t="shared" si="57"/>
        <v>741.43835999999999</v>
      </c>
      <c r="U420">
        <f>Table2[[#This Row],[UnitCost]]*Table2[[#This Row],[Quantity]]</f>
        <v>483.54</v>
      </c>
      <c r="V420" s="13">
        <f t="shared" si="58"/>
        <v>257.89835999999997</v>
      </c>
      <c r="W420" s="5">
        <f t="shared" si="59"/>
        <v>0.34783519967863541</v>
      </c>
      <c r="X420" s="17" t="str">
        <f t="shared" si="60"/>
        <v>Mar-2025</v>
      </c>
      <c r="Z420" t="str">
        <f t="shared" si="61"/>
        <v>Asia. China. Unknown</v>
      </c>
      <c r="AA420" t="str">
        <f t="shared" si="62"/>
        <v>Low</v>
      </c>
      <c r="AB420" t="str">
        <f t="array" ref="AB420">TEXT(MIN(IF($E$2:$E$633=E420, $B$2:$B$633)), "YYYY-MM")</f>
        <v>2023-01</v>
      </c>
      <c r="AC420" s="13">
        <f>SUM($T$2:T420)</f>
        <v>7147845.4761300059</v>
      </c>
    </row>
    <row r="421" spans="1:29" x14ac:dyDescent="0.45">
      <c r="A421" t="s">
        <v>433</v>
      </c>
      <c r="B421" s="2">
        <v>45307</v>
      </c>
      <c r="C421" s="2">
        <v>45333</v>
      </c>
      <c r="D421" t="s">
        <v>649</v>
      </c>
      <c r="E421" t="s">
        <v>656</v>
      </c>
      <c r="F421" t="s">
        <v>698</v>
      </c>
      <c r="G421" t="s">
        <v>703</v>
      </c>
      <c r="H421" s="9" t="s">
        <v>710</v>
      </c>
      <c r="I421" s="9" t="s">
        <v>718</v>
      </c>
      <c r="J421" s="9" t="s">
        <v>732</v>
      </c>
      <c r="K421" t="s">
        <v>1152</v>
      </c>
      <c r="L421" s="7">
        <v>504.93</v>
      </c>
      <c r="M421" s="7">
        <v>819.06</v>
      </c>
      <c r="N421" s="5">
        <v>0.22600000000000001</v>
      </c>
      <c r="O421">
        <v>15</v>
      </c>
      <c r="P421" s="2">
        <f t="shared" si="54"/>
        <v>45333</v>
      </c>
      <c r="Q421" t="str">
        <f t="shared" si="55"/>
        <v>Ok</v>
      </c>
      <c r="R421">
        <f>ABS(Table2[[#This Row],[UnitPrice]])</f>
        <v>819.06</v>
      </c>
      <c r="S421">
        <f t="shared" si="56"/>
        <v>26</v>
      </c>
      <c r="T421" s="12">
        <f t="shared" si="57"/>
        <v>9509.2865999999995</v>
      </c>
      <c r="U421">
        <f>Table2[[#This Row],[UnitCost]]*Table2[[#This Row],[Quantity]]</f>
        <v>7573.95</v>
      </c>
      <c r="V421" s="13">
        <f t="shared" si="58"/>
        <v>1935.3365999999996</v>
      </c>
      <c r="W421" s="5">
        <f t="shared" si="59"/>
        <v>0.20352069312959814</v>
      </c>
      <c r="X421" s="17" t="str">
        <f t="shared" si="60"/>
        <v>Jan-2024</v>
      </c>
      <c r="Z421" t="str">
        <f t="shared" si="61"/>
        <v>Europe. Germany. Frankfurt</v>
      </c>
      <c r="AA421" t="str">
        <f t="shared" si="62"/>
        <v>Low</v>
      </c>
      <c r="AB421" t="str">
        <f t="array" ref="AB421">TEXT(MIN(IF($E$2:$E$633=E421, $B$2:$B$633)), "YYYY-MM")</f>
        <v>2023-01</v>
      </c>
      <c r="AC421" s="13">
        <f>SUM($T$2:T421)</f>
        <v>7157354.7627300061</v>
      </c>
    </row>
    <row r="422" spans="1:29" x14ac:dyDescent="0.45">
      <c r="A422" t="s">
        <v>434</v>
      </c>
      <c r="B422" s="2">
        <v>45211</v>
      </c>
      <c r="C422" s="2">
        <v>45228</v>
      </c>
      <c r="D422" t="s">
        <v>647</v>
      </c>
      <c r="E422" t="s">
        <v>652</v>
      </c>
      <c r="F422" t="s">
        <v>694</v>
      </c>
      <c r="G422" t="s">
        <v>703</v>
      </c>
      <c r="H422" s="9" t="s">
        <v>711</v>
      </c>
      <c r="I422" s="9" t="s">
        <v>722</v>
      </c>
      <c r="J422" s="9" t="s">
        <v>730</v>
      </c>
      <c r="K422" t="s">
        <v>1153</v>
      </c>
      <c r="L422" s="7">
        <v>1102.19</v>
      </c>
      <c r="M422" s="7">
        <v>1711.16</v>
      </c>
      <c r="N422" s="5">
        <v>0.151</v>
      </c>
      <c r="O422">
        <v>10</v>
      </c>
      <c r="P422" s="2">
        <f t="shared" si="54"/>
        <v>45228</v>
      </c>
      <c r="Q422" t="str">
        <f t="shared" si="55"/>
        <v>Ok</v>
      </c>
      <c r="R422">
        <f>ABS(Table2[[#This Row],[UnitPrice]])</f>
        <v>1711.16</v>
      </c>
      <c r="S422">
        <f t="shared" si="56"/>
        <v>17</v>
      </c>
      <c r="T422" s="12">
        <f t="shared" si="57"/>
        <v>14527.748400000002</v>
      </c>
      <c r="U422">
        <f>Table2[[#This Row],[UnitCost]]*Table2[[#This Row],[Quantity]]</f>
        <v>11021.900000000001</v>
      </c>
      <c r="V422" s="13">
        <f t="shared" si="58"/>
        <v>3505.8484000000008</v>
      </c>
      <c r="W422" s="5">
        <f t="shared" si="59"/>
        <v>0.24132083675127525</v>
      </c>
      <c r="X422" s="17" t="str">
        <f t="shared" si="60"/>
        <v>Oct-2023</v>
      </c>
      <c r="Z422" t="str">
        <f t="shared" si="61"/>
        <v>Asia. Japan. Nagoya</v>
      </c>
      <c r="AA422" t="str">
        <f t="shared" si="62"/>
        <v>High</v>
      </c>
      <c r="AB422" t="str">
        <f t="array" ref="AB422">TEXT(MIN(IF($E$2:$E$633=E422, $B$2:$B$633)), "YYYY-MM")</f>
        <v>2023-03</v>
      </c>
      <c r="AC422" s="13">
        <f>SUM($T$2:T422)</f>
        <v>7171882.5111300061</v>
      </c>
    </row>
    <row r="423" spans="1:29" x14ac:dyDescent="0.45">
      <c r="A423" t="s">
        <v>435</v>
      </c>
      <c r="B423" s="2">
        <v>45713</v>
      </c>
      <c r="C423" s="2">
        <v>45733</v>
      </c>
      <c r="D423" t="s">
        <v>648</v>
      </c>
      <c r="E423" t="s">
        <v>660</v>
      </c>
      <c r="F423" t="s">
        <v>686</v>
      </c>
      <c r="G423" t="s">
        <v>703</v>
      </c>
      <c r="H423" s="9" t="s">
        <v>709</v>
      </c>
      <c r="I423" s="9" t="s">
        <v>722</v>
      </c>
      <c r="J423" s="9" t="s">
        <v>730</v>
      </c>
      <c r="K423" t="s">
        <v>1154</v>
      </c>
      <c r="L423" s="7">
        <v>1205.26</v>
      </c>
      <c r="M423" s="7">
        <v>1696.35</v>
      </c>
      <c r="N423" s="5">
        <v>1.9E-2</v>
      </c>
      <c r="O423">
        <v>6</v>
      </c>
      <c r="P423" s="2">
        <f t="shared" si="54"/>
        <v>45733</v>
      </c>
      <c r="Q423" t="str">
        <f t="shared" si="55"/>
        <v>Ok</v>
      </c>
      <c r="R423">
        <f>ABS(Table2[[#This Row],[UnitPrice]])</f>
        <v>1696.35</v>
      </c>
      <c r="S423">
        <f t="shared" si="56"/>
        <v>20</v>
      </c>
      <c r="T423" s="12">
        <f t="shared" si="57"/>
        <v>9984.7160999999978</v>
      </c>
      <c r="U423">
        <f>Table2[[#This Row],[UnitCost]]*Table2[[#This Row],[Quantity]]</f>
        <v>7231.5599999999995</v>
      </c>
      <c r="V423" s="13">
        <f t="shared" si="58"/>
        <v>2753.1560999999983</v>
      </c>
      <c r="W423" s="5">
        <f t="shared" si="59"/>
        <v>0.27573704374028213</v>
      </c>
      <c r="X423" s="17" t="str">
        <f t="shared" si="60"/>
        <v>Feb-2025</v>
      </c>
      <c r="Z423" t="str">
        <f t="shared" si="61"/>
        <v>Americas. USA. San Francisco</v>
      </c>
      <c r="AA423" t="str">
        <f t="shared" si="62"/>
        <v>High</v>
      </c>
      <c r="AB423" t="str">
        <f t="array" ref="AB423">TEXT(MIN(IF($E$2:$E$633=E423, $B$2:$B$633)), "YYYY-MM")</f>
        <v>2023-01</v>
      </c>
      <c r="AC423" s="13">
        <f>SUM($T$2:T423)</f>
        <v>7181867.2272300059</v>
      </c>
    </row>
    <row r="424" spans="1:29" x14ac:dyDescent="0.45">
      <c r="A424" t="s">
        <v>436</v>
      </c>
      <c r="B424" s="2">
        <v>45841</v>
      </c>
      <c r="C424" s="2">
        <v>45844</v>
      </c>
      <c r="D424" t="s">
        <v>646</v>
      </c>
      <c r="E424" t="s">
        <v>651</v>
      </c>
      <c r="F424" t="s">
        <v>665</v>
      </c>
      <c r="G424" t="s">
        <v>704</v>
      </c>
      <c r="H424" s="9" t="s">
        <v>708</v>
      </c>
      <c r="I424" s="9" t="s">
        <v>1422</v>
      </c>
      <c r="J424" s="9" t="s">
        <v>731</v>
      </c>
      <c r="K424" t="s">
        <v>1155</v>
      </c>
      <c r="L424" s="7">
        <v>1313.3</v>
      </c>
      <c r="M424" s="7">
        <v>2884.34</v>
      </c>
      <c r="N424" s="5">
        <v>0.157</v>
      </c>
      <c r="O424">
        <v>42</v>
      </c>
      <c r="P424" s="2">
        <f t="shared" si="54"/>
        <v>45844</v>
      </c>
      <c r="Q424" t="str">
        <f t="shared" si="55"/>
        <v>Ok</v>
      </c>
      <c r="R424">
        <f>ABS(Table2[[#This Row],[UnitPrice]])</f>
        <v>2884.34</v>
      </c>
      <c r="S424">
        <f t="shared" si="56"/>
        <v>3</v>
      </c>
      <c r="T424" s="12">
        <f t="shared" si="57"/>
        <v>102122.94203999999</v>
      </c>
      <c r="U424">
        <f>Table2[[#This Row],[UnitCost]]*Table2[[#This Row],[Quantity]]</f>
        <v>55158.6</v>
      </c>
      <c r="V424" s="13">
        <f t="shared" si="58"/>
        <v>46964.342039999996</v>
      </c>
      <c r="W424" s="5">
        <f t="shared" si="59"/>
        <v>0.45988042551305253</v>
      </c>
      <c r="X424" s="17" t="str">
        <f t="shared" si="60"/>
        <v>Jul-2025</v>
      </c>
      <c r="Z424" t="str">
        <f t="shared" si="61"/>
        <v>Africa. Nigeria. Lagos</v>
      </c>
      <c r="AA424" t="str">
        <f t="shared" si="62"/>
        <v>High</v>
      </c>
      <c r="AB424" t="str">
        <f t="array" ref="AB424">TEXT(MIN(IF($E$2:$E$633=E424, $B$2:$B$633)), "YYYY-MM")</f>
        <v>2023-01</v>
      </c>
      <c r="AC424" s="13">
        <f>SUM($T$2:T424)</f>
        <v>7283990.169270006</v>
      </c>
    </row>
    <row r="425" spans="1:29" x14ac:dyDescent="0.45">
      <c r="A425" t="s">
        <v>437</v>
      </c>
      <c r="B425" s="2">
        <v>45915</v>
      </c>
      <c r="C425" s="2">
        <v>45925</v>
      </c>
      <c r="D425" t="s">
        <v>647</v>
      </c>
      <c r="E425" t="s">
        <v>654</v>
      </c>
      <c r="F425" t="s">
        <v>680</v>
      </c>
      <c r="G425" t="s">
        <v>704</v>
      </c>
      <c r="H425" s="9" t="s">
        <v>707</v>
      </c>
      <c r="I425" s="9" t="s">
        <v>720</v>
      </c>
      <c r="J425" s="9" t="s">
        <v>730</v>
      </c>
      <c r="K425" t="s">
        <v>1156</v>
      </c>
      <c r="L425" s="7">
        <v>1488.91</v>
      </c>
      <c r="M425" s="7">
        <v>1483.74</v>
      </c>
      <c r="N425" s="5">
        <v>0.16800000000000001</v>
      </c>
      <c r="O425">
        <v>24</v>
      </c>
      <c r="P425" s="2">
        <f t="shared" si="54"/>
        <v>45925</v>
      </c>
      <c r="Q425" t="str">
        <f t="shared" si="55"/>
        <v>Ok</v>
      </c>
      <c r="R425">
        <f>ABS(Table2[[#This Row],[UnitPrice]])</f>
        <v>1483.74</v>
      </c>
      <c r="S425">
        <f t="shared" si="56"/>
        <v>10</v>
      </c>
      <c r="T425" s="12">
        <f t="shared" si="57"/>
        <v>29627.320319999999</v>
      </c>
      <c r="U425">
        <f>Table2[[#This Row],[UnitCost]]*Table2[[#This Row],[Quantity]]</f>
        <v>35733.840000000004</v>
      </c>
      <c r="V425" s="13">
        <f t="shared" si="58"/>
        <v>-6106.5196800000049</v>
      </c>
      <c r="W425" s="5">
        <f t="shared" si="59"/>
        <v>-0.20611110333450519</v>
      </c>
      <c r="X425" s="17" t="str">
        <f t="shared" si="60"/>
        <v>Sep-2025</v>
      </c>
      <c r="Z425" t="str">
        <f t="shared" si="61"/>
        <v>Asia. India. Delhi</v>
      </c>
      <c r="AA425" t="str">
        <f t="shared" si="62"/>
        <v>High</v>
      </c>
      <c r="AB425" t="str">
        <f t="array" ref="AB425">TEXT(MIN(IF($E$2:$E$633=E425, $B$2:$B$633)), "YYYY-MM")</f>
        <v>2023-01</v>
      </c>
      <c r="AC425" s="13">
        <f>SUM($T$2:T425)</f>
        <v>7313617.4895900059</v>
      </c>
    </row>
    <row r="426" spans="1:29" x14ac:dyDescent="0.45">
      <c r="A426" t="s">
        <v>438</v>
      </c>
      <c r="B426" s="2">
        <v>45341</v>
      </c>
      <c r="C426" s="2">
        <v>45357</v>
      </c>
      <c r="D426" t="s">
        <v>647</v>
      </c>
      <c r="E426" t="s">
        <v>659</v>
      </c>
      <c r="F426" t="s">
        <v>699</v>
      </c>
      <c r="G426" t="s">
        <v>702</v>
      </c>
      <c r="H426" s="9" t="s">
        <v>709</v>
      </c>
      <c r="I426" s="9" t="s">
        <v>719</v>
      </c>
      <c r="J426" s="9" t="s">
        <v>728</v>
      </c>
      <c r="K426" t="s">
        <v>1157</v>
      </c>
      <c r="L426" s="7">
        <v>1477.84</v>
      </c>
      <c r="M426" s="7">
        <v>3197.47</v>
      </c>
      <c r="N426" s="5">
        <v>0.24299999999999999</v>
      </c>
      <c r="O426">
        <v>24</v>
      </c>
      <c r="P426" s="2">
        <f t="shared" si="54"/>
        <v>45357</v>
      </c>
      <c r="Q426" t="str">
        <f t="shared" si="55"/>
        <v>Ok</v>
      </c>
      <c r="R426">
        <f>ABS(Table2[[#This Row],[UnitPrice]])</f>
        <v>3197.47</v>
      </c>
      <c r="S426">
        <f t="shared" si="56"/>
        <v>16</v>
      </c>
      <c r="T426" s="12">
        <f t="shared" si="57"/>
        <v>58091.634960000003</v>
      </c>
      <c r="U426">
        <f>Table2[[#This Row],[UnitCost]]*Table2[[#This Row],[Quantity]]</f>
        <v>35468.159999999996</v>
      </c>
      <c r="V426" s="13">
        <f t="shared" si="58"/>
        <v>22623.474960000007</v>
      </c>
      <c r="W426" s="5">
        <f t="shared" si="59"/>
        <v>0.38944462443823091</v>
      </c>
      <c r="X426" s="17" t="str">
        <f t="shared" si="60"/>
        <v>Feb-2024</v>
      </c>
      <c r="Z426" t="str">
        <f t="shared" si="61"/>
        <v>Asia. China. Beijing</v>
      </c>
      <c r="AA426" t="str">
        <f t="shared" si="62"/>
        <v>High</v>
      </c>
      <c r="AB426" t="str">
        <f t="array" ref="AB426">TEXT(MIN(IF($E$2:$E$633=E426, $B$2:$B$633)), "YYYY-MM")</f>
        <v>2023-01</v>
      </c>
      <c r="AC426" s="13">
        <f>SUM($T$2:T426)</f>
        <v>7371709.1245500064</v>
      </c>
    </row>
    <row r="427" spans="1:29" x14ac:dyDescent="0.45">
      <c r="A427" t="s">
        <v>439</v>
      </c>
      <c r="B427" s="2">
        <v>45349</v>
      </c>
      <c r="C427" s="2">
        <v>45377</v>
      </c>
      <c r="D427" t="s">
        <v>647</v>
      </c>
      <c r="E427" t="s">
        <v>654</v>
      </c>
      <c r="F427" t="s">
        <v>691</v>
      </c>
      <c r="G427" t="s">
        <v>702</v>
      </c>
      <c r="H427" s="9" t="s">
        <v>709</v>
      </c>
      <c r="I427" s="9" t="s">
        <v>715</v>
      </c>
      <c r="J427" s="9" t="s">
        <v>731</v>
      </c>
      <c r="K427" t="s">
        <v>1158</v>
      </c>
      <c r="L427" s="7">
        <v>1035.19</v>
      </c>
      <c r="M427" s="7">
        <v>2322.6999999999998</v>
      </c>
      <c r="N427" s="5">
        <v>0.17299999999999999</v>
      </c>
      <c r="O427">
        <v>8</v>
      </c>
      <c r="P427" s="2">
        <f t="shared" si="54"/>
        <v>45377</v>
      </c>
      <c r="Q427" t="str">
        <f t="shared" si="55"/>
        <v>Ok</v>
      </c>
      <c r="R427">
        <f>ABS(Table2[[#This Row],[UnitPrice]])</f>
        <v>2322.6999999999998</v>
      </c>
      <c r="S427">
        <f t="shared" si="56"/>
        <v>28</v>
      </c>
      <c r="T427" s="12">
        <f t="shared" si="57"/>
        <v>15366.983199999999</v>
      </c>
      <c r="U427">
        <f>Table2[[#This Row],[UnitCost]]*Table2[[#This Row],[Quantity]]</f>
        <v>8281.52</v>
      </c>
      <c r="V427" s="13">
        <f t="shared" si="58"/>
        <v>7085.4631999999983</v>
      </c>
      <c r="W427" s="5">
        <f t="shared" si="59"/>
        <v>0.46108355217047409</v>
      </c>
      <c r="X427" s="17" t="str">
        <f t="shared" si="60"/>
        <v>Feb-2024</v>
      </c>
      <c r="Z427" t="str">
        <f t="shared" si="61"/>
        <v>Asia. India. Mumbai</v>
      </c>
      <c r="AA427" t="str">
        <f t="shared" si="62"/>
        <v>High</v>
      </c>
      <c r="AB427" t="str">
        <f t="array" ref="AB427">TEXT(MIN(IF($E$2:$E$633=E427, $B$2:$B$633)), "YYYY-MM")</f>
        <v>2023-01</v>
      </c>
      <c r="AC427" s="13">
        <f>SUM($T$2:T427)</f>
        <v>7387076.107750006</v>
      </c>
    </row>
    <row r="428" spans="1:29" x14ac:dyDescent="0.45">
      <c r="A428" t="s">
        <v>440</v>
      </c>
      <c r="B428" s="2">
        <v>45897</v>
      </c>
      <c r="C428" s="2">
        <v>45905</v>
      </c>
      <c r="D428" t="s">
        <v>646</v>
      </c>
      <c r="E428" t="s">
        <v>651</v>
      </c>
      <c r="F428" t="s">
        <v>663</v>
      </c>
      <c r="G428" t="s">
        <v>705</v>
      </c>
      <c r="H428" s="9" t="s">
        <v>709</v>
      </c>
      <c r="I428" s="9" t="s">
        <v>718</v>
      </c>
      <c r="J428" s="9" t="s">
        <v>731</v>
      </c>
      <c r="K428" t="s">
        <v>1159</v>
      </c>
      <c r="L428" s="7">
        <v>1271.0999999999999</v>
      </c>
      <c r="M428" s="7">
        <v>1932.42</v>
      </c>
      <c r="N428" s="5">
        <v>0.25</v>
      </c>
      <c r="O428">
        <v>21</v>
      </c>
      <c r="P428" s="2">
        <f t="shared" si="54"/>
        <v>45905</v>
      </c>
      <c r="Q428" t="str">
        <f t="shared" si="55"/>
        <v>Ok</v>
      </c>
      <c r="R428">
        <f>ABS(Table2[[#This Row],[UnitPrice]])</f>
        <v>1932.42</v>
      </c>
      <c r="S428">
        <f t="shared" si="56"/>
        <v>8</v>
      </c>
      <c r="T428" s="12">
        <f t="shared" si="57"/>
        <v>30435.614999999998</v>
      </c>
      <c r="U428">
        <f>Table2[[#This Row],[UnitCost]]*Table2[[#This Row],[Quantity]]</f>
        <v>26693.1</v>
      </c>
      <c r="V428" s="13">
        <f t="shared" si="58"/>
        <v>3742.5149999999994</v>
      </c>
      <c r="W428" s="5">
        <f t="shared" si="59"/>
        <v>0.12296498690760807</v>
      </c>
      <c r="X428" s="17" t="str">
        <f t="shared" si="60"/>
        <v>Aug-2025</v>
      </c>
      <c r="Z428" t="str">
        <f t="shared" si="61"/>
        <v>Africa. Nigeria. Port Harcourt</v>
      </c>
      <c r="AA428" t="str">
        <f t="shared" si="62"/>
        <v>High</v>
      </c>
      <c r="AB428" t="str">
        <f t="array" ref="AB428">TEXT(MIN(IF($E$2:$E$633=E428, $B$2:$B$633)), "YYYY-MM")</f>
        <v>2023-01</v>
      </c>
      <c r="AC428" s="13">
        <f>SUM($T$2:T428)</f>
        <v>7417511.7227500062</v>
      </c>
    </row>
    <row r="429" spans="1:29" x14ac:dyDescent="0.45">
      <c r="A429" t="s">
        <v>441</v>
      </c>
      <c r="B429" s="2">
        <v>45522</v>
      </c>
      <c r="C429" s="2">
        <v>45547</v>
      </c>
      <c r="D429" t="s">
        <v>647</v>
      </c>
      <c r="E429" t="s">
        <v>654</v>
      </c>
      <c r="F429" t="s">
        <v>691</v>
      </c>
      <c r="G429" t="s">
        <v>704</v>
      </c>
      <c r="H429" s="9" t="s">
        <v>709</v>
      </c>
      <c r="I429" s="9" t="s">
        <v>712</v>
      </c>
      <c r="J429" s="9" t="s">
        <v>730</v>
      </c>
      <c r="K429" t="s">
        <v>1160</v>
      </c>
      <c r="L429" s="7">
        <v>1154.03</v>
      </c>
      <c r="M429" s="7">
        <v>1590.36</v>
      </c>
      <c r="N429" s="5">
        <v>0.314</v>
      </c>
      <c r="O429">
        <v>18</v>
      </c>
      <c r="P429" s="2">
        <f t="shared" si="54"/>
        <v>45547</v>
      </c>
      <c r="Q429" t="str">
        <f t="shared" si="55"/>
        <v>Ok</v>
      </c>
      <c r="R429">
        <f>ABS(Table2[[#This Row],[UnitPrice]])</f>
        <v>1590.36</v>
      </c>
      <c r="S429">
        <f t="shared" si="56"/>
        <v>25</v>
      </c>
      <c r="T429" s="12">
        <f t="shared" si="57"/>
        <v>19637.76528</v>
      </c>
      <c r="U429">
        <f>Table2[[#This Row],[UnitCost]]*Table2[[#This Row],[Quantity]]</f>
        <v>20772.54</v>
      </c>
      <c r="V429" s="13">
        <f t="shared" si="58"/>
        <v>-1134.7747200000013</v>
      </c>
      <c r="W429" s="5">
        <f t="shared" si="59"/>
        <v>-5.7785328616576745E-2</v>
      </c>
      <c r="X429" s="17" t="str">
        <f t="shared" si="60"/>
        <v>Aug-2024</v>
      </c>
      <c r="Z429" t="str">
        <f t="shared" si="61"/>
        <v>Asia. India. Mumbai</v>
      </c>
      <c r="AA429" t="str">
        <f t="shared" si="62"/>
        <v>High</v>
      </c>
      <c r="AB429" t="str">
        <f t="array" ref="AB429">TEXT(MIN(IF($E$2:$E$633=E429, $B$2:$B$633)), "YYYY-MM")</f>
        <v>2023-01</v>
      </c>
      <c r="AC429" s="13">
        <f>SUM($T$2:T429)</f>
        <v>7437149.4880300062</v>
      </c>
    </row>
    <row r="430" spans="1:29" x14ac:dyDescent="0.45">
      <c r="A430" t="s">
        <v>442</v>
      </c>
      <c r="B430" s="2">
        <v>45347</v>
      </c>
      <c r="C430" s="2">
        <v>45360</v>
      </c>
      <c r="D430" t="s">
        <v>649</v>
      </c>
      <c r="E430" t="s">
        <v>657</v>
      </c>
      <c r="F430" t="s">
        <v>673</v>
      </c>
      <c r="G430" t="s">
        <v>705</v>
      </c>
      <c r="H430" s="9" t="s">
        <v>710</v>
      </c>
      <c r="I430" s="9" t="s">
        <v>718</v>
      </c>
      <c r="J430" s="9" t="s">
        <v>732</v>
      </c>
      <c r="K430" t="s">
        <v>1161</v>
      </c>
      <c r="L430" s="7">
        <v>322.44</v>
      </c>
      <c r="M430" s="7">
        <v>395.61</v>
      </c>
      <c r="N430" s="5">
        <v>0</v>
      </c>
      <c r="O430">
        <v>34</v>
      </c>
      <c r="P430" s="2">
        <f t="shared" si="54"/>
        <v>45360</v>
      </c>
      <c r="Q430" t="str">
        <f t="shared" si="55"/>
        <v>Ok</v>
      </c>
      <c r="R430">
        <f>ABS(Table2[[#This Row],[UnitPrice]])</f>
        <v>395.61</v>
      </c>
      <c r="S430">
        <f t="shared" si="56"/>
        <v>13</v>
      </c>
      <c r="T430" s="12">
        <f t="shared" si="57"/>
        <v>13450.74</v>
      </c>
      <c r="U430">
        <f>Table2[[#This Row],[UnitCost]]*Table2[[#This Row],[Quantity]]</f>
        <v>10962.96</v>
      </c>
      <c r="V430" s="13">
        <f t="shared" si="58"/>
        <v>2487.7800000000007</v>
      </c>
      <c r="W430" s="5">
        <f t="shared" si="59"/>
        <v>0.18495487980586947</v>
      </c>
      <c r="X430" s="17" t="str">
        <f t="shared" si="60"/>
        <v>Feb-2024</v>
      </c>
      <c r="Z430" t="str">
        <f t="shared" si="61"/>
        <v>Europe. France. Marseille</v>
      </c>
      <c r="AA430" t="str">
        <f t="shared" si="62"/>
        <v>Low</v>
      </c>
      <c r="AB430" t="str">
        <f t="array" ref="AB430">TEXT(MIN(IF($E$2:$E$633=E430, $B$2:$B$633)), "YYYY-MM")</f>
        <v>2023-01</v>
      </c>
      <c r="AC430" s="13">
        <f>SUM($T$2:T430)</f>
        <v>7450600.2280300064</v>
      </c>
    </row>
    <row r="431" spans="1:29" x14ac:dyDescent="0.45">
      <c r="A431" t="s">
        <v>443</v>
      </c>
      <c r="B431" s="2">
        <v>45784</v>
      </c>
      <c r="C431" s="2">
        <v>45790</v>
      </c>
      <c r="D431" t="s">
        <v>647</v>
      </c>
      <c r="E431" t="s">
        <v>654</v>
      </c>
      <c r="F431" t="s">
        <v>668</v>
      </c>
      <c r="G431" t="s">
        <v>706</v>
      </c>
      <c r="H431" s="9" t="s">
        <v>711</v>
      </c>
      <c r="I431" s="9" t="s">
        <v>713</v>
      </c>
      <c r="J431" s="9" t="s">
        <v>730</v>
      </c>
      <c r="K431" t="s">
        <v>1162</v>
      </c>
      <c r="L431" s="7">
        <v>935.98</v>
      </c>
      <c r="M431" s="7">
        <v>2077.69</v>
      </c>
      <c r="N431" s="5">
        <v>0.17499999999999999</v>
      </c>
      <c r="O431">
        <v>24</v>
      </c>
      <c r="P431" s="2">
        <f t="shared" si="54"/>
        <v>45790</v>
      </c>
      <c r="Q431" t="str">
        <f t="shared" si="55"/>
        <v>Ok</v>
      </c>
      <c r="R431">
        <f>ABS(Table2[[#This Row],[UnitPrice]])</f>
        <v>2077.69</v>
      </c>
      <c r="S431">
        <f t="shared" si="56"/>
        <v>6</v>
      </c>
      <c r="T431" s="12">
        <f t="shared" si="57"/>
        <v>41138.261999999995</v>
      </c>
      <c r="U431">
        <f>Table2[[#This Row],[UnitCost]]*Table2[[#This Row],[Quantity]]</f>
        <v>22463.52</v>
      </c>
      <c r="V431" s="13">
        <f t="shared" si="58"/>
        <v>18674.741999999995</v>
      </c>
      <c r="W431" s="5">
        <f t="shared" si="59"/>
        <v>0.45395067978321491</v>
      </c>
      <c r="X431" s="17" t="str">
        <f t="shared" si="60"/>
        <v>May-2025</v>
      </c>
      <c r="Z431" t="str">
        <f t="shared" si="61"/>
        <v>Asia. India. Bengaluru</v>
      </c>
      <c r="AA431" t="str">
        <f t="shared" si="62"/>
        <v>High</v>
      </c>
      <c r="AB431" t="str">
        <f t="array" ref="AB431">TEXT(MIN(IF($E$2:$E$633=E431, $B$2:$B$633)), "YYYY-MM")</f>
        <v>2023-01</v>
      </c>
      <c r="AC431" s="13">
        <f>SUM($T$2:T431)</f>
        <v>7491738.4900300065</v>
      </c>
    </row>
    <row r="432" spans="1:29" x14ac:dyDescent="0.45">
      <c r="A432" t="s">
        <v>444</v>
      </c>
      <c r="B432" s="2">
        <v>45597</v>
      </c>
      <c r="C432" s="2">
        <v>45608</v>
      </c>
      <c r="D432" t="s">
        <v>649</v>
      </c>
      <c r="E432" t="s">
        <v>656</v>
      </c>
      <c r="F432" t="s">
        <v>698</v>
      </c>
      <c r="G432" t="s">
        <v>704</v>
      </c>
      <c r="H432" s="9" t="s">
        <v>708</v>
      </c>
      <c r="I432" s="9" t="s">
        <v>717</v>
      </c>
      <c r="J432" s="9" t="s">
        <v>728</v>
      </c>
      <c r="K432" t="s">
        <v>1163</v>
      </c>
      <c r="L432" s="7">
        <v>599.84</v>
      </c>
      <c r="M432" s="7">
        <v>1330.85</v>
      </c>
      <c r="N432" s="5">
        <v>0.115</v>
      </c>
      <c r="O432">
        <v>11</v>
      </c>
      <c r="P432" s="2">
        <f t="shared" si="54"/>
        <v>45608</v>
      </c>
      <c r="Q432" t="str">
        <f t="shared" si="55"/>
        <v>Ok</v>
      </c>
      <c r="R432">
        <f>ABS(Table2[[#This Row],[UnitPrice]])</f>
        <v>1330.85</v>
      </c>
      <c r="S432">
        <f t="shared" si="56"/>
        <v>11</v>
      </c>
      <c r="T432" s="12">
        <f t="shared" si="57"/>
        <v>12955.824749999998</v>
      </c>
      <c r="U432">
        <f>Table2[[#This Row],[UnitCost]]*Table2[[#This Row],[Quantity]]</f>
        <v>6598.2400000000007</v>
      </c>
      <c r="V432" s="13">
        <f t="shared" si="58"/>
        <v>6357.5847499999973</v>
      </c>
      <c r="W432" s="5">
        <f t="shared" si="59"/>
        <v>0.49071246892252063</v>
      </c>
      <c r="X432" s="17" t="str">
        <f t="shared" si="60"/>
        <v>Nov-2024</v>
      </c>
      <c r="Z432" t="str">
        <f t="shared" si="61"/>
        <v>Europe. Germany. Frankfurt</v>
      </c>
      <c r="AA432" t="str">
        <f t="shared" si="62"/>
        <v>High</v>
      </c>
      <c r="AB432" t="str">
        <f t="array" ref="AB432">TEXT(MIN(IF($E$2:$E$633=E432, $B$2:$B$633)), "YYYY-MM")</f>
        <v>2023-01</v>
      </c>
      <c r="AC432" s="13">
        <f>SUM($T$2:T432)</f>
        <v>7504694.3147800062</v>
      </c>
    </row>
    <row r="433" spans="1:29" x14ac:dyDescent="0.45">
      <c r="A433" t="s">
        <v>445</v>
      </c>
      <c r="B433" s="2">
        <v>45654</v>
      </c>
      <c r="C433" s="2">
        <v>45665</v>
      </c>
      <c r="D433" t="s">
        <v>647</v>
      </c>
      <c r="E433" t="s">
        <v>659</v>
      </c>
      <c r="F433" t="s">
        <v>676</v>
      </c>
      <c r="G433" t="s">
        <v>706</v>
      </c>
      <c r="H433" s="9" t="s">
        <v>708</v>
      </c>
      <c r="I433" s="9" t="s">
        <v>723</v>
      </c>
      <c r="J433" s="9" t="s">
        <v>731</v>
      </c>
      <c r="K433" t="s">
        <v>1164</v>
      </c>
      <c r="L433" s="7">
        <v>1201.31</v>
      </c>
      <c r="M433" s="7">
        <v>2764.65</v>
      </c>
      <c r="N433" s="5">
        <v>0</v>
      </c>
      <c r="O433">
        <v>21</v>
      </c>
      <c r="P433" s="2">
        <f t="shared" si="54"/>
        <v>45665</v>
      </c>
      <c r="Q433" t="str">
        <f t="shared" si="55"/>
        <v>Ok</v>
      </c>
      <c r="R433">
        <f>ABS(Table2[[#This Row],[UnitPrice]])</f>
        <v>2764.65</v>
      </c>
      <c r="S433">
        <f t="shared" si="56"/>
        <v>11</v>
      </c>
      <c r="T433" s="12">
        <f t="shared" si="57"/>
        <v>58057.65</v>
      </c>
      <c r="U433">
        <f>Table2[[#This Row],[UnitCost]]*Table2[[#This Row],[Quantity]]</f>
        <v>25227.51</v>
      </c>
      <c r="V433" s="13">
        <f t="shared" si="58"/>
        <v>32830.14</v>
      </c>
      <c r="W433" s="5">
        <f t="shared" si="59"/>
        <v>0.56547483406579491</v>
      </c>
      <c r="X433" s="17" t="str">
        <f t="shared" si="60"/>
        <v>Dec-2024</v>
      </c>
      <c r="Z433" t="str">
        <f t="shared" si="61"/>
        <v>Asia. China. Shenzhen</v>
      </c>
      <c r="AA433" t="str">
        <f t="shared" si="62"/>
        <v>High</v>
      </c>
      <c r="AB433" t="str">
        <f t="array" ref="AB433">TEXT(MIN(IF($E$2:$E$633=E433, $B$2:$B$633)), "YYYY-MM")</f>
        <v>2023-01</v>
      </c>
      <c r="AC433" s="13">
        <f>SUM($T$2:T433)</f>
        <v>7562751.9647800066</v>
      </c>
    </row>
    <row r="434" spans="1:29" x14ac:dyDescent="0.45">
      <c r="A434" t="s">
        <v>446</v>
      </c>
      <c r="B434" s="2">
        <v>45220</v>
      </c>
      <c r="C434" s="2">
        <v>45220</v>
      </c>
      <c r="D434" t="s">
        <v>649</v>
      </c>
      <c r="E434" t="s">
        <v>658</v>
      </c>
      <c r="F434" t="s">
        <v>693</v>
      </c>
      <c r="G434" t="s">
        <v>706</v>
      </c>
      <c r="H434" s="9" t="s">
        <v>710</v>
      </c>
      <c r="I434" s="9" t="s">
        <v>713</v>
      </c>
      <c r="J434" s="9" t="s">
        <v>732</v>
      </c>
      <c r="K434" t="s">
        <v>1165</v>
      </c>
      <c r="L434" s="7">
        <v>384.19</v>
      </c>
      <c r="M434" s="7">
        <v>278.35000000000002</v>
      </c>
      <c r="N434" s="5">
        <v>5.6000000000000001E-2</v>
      </c>
      <c r="O434">
        <v>10</v>
      </c>
      <c r="P434" s="2">
        <f t="shared" si="54"/>
        <v>45220</v>
      </c>
      <c r="Q434" t="str">
        <f t="shared" si="55"/>
        <v>Ok</v>
      </c>
      <c r="R434">
        <f>ABS(Table2[[#This Row],[UnitPrice]])</f>
        <v>278.35000000000002</v>
      </c>
      <c r="S434">
        <f t="shared" si="56"/>
        <v>0</v>
      </c>
      <c r="T434" s="12">
        <f t="shared" si="57"/>
        <v>2627.6239999999998</v>
      </c>
      <c r="U434">
        <f>Table2[[#This Row],[UnitCost]]*Table2[[#This Row],[Quantity]]</f>
        <v>3841.9</v>
      </c>
      <c r="V434" s="13">
        <f t="shared" si="58"/>
        <v>-1214.2760000000003</v>
      </c>
      <c r="W434" s="5">
        <f t="shared" si="59"/>
        <v>-0.46211938998882657</v>
      </c>
      <c r="X434" s="17" t="str">
        <f t="shared" si="60"/>
        <v>Oct-2023</v>
      </c>
      <c r="Z434" t="str">
        <f t="shared" si="61"/>
        <v>Europe. United Kingdom. Manchester</v>
      </c>
      <c r="AA434" t="str">
        <f t="shared" si="62"/>
        <v>Low</v>
      </c>
      <c r="AB434" t="str">
        <f t="array" ref="AB434">TEXT(MIN(IF($E$2:$E$633=E434, $B$2:$B$633)), "YYYY-MM")</f>
        <v>2023-01</v>
      </c>
      <c r="AC434" s="13">
        <f>SUM($T$2:T434)</f>
        <v>7565379.5887800064</v>
      </c>
    </row>
    <row r="435" spans="1:29" x14ac:dyDescent="0.45">
      <c r="A435" t="s">
        <v>447</v>
      </c>
      <c r="B435" s="2">
        <v>45636</v>
      </c>
      <c r="C435" s="2">
        <v>45645</v>
      </c>
      <c r="D435" t="s">
        <v>646</v>
      </c>
      <c r="E435" t="s">
        <v>651</v>
      </c>
      <c r="F435" t="s">
        <v>665</v>
      </c>
      <c r="G435" t="s">
        <v>701</v>
      </c>
      <c r="H435" s="9" t="s">
        <v>707</v>
      </c>
      <c r="I435" s="9" t="s">
        <v>719</v>
      </c>
      <c r="J435" s="9" t="s">
        <v>732</v>
      </c>
      <c r="K435" t="s">
        <v>1166</v>
      </c>
      <c r="L435" s="7">
        <v>488.68</v>
      </c>
      <c r="M435" s="7">
        <v>984.36</v>
      </c>
      <c r="N435" s="5">
        <v>5.8999999999999997E-2</v>
      </c>
      <c r="O435">
        <v>14</v>
      </c>
      <c r="P435" s="2">
        <f t="shared" si="54"/>
        <v>45645</v>
      </c>
      <c r="Q435" t="str">
        <f t="shared" si="55"/>
        <v>Ok</v>
      </c>
      <c r="R435">
        <f>ABS(Table2[[#This Row],[UnitPrice]])</f>
        <v>984.36</v>
      </c>
      <c r="S435">
        <f t="shared" si="56"/>
        <v>9</v>
      </c>
      <c r="T435" s="12">
        <f t="shared" si="57"/>
        <v>12967.958640000001</v>
      </c>
      <c r="U435">
        <f>Table2[[#This Row],[UnitCost]]*Table2[[#This Row],[Quantity]]</f>
        <v>6841.52</v>
      </c>
      <c r="V435" s="13">
        <f t="shared" si="58"/>
        <v>6126.4386400000003</v>
      </c>
      <c r="W435" s="5">
        <f t="shared" si="59"/>
        <v>0.47242891576649876</v>
      </c>
      <c r="X435" s="17" t="str">
        <f t="shared" si="60"/>
        <v>Dec-2024</v>
      </c>
      <c r="Z435" t="str">
        <f t="shared" si="61"/>
        <v>Africa. Nigeria. Lagos</v>
      </c>
      <c r="AA435" t="str">
        <f t="shared" si="62"/>
        <v>Low</v>
      </c>
      <c r="AB435" t="str">
        <f t="array" ref="AB435">TEXT(MIN(IF($E$2:$E$633=E435, $B$2:$B$633)), "YYYY-MM")</f>
        <v>2023-01</v>
      </c>
      <c r="AC435" s="13">
        <f>SUM($T$2:T435)</f>
        <v>7578347.5474200062</v>
      </c>
    </row>
    <row r="436" spans="1:29" x14ac:dyDescent="0.45">
      <c r="A436" t="s">
        <v>448</v>
      </c>
      <c r="B436" s="2">
        <v>45542</v>
      </c>
      <c r="C436" s="2">
        <v>45553</v>
      </c>
      <c r="D436" t="s">
        <v>647</v>
      </c>
      <c r="E436" t="s">
        <v>659</v>
      </c>
      <c r="F436" t="s">
        <v>699</v>
      </c>
      <c r="G436" t="s">
        <v>704</v>
      </c>
      <c r="H436" s="9" t="s">
        <v>710</v>
      </c>
      <c r="I436" s="9" t="s">
        <v>719</v>
      </c>
      <c r="J436" s="9" t="s">
        <v>729</v>
      </c>
      <c r="K436" t="s">
        <v>1167</v>
      </c>
      <c r="L436" s="7">
        <v>181.74</v>
      </c>
      <c r="M436" s="7">
        <v>190.84</v>
      </c>
      <c r="N436" s="5">
        <v>0.214</v>
      </c>
      <c r="O436">
        <v>13</v>
      </c>
      <c r="P436" s="2">
        <f t="shared" si="54"/>
        <v>45553</v>
      </c>
      <c r="Q436" t="str">
        <f t="shared" si="55"/>
        <v>Ok</v>
      </c>
      <c r="R436">
        <f>ABS(Table2[[#This Row],[UnitPrice]])</f>
        <v>190.84</v>
      </c>
      <c r="S436">
        <f t="shared" si="56"/>
        <v>11</v>
      </c>
      <c r="T436" s="12">
        <f t="shared" si="57"/>
        <v>1950.0031200000001</v>
      </c>
      <c r="U436">
        <f>Table2[[#This Row],[UnitCost]]*Table2[[#This Row],[Quantity]]</f>
        <v>2362.62</v>
      </c>
      <c r="V436" s="13">
        <f t="shared" si="58"/>
        <v>-412.61687999999981</v>
      </c>
      <c r="W436" s="5">
        <f t="shared" si="59"/>
        <v>-0.21159806144310159</v>
      </c>
      <c r="X436" s="17" t="str">
        <f t="shared" si="60"/>
        <v>Sep-2024</v>
      </c>
      <c r="Z436" t="str">
        <f t="shared" si="61"/>
        <v>Asia. China. Beijing</v>
      </c>
      <c r="AA436" t="str">
        <f t="shared" si="62"/>
        <v>Low</v>
      </c>
      <c r="AB436" t="str">
        <f t="array" ref="AB436">TEXT(MIN(IF($E$2:$E$633=E436, $B$2:$B$633)), "YYYY-MM")</f>
        <v>2023-01</v>
      </c>
      <c r="AC436" s="13">
        <f>SUM($T$2:T436)</f>
        <v>7580297.5505400058</v>
      </c>
    </row>
    <row r="437" spans="1:29" x14ac:dyDescent="0.45">
      <c r="A437" t="s">
        <v>449</v>
      </c>
      <c r="B437" s="2">
        <v>45217</v>
      </c>
      <c r="C437" s="2">
        <v>45219</v>
      </c>
      <c r="D437" t="s">
        <v>646</v>
      </c>
      <c r="E437" t="s">
        <v>650</v>
      </c>
      <c r="F437" t="s">
        <v>662</v>
      </c>
      <c r="G437" t="s">
        <v>704</v>
      </c>
      <c r="H437" s="9" t="s">
        <v>707</v>
      </c>
      <c r="I437" s="9" t="s">
        <v>713</v>
      </c>
      <c r="J437" s="9" t="s">
        <v>730</v>
      </c>
      <c r="K437" t="s">
        <v>1168</v>
      </c>
      <c r="L437" s="7">
        <v>774.12</v>
      </c>
      <c r="M437" s="7">
        <v>908.3</v>
      </c>
      <c r="N437" s="5">
        <v>0</v>
      </c>
      <c r="O437">
        <v>30</v>
      </c>
      <c r="P437" s="2">
        <f t="shared" si="54"/>
        <v>45219</v>
      </c>
      <c r="Q437" t="str">
        <f t="shared" si="55"/>
        <v>Ok</v>
      </c>
      <c r="R437">
        <f>ABS(Table2[[#This Row],[UnitPrice]])</f>
        <v>908.3</v>
      </c>
      <c r="S437">
        <f t="shared" si="56"/>
        <v>2</v>
      </c>
      <c r="T437" s="12">
        <f t="shared" si="57"/>
        <v>27249</v>
      </c>
      <c r="U437">
        <f>Table2[[#This Row],[UnitCost]]*Table2[[#This Row],[Quantity]]</f>
        <v>23223.599999999999</v>
      </c>
      <c r="V437" s="13">
        <f t="shared" si="58"/>
        <v>4025.4000000000015</v>
      </c>
      <c r="W437" s="5">
        <f t="shared" si="59"/>
        <v>0.14772652207420461</v>
      </c>
      <c r="X437" s="17" t="str">
        <f t="shared" si="60"/>
        <v>Oct-2023</v>
      </c>
      <c r="Z437" t="str">
        <f t="shared" si="61"/>
        <v>Africa. Kenya. Kisumu</v>
      </c>
      <c r="AA437" t="str">
        <f t="shared" si="62"/>
        <v>Low</v>
      </c>
      <c r="AB437" t="str">
        <f t="array" ref="AB437">TEXT(MIN(IF($E$2:$E$633=E437, $B$2:$B$633)), "YYYY-MM")</f>
        <v>2023-01</v>
      </c>
      <c r="AC437" s="13">
        <f>SUM($T$2:T437)</f>
        <v>7607546.5505400058</v>
      </c>
    </row>
    <row r="438" spans="1:29" x14ac:dyDescent="0.45">
      <c r="A438" t="s">
        <v>450</v>
      </c>
      <c r="B438" s="2">
        <v>45650</v>
      </c>
      <c r="C438" s="2">
        <v>45670</v>
      </c>
      <c r="D438" t="s">
        <v>647</v>
      </c>
      <c r="E438" t="s">
        <v>654</v>
      </c>
      <c r="F438" t="s">
        <v>668</v>
      </c>
      <c r="G438" t="s">
        <v>701</v>
      </c>
      <c r="H438" s="9" t="s">
        <v>709</v>
      </c>
      <c r="I438" s="9" t="s">
        <v>726</v>
      </c>
      <c r="J438" s="9" t="s">
        <v>729</v>
      </c>
      <c r="K438" t="s">
        <v>1169</v>
      </c>
      <c r="L438" s="7">
        <v>126.15</v>
      </c>
      <c r="M438" s="7">
        <v>284.23</v>
      </c>
      <c r="N438" s="5">
        <v>0.113</v>
      </c>
      <c r="O438">
        <v>22</v>
      </c>
      <c r="P438" s="2">
        <f t="shared" si="54"/>
        <v>45670</v>
      </c>
      <c r="Q438" t="str">
        <f t="shared" si="55"/>
        <v>Ok</v>
      </c>
      <c r="R438">
        <f>ABS(Table2[[#This Row],[UnitPrice]])</f>
        <v>284.23</v>
      </c>
      <c r="S438">
        <f t="shared" si="56"/>
        <v>20</v>
      </c>
      <c r="T438" s="12">
        <f t="shared" si="57"/>
        <v>5546.4642200000008</v>
      </c>
      <c r="U438">
        <f>Table2[[#This Row],[UnitCost]]*Table2[[#This Row],[Quantity]]</f>
        <v>2775.3</v>
      </c>
      <c r="V438" s="13">
        <f t="shared" si="58"/>
        <v>2771.1642200000006</v>
      </c>
      <c r="W438" s="5">
        <f t="shared" si="59"/>
        <v>0.49962716968541088</v>
      </c>
      <c r="X438" s="17" t="str">
        <f t="shared" si="60"/>
        <v>Dec-2024</v>
      </c>
      <c r="Z438" t="str">
        <f t="shared" si="61"/>
        <v>Asia. India. Bengaluru</v>
      </c>
      <c r="AA438" t="str">
        <f t="shared" si="62"/>
        <v>Low</v>
      </c>
      <c r="AB438" t="str">
        <f t="array" ref="AB438">TEXT(MIN(IF($E$2:$E$633=E438, $B$2:$B$633)), "YYYY-MM")</f>
        <v>2023-01</v>
      </c>
      <c r="AC438" s="13">
        <f>SUM($T$2:T438)</f>
        <v>7613093.0147600062</v>
      </c>
    </row>
    <row r="439" spans="1:29" x14ac:dyDescent="0.45">
      <c r="A439" t="s">
        <v>451</v>
      </c>
      <c r="B439" s="2">
        <v>45037</v>
      </c>
      <c r="C439" s="2">
        <v>45035</v>
      </c>
      <c r="D439" t="s">
        <v>647</v>
      </c>
      <c r="E439" t="s">
        <v>652</v>
      </c>
      <c r="F439" t="s">
        <v>694</v>
      </c>
      <c r="G439" t="s">
        <v>705</v>
      </c>
      <c r="H439" s="9" t="s">
        <v>711</v>
      </c>
      <c r="I439" s="9" t="s">
        <v>724</v>
      </c>
      <c r="J439" s="9" t="s">
        <v>727</v>
      </c>
      <c r="K439" t="s">
        <v>1170</v>
      </c>
      <c r="L439" s="7">
        <v>607.04</v>
      </c>
      <c r="M439" s="7">
        <v>1229.3399999999999</v>
      </c>
      <c r="N439" s="5">
        <v>0.14699999999999999</v>
      </c>
      <c r="O439">
        <v>7</v>
      </c>
      <c r="P439" s="2">
        <f t="shared" si="54"/>
        <v>45044</v>
      </c>
      <c r="Q439" t="str">
        <f t="shared" si="55"/>
        <v>Ok</v>
      </c>
      <c r="R439">
        <f>ABS(Table2[[#This Row],[UnitPrice]])</f>
        <v>1229.3399999999999</v>
      </c>
      <c r="S439">
        <f t="shared" si="56"/>
        <v>7</v>
      </c>
      <c r="T439" s="12">
        <f t="shared" si="57"/>
        <v>7340.3891399999993</v>
      </c>
      <c r="U439">
        <f>Table2[[#This Row],[UnitCost]]*Table2[[#This Row],[Quantity]]</f>
        <v>4249.28</v>
      </c>
      <c r="V439" s="13">
        <f t="shared" si="58"/>
        <v>3091.1091399999996</v>
      </c>
      <c r="W439" s="5">
        <f t="shared" si="59"/>
        <v>0.42110970972310058</v>
      </c>
      <c r="X439" s="17" t="str">
        <f t="shared" si="60"/>
        <v>Apr-2023</v>
      </c>
      <c r="Z439" t="str">
        <f t="shared" si="61"/>
        <v>Asia. Japan. Nagoya</v>
      </c>
      <c r="AA439" t="str">
        <f t="shared" si="62"/>
        <v>High</v>
      </c>
      <c r="AB439" t="str">
        <f t="array" ref="AB439">TEXT(MIN(IF($E$2:$E$633=E439, $B$2:$B$633)), "YYYY-MM")</f>
        <v>2023-03</v>
      </c>
      <c r="AC439" s="13">
        <f>SUM($T$2:T439)</f>
        <v>7620433.4039000059</v>
      </c>
    </row>
    <row r="440" spans="1:29" x14ac:dyDescent="0.45">
      <c r="A440" t="s">
        <v>452</v>
      </c>
      <c r="B440" s="2">
        <v>45290</v>
      </c>
      <c r="C440" s="2">
        <v>45299</v>
      </c>
      <c r="D440" t="s">
        <v>649</v>
      </c>
      <c r="E440" t="s">
        <v>657</v>
      </c>
      <c r="F440" t="s">
        <v>673</v>
      </c>
      <c r="G440" t="s">
        <v>704</v>
      </c>
      <c r="H440" s="9" t="s">
        <v>709</v>
      </c>
      <c r="I440" s="9" t="s">
        <v>716</v>
      </c>
      <c r="J440" s="9" t="s">
        <v>733</v>
      </c>
      <c r="K440" t="s">
        <v>1171</v>
      </c>
      <c r="L440" s="7">
        <v>861.1</v>
      </c>
      <c r="M440" s="7">
        <v>1224.72</v>
      </c>
      <c r="N440" s="5">
        <v>0.17399999999999999</v>
      </c>
      <c r="O440">
        <v>24</v>
      </c>
      <c r="P440" s="2">
        <f t="shared" si="54"/>
        <v>45299</v>
      </c>
      <c r="Q440" t="str">
        <f t="shared" si="55"/>
        <v>Ok</v>
      </c>
      <c r="R440">
        <f>ABS(Table2[[#This Row],[UnitPrice]])</f>
        <v>1224.72</v>
      </c>
      <c r="S440">
        <f t="shared" si="56"/>
        <v>9</v>
      </c>
      <c r="T440" s="12">
        <f t="shared" si="57"/>
        <v>24278.849280000002</v>
      </c>
      <c r="U440">
        <f>Table2[[#This Row],[UnitCost]]*Table2[[#This Row],[Quantity]]</f>
        <v>20666.400000000001</v>
      </c>
      <c r="V440" s="13">
        <f t="shared" si="58"/>
        <v>3612.4492800000007</v>
      </c>
      <c r="W440" s="5">
        <f t="shared" si="59"/>
        <v>0.14878997098827909</v>
      </c>
      <c r="X440" s="17" t="str">
        <f t="shared" si="60"/>
        <v>Dec-2023</v>
      </c>
      <c r="Z440" t="str">
        <f t="shared" si="61"/>
        <v>Europe. France. Marseille</v>
      </c>
      <c r="AA440" t="str">
        <f t="shared" si="62"/>
        <v>High</v>
      </c>
      <c r="AB440" t="str">
        <f t="array" ref="AB440">TEXT(MIN(IF($E$2:$E$633=E440, $B$2:$B$633)), "YYYY-MM")</f>
        <v>2023-01</v>
      </c>
      <c r="AC440" s="13">
        <f>SUM($T$2:T440)</f>
        <v>7644712.2531800056</v>
      </c>
    </row>
    <row r="441" spans="1:29" x14ac:dyDescent="0.45">
      <c r="A441" t="s">
        <v>453</v>
      </c>
      <c r="B441" s="2">
        <v>44978</v>
      </c>
      <c r="C441" s="2">
        <v>44997</v>
      </c>
      <c r="D441" t="s">
        <v>646</v>
      </c>
      <c r="E441" t="s">
        <v>650</v>
      </c>
      <c r="F441" t="s">
        <v>678</v>
      </c>
      <c r="G441" t="s">
        <v>701</v>
      </c>
      <c r="H441" s="9" t="s">
        <v>708</v>
      </c>
      <c r="I441" s="9" t="s">
        <v>721</v>
      </c>
      <c r="J441" s="9" t="s">
        <v>729</v>
      </c>
      <c r="K441" t="s">
        <v>1172</v>
      </c>
      <c r="L441" s="7">
        <v>352.65</v>
      </c>
      <c r="M441" s="7">
        <v>485.86</v>
      </c>
      <c r="N441" s="5">
        <v>4.1000000000000002E-2</v>
      </c>
      <c r="O441">
        <v>6</v>
      </c>
      <c r="P441" s="2">
        <f t="shared" si="54"/>
        <v>44997</v>
      </c>
      <c r="Q441" t="str">
        <f t="shared" si="55"/>
        <v>Ok</v>
      </c>
      <c r="R441">
        <f>ABS(Table2[[#This Row],[UnitPrice]])</f>
        <v>485.86</v>
      </c>
      <c r="S441">
        <f t="shared" si="56"/>
        <v>19</v>
      </c>
      <c r="T441" s="12">
        <f t="shared" si="57"/>
        <v>2795.6384399999997</v>
      </c>
      <c r="U441">
        <f>Table2[[#This Row],[UnitCost]]*Table2[[#This Row],[Quantity]]</f>
        <v>2115.8999999999996</v>
      </c>
      <c r="V441" s="13">
        <f t="shared" si="58"/>
        <v>679.73844000000008</v>
      </c>
      <c r="W441" s="5">
        <f t="shared" si="59"/>
        <v>0.24314247159943908</v>
      </c>
      <c r="X441" s="17" t="str">
        <f t="shared" si="60"/>
        <v>Feb-2023</v>
      </c>
      <c r="Z441" t="str">
        <f t="shared" si="61"/>
        <v>Africa. Kenya. Nakuru</v>
      </c>
      <c r="AA441" t="str">
        <f t="shared" si="62"/>
        <v>Low</v>
      </c>
      <c r="AB441" t="str">
        <f t="array" ref="AB441">TEXT(MIN(IF($E$2:$E$633=E441, $B$2:$B$633)), "YYYY-MM")</f>
        <v>2023-01</v>
      </c>
      <c r="AC441" s="13">
        <f>SUM($T$2:T441)</f>
        <v>7647507.8916200055</v>
      </c>
    </row>
    <row r="442" spans="1:29" x14ac:dyDescent="0.45">
      <c r="A442" t="s">
        <v>454</v>
      </c>
      <c r="B442" s="2">
        <v>45063</v>
      </c>
      <c r="C442" s="2">
        <v>45080</v>
      </c>
      <c r="D442" t="s">
        <v>647</v>
      </c>
      <c r="E442" t="s">
        <v>659</v>
      </c>
      <c r="F442" t="s">
        <v>699</v>
      </c>
      <c r="G442" t="s">
        <v>703</v>
      </c>
      <c r="H442" s="9" t="s">
        <v>710</v>
      </c>
      <c r="I442" s="9" t="s">
        <v>724</v>
      </c>
      <c r="J442" s="9" t="s">
        <v>728</v>
      </c>
      <c r="K442" t="s">
        <v>1173</v>
      </c>
      <c r="L442" s="7">
        <v>979.59</v>
      </c>
      <c r="M442" s="7">
        <v>2210.94</v>
      </c>
      <c r="N442" s="5">
        <v>0.15</v>
      </c>
      <c r="O442">
        <v>11</v>
      </c>
      <c r="P442" s="2">
        <f t="shared" si="54"/>
        <v>45080</v>
      </c>
      <c r="Q442" t="str">
        <f t="shared" si="55"/>
        <v>Ok</v>
      </c>
      <c r="R442">
        <f>ABS(Table2[[#This Row],[UnitPrice]])</f>
        <v>2210.94</v>
      </c>
      <c r="S442">
        <f t="shared" si="56"/>
        <v>17</v>
      </c>
      <c r="T442" s="12">
        <f t="shared" si="57"/>
        <v>20672.289000000001</v>
      </c>
      <c r="U442">
        <f>Table2[[#This Row],[UnitCost]]*Table2[[#This Row],[Quantity]]</f>
        <v>10775.49</v>
      </c>
      <c r="V442" s="13">
        <f t="shared" si="58"/>
        <v>9896.7990000000009</v>
      </c>
      <c r="W442" s="5">
        <f t="shared" si="59"/>
        <v>0.47874712858358359</v>
      </c>
      <c r="X442" s="17" t="str">
        <f t="shared" si="60"/>
        <v>May-2023</v>
      </c>
      <c r="Z442" t="str">
        <f t="shared" si="61"/>
        <v>Asia. China. Beijing</v>
      </c>
      <c r="AA442" t="str">
        <f t="shared" si="62"/>
        <v>High</v>
      </c>
      <c r="AB442" t="str">
        <f t="array" ref="AB442">TEXT(MIN(IF($E$2:$E$633=E442, $B$2:$B$633)), "YYYY-MM")</f>
        <v>2023-01</v>
      </c>
      <c r="AC442" s="13">
        <f>SUM($T$2:T442)</f>
        <v>7668180.1806200054</v>
      </c>
    </row>
    <row r="443" spans="1:29" x14ac:dyDescent="0.45">
      <c r="A443" t="s">
        <v>455</v>
      </c>
      <c r="B443" s="2">
        <v>45374</v>
      </c>
      <c r="C443" s="2">
        <v>45377</v>
      </c>
      <c r="D443" t="s">
        <v>647</v>
      </c>
      <c r="E443" t="s">
        <v>654</v>
      </c>
      <c r="F443" t="s">
        <v>668</v>
      </c>
      <c r="G443" t="s">
        <v>702</v>
      </c>
      <c r="H443" s="9" t="s">
        <v>711</v>
      </c>
      <c r="I443" s="9" t="s">
        <v>715</v>
      </c>
      <c r="J443" s="9" t="s">
        <v>730</v>
      </c>
      <c r="K443" t="s">
        <v>1174</v>
      </c>
      <c r="L443" s="7">
        <v>382.21</v>
      </c>
      <c r="M443" s="7">
        <v>571.89</v>
      </c>
      <c r="N443" s="5">
        <v>0.14799999999999999</v>
      </c>
      <c r="O443">
        <v>26</v>
      </c>
      <c r="P443" s="2">
        <f t="shared" si="54"/>
        <v>45377</v>
      </c>
      <c r="Q443" t="str">
        <f t="shared" si="55"/>
        <v>Ok</v>
      </c>
      <c r="R443">
        <f>ABS(Table2[[#This Row],[UnitPrice]])</f>
        <v>571.89</v>
      </c>
      <c r="S443">
        <f t="shared" si="56"/>
        <v>3</v>
      </c>
      <c r="T443" s="12">
        <f t="shared" si="57"/>
        <v>12668.50728</v>
      </c>
      <c r="U443">
        <f>Table2[[#This Row],[UnitCost]]*Table2[[#This Row],[Quantity]]</f>
        <v>9937.4599999999991</v>
      </c>
      <c r="V443" s="13">
        <f t="shared" si="58"/>
        <v>2731.0472800000007</v>
      </c>
      <c r="W443" s="5">
        <f t="shared" si="59"/>
        <v>0.2155776698578809</v>
      </c>
      <c r="X443" s="17" t="str">
        <f t="shared" si="60"/>
        <v>Mar-2024</v>
      </c>
      <c r="Z443" t="str">
        <f t="shared" si="61"/>
        <v>Asia. India. Bengaluru</v>
      </c>
      <c r="AA443" t="str">
        <f t="shared" si="62"/>
        <v>Low</v>
      </c>
      <c r="AB443" t="str">
        <f t="array" ref="AB443">TEXT(MIN(IF($E$2:$E$633=E443, $B$2:$B$633)), "YYYY-MM")</f>
        <v>2023-01</v>
      </c>
      <c r="AC443" s="13">
        <f>SUM($T$2:T443)</f>
        <v>7680848.6879000049</v>
      </c>
    </row>
    <row r="444" spans="1:29" x14ac:dyDescent="0.45">
      <c r="A444" t="s">
        <v>456</v>
      </c>
      <c r="B444" s="2">
        <v>45189</v>
      </c>
      <c r="C444" s="2">
        <v>45197</v>
      </c>
      <c r="D444" t="s">
        <v>647</v>
      </c>
      <c r="E444" t="s">
        <v>654</v>
      </c>
      <c r="F444" t="s">
        <v>1422</v>
      </c>
      <c r="G444" t="s">
        <v>701</v>
      </c>
      <c r="H444" s="9" t="s">
        <v>1422</v>
      </c>
      <c r="I444" s="9" t="s">
        <v>717</v>
      </c>
      <c r="J444" s="9" t="s">
        <v>733</v>
      </c>
      <c r="K444" t="s">
        <v>1175</v>
      </c>
      <c r="L444" s="7">
        <v>1362.06</v>
      </c>
      <c r="M444" s="7">
        <v>3398.37</v>
      </c>
      <c r="N444" s="5">
        <v>0.157</v>
      </c>
      <c r="O444">
        <v>11</v>
      </c>
      <c r="P444" s="2">
        <f t="shared" si="54"/>
        <v>45197</v>
      </c>
      <c r="Q444" t="str">
        <f t="shared" si="55"/>
        <v>Ok</v>
      </c>
      <c r="R444">
        <f>ABS(Table2[[#This Row],[UnitPrice]])</f>
        <v>3398.37</v>
      </c>
      <c r="S444">
        <f t="shared" si="56"/>
        <v>8</v>
      </c>
      <c r="T444" s="12">
        <f t="shared" si="57"/>
        <v>31513.085009999999</v>
      </c>
      <c r="U444">
        <f>Table2[[#This Row],[UnitCost]]*Table2[[#This Row],[Quantity]]</f>
        <v>14982.66</v>
      </c>
      <c r="V444" s="13">
        <f t="shared" si="58"/>
        <v>16530.425009999999</v>
      </c>
      <c r="W444" s="5">
        <f t="shared" si="59"/>
        <v>0.52455749745714919</v>
      </c>
      <c r="X444" s="17" t="str">
        <f t="shared" si="60"/>
        <v>Sep-2023</v>
      </c>
      <c r="Z444" t="str">
        <f t="shared" si="61"/>
        <v>Asia. India. Unknown</v>
      </c>
      <c r="AA444" t="str">
        <f t="shared" si="62"/>
        <v>High</v>
      </c>
      <c r="AB444" t="str">
        <f t="array" ref="AB444">TEXT(MIN(IF($E$2:$E$633=E444, $B$2:$B$633)), "YYYY-MM")</f>
        <v>2023-01</v>
      </c>
      <c r="AC444" s="13">
        <f>SUM($T$2:T444)</f>
        <v>7712361.7729100045</v>
      </c>
    </row>
    <row r="445" spans="1:29" x14ac:dyDescent="0.45">
      <c r="A445" t="s">
        <v>457</v>
      </c>
      <c r="B445" s="2">
        <v>45526</v>
      </c>
      <c r="C445" s="2">
        <v>45539</v>
      </c>
      <c r="D445" t="s">
        <v>649</v>
      </c>
      <c r="E445" t="s">
        <v>656</v>
      </c>
      <c r="F445" t="s">
        <v>698</v>
      </c>
      <c r="G445" t="s">
        <v>703</v>
      </c>
      <c r="H445" s="9" t="s">
        <v>707</v>
      </c>
      <c r="I445" s="9" t="s">
        <v>716</v>
      </c>
      <c r="J445" s="9" t="s">
        <v>728</v>
      </c>
      <c r="K445" t="s">
        <v>1176</v>
      </c>
      <c r="L445" s="7">
        <v>90.04</v>
      </c>
      <c r="M445" s="7">
        <v>194.62</v>
      </c>
      <c r="N445" s="5">
        <v>4.2999999999999997E-2</v>
      </c>
      <c r="O445">
        <v>32</v>
      </c>
      <c r="P445" s="2">
        <f t="shared" si="54"/>
        <v>45539</v>
      </c>
      <c r="Q445" t="str">
        <f t="shared" si="55"/>
        <v>Ok</v>
      </c>
      <c r="R445">
        <f>ABS(Table2[[#This Row],[UnitPrice]])</f>
        <v>194.62</v>
      </c>
      <c r="S445">
        <f t="shared" si="56"/>
        <v>13</v>
      </c>
      <c r="T445" s="12">
        <f t="shared" si="57"/>
        <v>5960.04288</v>
      </c>
      <c r="U445">
        <f>Table2[[#This Row],[UnitCost]]*Table2[[#This Row],[Quantity]]</f>
        <v>2881.28</v>
      </c>
      <c r="V445" s="13">
        <f t="shared" si="58"/>
        <v>3078.7628799999998</v>
      </c>
      <c r="W445" s="5">
        <f t="shared" si="59"/>
        <v>0.51656723650954672</v>
      </c>
      <c r="X445" s="17" t="str">
        <f t="shared" si="60"/>
        <v>Aug-2024</v>
      </c>
      <c r="Z445" t="str">
        <f t="shared" si="61"/>
        <v>Europe. Germany. Frankfurt</v>
      </c>
      <c r="AA445" t="str">
        <f t="shared" si="62"/>
        <v>Low</v>
      </c>
      <c r="AB445" t="str">
        <f t="array" ref="AB445">TEXT(MIN(IF($E$2:$E$633=E445, $B$2:$B$633)), "YYYY-MM")</f>
        <v>2023-01</v>
      </c>
      <c r="AC445" s="13">
        <f>SUM($T$2:T445)</f>
        <v>7718321.8157900041</v>
      </c>
    </row>
    <row r="446" spans="1:29" x14ac:dyDescent="0.45">
      <c r="A446" t="s">
        <v>458</v>
      </c>
      <c r="B446" s="2">
        <v>45560</v>
      </c>
      <c r="C446" s="2">
        <v>45568</v>
      </c>
      <c r="D446" t="s">
        <v>648</v>
      </c>
      <c r="E446" t="s">
        <v>653</v>
      </c>
      <c r="F446" t="s">
        <v>667</v>
      </c>
      <c r="G446" t="s">
        <v>704</v>
      </c>
      <c r="H446" s="9" t="s">
        <v>708</v>
      </c>
      <c r="I446" s="9" t="s">
        <v>718</v>
      </c>
      <c r="J446" s="9" t="s">
        <v>728</v>
      </c>
      <c r="K446" t="s">
        <v>1177</v>
      </c>
      <c r="L446" s="7">
        <v>558.19000000000005</v>
      </c>
      <c r="M446" s="7">
        <v>1031.6400000000001</v>
      </c>
      <c r="N446" s="5">
        <v>0</v>
      </c>
      <c r="O446">
        <v>21</v>
      </c>
      <c r="P446" s="2">
        <f t="shared" si="54"/>
        <v>45568</v>
      </c>
      <c r="Q446" t="str">
        <f t="shared" si="55"/>
        <v>Ok</v>
      </c>
      <c r="R446">
        <f>ABS(Table2[[#This Row],[UnitPrice]])</f>
        <v>1031.6400000000001</v>
      </c>
      <c r="S446">
        <f t="shared" si="56"/>
        <v>8</v>
      </c>
      <c r="T446" s="12">
        <f t="shared" si="57"/>
        <v>21664.440000000002</v>
      </c>
      <c r="U446">
        <f>Table2[[#This Row],[UnitCost]]*Table2[[#This Row],[Quantity]]</f>
        <v>11721.990000000002</v>
      </c>
      <c r="V446" s="13">
        <f t="shared" si="58"/>
        <v>9942.4500000000007</v>
      </c>
      <c r="W446" s="5">
        <f t="shared" si="59"/>
        <v>0.45892947152107322</v>
      </c>
      <c r="X446" s="17" t="str">
        <f t="shared" si="60"/>
        <v>Sep-2024</v>
      </c>
      <c r="Z446" t="str">
        <f t="shared" si="61"/>
        <v>Americas. Canada. Toronto</v>
      </c>
      <c r="AA446" t="str">
        <f t="shared" si="62"/>
        <v>Low</v>
      </c>
      <c r="AB446" t="str">
        <f t="array" ref="AB446">TEXT(MIN(IF($E$2:$E$633=E446, $B$2:$B$633)), "YYYY-MM")</f>
        <v>2023-01</v>
      </c>
      <c r="AC446" s="13">
        <f>SUM($T$2:T446)</f>
        <v>7739986.2557900045</v>
      </c>
    </row>
    <row r="447" spans="1:29" x14ac:dyDescent="0.45">
      <c r="A447" t="s">
        <v>459</v>
      </c>
      <c r="B447" s="2">
        <v>45090</v>
      </c>
      <c r="C447" s="2">
        <v>45101</v>
      </c>
      <c r="D447" t="s">
        <v>648</v>
      </c>
      <c r="E447" t="s">
        <v>653</v>
      </c>
      <c r="F447" t="s">
        <v>667</v>
      </c>
      <c r="G447" t="s">
        <v>701</v>
      </c>
      <c r="H447" s="9" t="s">
        <v>708</v>
      </c>
      <c r="I447" s="9" t="s">
        <v>712</v>
      </c>
      <c r="J447" s="9" t="s">
        <v>728</v>
      </c>
      <c r="K447" t="s">
        <v>1178</v>
      </c>
      <c r="L447" s="7">
        <v>247.07</v>
      </c>
      <c r="M447" s="7">
        <v>495.19</v>
      </c>
      <c r="N447" s="5">
        <v>2.8000000000000001E-2</v>
      </c>
      <c r="O447">
        <v>4</v>
      </c>
      <c r="P447" s="2">
        <f t="shared" si="54"/>
        <v>45101</v>
      </c>
      <c r="Q447" t="str">
        <f t="shared" si="55"/>
        <v>Ok</v>
      </c>
      <c r="R447">
        <f>ABS(Table2[[#This Row],[UnitPrice]])</f>
        <v>495.19</v>
      </c>
      <c r="S447">
        <f t="shared" si="56"/>
        <v>11</v>
      </c>
      <c r="T447" s="12">
        <f t="shared" si="57"/>
        <v>1925.29872</v>
      </c>
      <c r="U447">
        <f>Table2[[#This Row],[UnitCost]]*Table2[[#This Row],[Quantity]]</f>
        <v>988.28</v>
      </c>
      <c r="V447" s="13">
        <f t="shared" si="58"/>
        <v>937.01872000000003</v>
      </c>
      <c r="W447" s="5">
        <f t="shared" si="59"/>
        <v>0.48668744764968214</v>
      </c>
      <c r="X447" s="17" t="str">
        <f t="shared" si="60"/>
        <v>Jun-2023</v>
      </c>
      <c r="Z447" t="str">
        <f t="shared" si="61"/>
        <v>Americas. Canada. Toronto</v>
      </c>
      <c r="AA447" t="str">
        <f t="shared" si="62"/>
        <v>Low</v>
      </c>
      <c r="AB447" t="str">
        <f t="array" ref="AB447">TEXT(MIN(IF($E$2:$E$633=E447, $B$2:$B$633)), "YYYY-MM")</f>
        <v>2023-01</v>
      </c>
      <c r="AC447" s="13">
        <f>SUM($T$2:T447)</f>
        <v>7741911.5545100048</v>
      </c>
    </row>
    <row r="448" spans="1:29" x14ac:dyDescent="0.45">
      <c r="A448" t="s">
        <v>460</v>
      </c>
      <c r="B448" s="2">
        <v>45284</v>
      </c>
      <c r="C448" s="2">
        <v>45304</v>
      </c>
      <c r="D448" t="s">
        <v>647</v>
      </c>
      <c r="E448" t="s">
        <v>652</v>
      </c>
      <c r="F448" t="s">
        <v>694</v>
      </c>
      <c r="G448" t="s">
        <v>702</v>
      </c>
      <c r="H448" s="9" t="s">
        <v>711</v>
      </c>
      <c r="I448" s="9" t="s">
        <v>717</v>
      </c>
      <c r="J448" s="9" t="s">
        <v>731</v>
      </c>
      <c r="K448" t="s">
        <v>1179</v>
      </c>
      <c r="L448" s="7">
        <v>625.37</v>
      </c>
      <c r="M448" s="7">
        <v>1319.04</v>
      </c>
      <c r="N448" s="5">
        <v>7.3999999999999996E-2</v>
      </c>
      <c r="O448">
        <v>8</v>
      </c>
      <c r="P448" s="2">
        <f t="shared" si="54"/>
        <v>45304</v>
      </c>
      <c r="Q448" t="str">
        <f t="shared" si="55"/>
        <v>Ok</v>
      </c>
      <c r="R448">
        <f>ABS(Table2[[#This Row],[UnitPrice]])</f>
        <v>1319.04</v>
      </c>
      <c r="S448">
        <f t="shared" si="56"/>
        <v>20</v>
      </c>
      <c r="T448" s="12">
        <f t="shared" si="57"/>
        <v>9771.4483199999995</v>
      </c>
      <c r="U448">
        <f>Table2[[#This Row],[UnitCost]]*Table2[[#This Row],[Quantity]]</f>
        <v>5002.96</v>
      </c>
      <c r="V448" s="13">
        <f t="shared" si="58"/>
        <v>4768.4883199999995</v>
      </c>
      <c r="W448" s="5">
        <f t="shared" si="59"/>
        <v>0.48800220436513547</v>
      </c>
      <c r="X448" s="17" t="str">
        <f t="shared" si="60"/>
        <v>Dec-2023</v>
      </c>
      <c r="Z448" t="str">
        <f t="shared" si="61"/>
        <v>Asia. Japan. Nagoya</v>
      </c>
      <c r="AA448" t="str">
        <f t="shared" si="62"/>
        <v>High</v>
      </c>
      <c r="AB448" t="str">
        <f t="array" ref="AB448">TEXT(MIN(IF($E$2:$E$633=E448, $B$2:$B$633)), "YYYY-MM")</f>
        <v>2023-03</v>
      </c>
      <c r="AC448" s="13">
        <f>SUM($T$2:T448)</f>
        <v>7751683.0028300053</v>
      </c>
    </row>
    <row r="449" spans="1:29" x14ac:dyDescent="0.45">
      <c r="A449" t="s">
        <v>461</v>
      </c>
      <c r="B449" s="2">
        <v>45746</v>
      </c>
      <c r="C449" s="2">
        <v>45776</v>
      </c>
      <c r="D449" t="s">
        <v>646</v>
      </c>
      <c r="E449" t="s">
        <v>661</v>
      </c>
      <c r="F449" t="s">
        <v>687</v>
      </c>
      <c r="G449" t="s">
        <v>704</v>
      </c>
      <c r="H449" s="9" t="s">
        <v>709</v>
      </c>
      <c r="I449" s="9" t="s">
        <v>713</v>
      </c>
      <c r="J449" s="9" t="s">
        <v>732</v>
      </c>
      <c r="K449" t="s">
        <v>1180</v>
      </c>
      <c r="L449" s="7">
        <v>194.6</v>
      </c>
      <c r="M449" s="7">
        <v>314.87</v>
      </c>
      <c r="N449" s="5">
        <v>0.29299999999999998</v>
      </c>
      <c r="O449">
        <v>25</v>
      </c>
      <c r="P449" s="2">
        <f t="shared" si="54"/>
        <v>45776</v>
      </c>
      <c r="Q449" t="str">
        <f t="shared" si="55"/>
        <v>Ok</v>
      </c>
      <c r="R449">
        <f>ABS(Table2[[#This Row],[UnitPrice]])</f>
        <v>314.87</v>
      </c>
      <c r="S449">
        <f t="shared" si="56"/>
        <v>30</v>
      </c>
      <c r="T449" s="12">
        <f t="shared" si="57"/>
        <v>5565.3272500000003</v>
      </c>
      <c r="U449">
        <f>Table2[[#This Row],[UnitCost]]*Table2[[#This Row],[Quantity]]</f>
        <v>4865</v>
      </c>
      <c r="V449" s="13">
        <f t="shared" si="58"/>
        <v>700.32725000000028</v>
      </c>
      <c r="W449" s="5">
        <f t="shared" si="59"/>
        <v>0.1258375686712763</v>
      </c>
      <c r="X449" s="17" t="str">
        <f t="shared" si="60"/>
        <v>Mar-2025</v>
      </c>
      <c r="Z449" t="str">
        <f t="shared" si="61"/>
        <v>Africa. South Africa. Durban</v>
      </c>
      <c r="AA449" t="str">
        <f t="shared" si="62"/>
        <v>Low</v>
      </c>
      <c r="AB449" t="str">
        <f t="array" ref="AB449">TEXT(MIN(IF($E$2:$E$633=E449, $B$2:$B$633)), "YYYY-MM")</f>
        <v>2023-01</v>
      </c>
      <c r="AC449" s="13">
        <f>SUM($T$2:T449)</f>
        <v>7757248.3300800053</v>
      </c>
    </row>
    <row r="450" spans="1:29" x14ac:dyDescent="0.45">
      <c r="A450" t="s">
        <v>462</v>
      </c>
      <c r="B450" s="2">
        <v>45446</v>
      </c>
      <c r="C450" s="2">
        <v>45467</v>
      </c>
      <c r="D450" t="s">
        <v>648</v>
      </c>
      <c r="E450" t="s">
        <v>653</v>
      </c>
      <c r="F450" t="s">
        <v>667</v>
      </c>
      <c r="G450" t="s">
        <v>705</v>
      </c>
      <c r="H450" s="9" t="s">
        <v>711</v>
      </c>
      <c r="I450" s="9" t="s">
        <v>715</v>
      </c>
      <c r="J450" s="9" t="s">
        <v>732</v>
      </c>
      <c r="K450" t="s">
        <v>1181</v>
      </c>
      <c r="L450" s="7">
        <v>1205.5</v>
      </c>
      <c r="M450" s="7">
        <v>2210.17</v>
      </c>
      <c r="N450" s="5">
        <v>0.104</v>
      </c>
      <c r="O450">
        <v>23</v>
      </c>
      <c r="P450" s="2">
        <f t="shared" ref="P450:P513" si="63">IF(C450&lt;B450,B450+7,C450)</f>
        <v>45467</v>
      </c>
      <c r="Q450" t="str">
        <f t="shared" ref="Q450:Q513" si="64">IF(M450&lt;0, "Invalid Price","Ok")</f>
        <v>Ok</v>
      </c>
      <c r="R450">
        <f>ABS(Table2[[#This Row],[UnitPrice]])</f>
        <v>2210.17</v>
      </c>
      <c r="S450">
        <f t="shared" si="56"/>
        <v>21</v>
      </c>
      <c r="T450" s="12">
        <f t="shared" si="57"/>
        <v>45547.183360000003</v>
      </c>
      <c r="U450">
        <f>Table2[[#This Row],[UnitCost]]*Table2[[#This Row],[Quantity]]</f>
        <v>27726.5</v>
      </c>
      <c r="V450" s="13">
        <f t="shared" si="58"/>
        <v>17820.683360000003</v>
      </c>
      <c r="W450" s="5">
        <f t="shared" si="59"/>
        <v>0.39125763758314652</v>
      </c>
      <c r="X450" s="17" t="str">
        <f t="shared" si="60"/>
        <v>Jun-2024</v>
      </c>
      <c r="Z450" t="str">
        <f t="shared" si="61"/>
        <v>Americas. Canada. Toronto</v>
      </c>
      <c r="AA450" t="str">
        <f t="shared" si="62"/>
        <v>High</v>
      </c>
      <c r="AB450" t="str">
        <f t="array" ref="AB450">TEXT(MIN(IF($E$2:$E$633=E450, $B$2:$B$633)), "YYYY-MM")</f>
        <v>2023-01</v>
      </c>
      <c r="AC450" s="13">
        <f>SUM($T$2:T450)</f>
        <v>7802795.5134400055</v>
      </c>
    </row>
    <row r="451" spans="1:29" x14ac:dyDescent="0.45">
      <c r="A451" t="s">
        <v>463</v>
      </c>
      <c r="B451" s="2">
        <v>45454</v>
      </c>
      <c r="C451" s="2">
        <v>45482</v>
      </c>
      <c r="D451" t="s">
        <v>646</v>
      </c>
      <c r="E451" t="s">
        <v>651</v>
      </c>
      <c r="F451" t="s">
        <v>663</v>
      </c>
      <c r="G451" t="s">
        <v>701</v>
      </c>
      <c r="H451" s="9" t="s">
        <v>709</v>
      </c>
      <c r="I451" s="9" t="s">
        <v>714</v>
      </c>
      <c r="J451" s="9" t="s">
        <v>730</v>
      </c>
      <c r="K451" t="s">
        <v>1182</v>
      </c>
      <c r="L451" s="7">
        <v>895.54</v>
      </c>
      <c r="M451" s="7">
        <v>1045</v>
      </c>
      <c r="N451" s="5">
        <v>0.216</v>
      </c>
      <c r="O451">
        <v>15</v>
      </c>
      <c r="P451" s="2">
        <f t="shared" si="63"/>
        <v>45482</v>
      </c>
      <c r="Q451" t="str">
        <f t="shared" si="64"/>
        <v>Ok</v>
      </c>
      <c r="R451">
        <f>ABS(Table2[[#This Row],[UnitPrice]])</f>
        <v>1045</v>
      </c>
      <c r="S451">
        <f t="shared" ref="S451:S514" si="65">P451-B451</f>
        <v>28</v>
      </c>
      <c r="T451" s="12">
        <f t="shared" ref="T451:T514" si="66">R451*O451*(1-N451)</f>
        <v>12289.2</v>
      </c>
      <c r="U451">
        <f>Table2[[#This Row],[UnitCost]]*Table2[[#This Row],[Quantity]]</f>
        <v>13433.099999999999</v>
      </c>
      <c r="V451" s="13">
        <f t="shared" ref="V451:V514" si="67">T451-U451</f>
        <v>-1143.8999999999978</v>
      </c>
      <c r="W451" s="5">
        <f t="shared" ref="W451:W514" si="68">IF(V451=0,0,V451/T451)</f>
        <v>-9.3081730299775234E-2</v>
      </c>
      <c r="X451" s="17" t="str">
        <f t="shared" ref="X451:X514" si="69">TEXT(B451,"mmm-yyyy")</f>
        <v>Jun-2024</v>
      </c>
      <c r="Z451" t="str">
        <f t="shared" ref="Z451:Z514" si="70">CONCATENATE(D451,". ",E451,". ",F451)</f>
        <v>Africa. Nigeria. Port Harcourt</v>
      </c>
      <c r="AA451" t="str">
        <f t="shared" ref="AA451:AA514" si="71">IF(M451&lt;1193.87, "Low",IF(M451&gt;1193.87,"High","Medium"))</f>
        <v>Low</v>
      </c>
      <c r="AB451" t="str">
        <f t="array" ref="AB451">TEXT(MIN(IF($E$2:$E$633=E451, $B$2:$B$633)), "YYYY-MM")</f>
        <v>2023-01</v>
      </c>
      <c r="AC451" s="13">
        <f>SUM($T$2:T451)</f>
        <v>7815084.7134400057</v>
      </c>
    </row>
    <row r="452" spans="1:29" x14ac:dyDescent="0.45">
      <c r="A452" t="s">
        <v>464</v>
      </c>
      <c r="B452" s="2">
        <v>45129</v>
      </c>
      <c r="C452" s="2">
        <v>45128</v>
      </c>
      <c r="D452" t="s">
        <v>647</v>
      </c>
      <c r="E452" t="s">
        <v>654</v>
      </c>
      <c r="F452" t="s">
        <v>680</v>
      </c>
      <c r="G452" t="s">
        <v>705</v>
      </c>
      <c r="H452" s="9" t="s">
        <v>710</v>
      </c>
      <c r="I452" s="9" t="s">
        <v>718</v>
      </c>
      <c r="J452" s="9" t="s">
        <v>728</v>
      </c>
      <c r="K452" t="s">
        <v>1183</v>
      </c>
      <c r="L452" s="7">
        <v>946.99</v>
      </c>
      <c r="M452" s="7">
        <v>2132.19</v>
      </c>
      <c r="N452" s="5">
        <v>0.16500000000000001</v>
      </c>
      <c r="O452">
        <v>7</v>
      </c>
      <c r="P452" s="2">
        <f t="shared" si="63"/>
        <v>45136</v>
      </c>
      <c r="Q452" t="str">
        <f t="shared" si="64"/>
        <v>Ok</v>
      </c>
      <c r="R452">
        <f>ABS(Table2[[#This Row],[UnitPrice]])</f>
        <v>2132.19</v>
      </c>
      <c r="S452">
        <f t="shared" si="65"/>
        <v>7</v>
      </c>
      <c r="T452" s="12">
        <f t="shared" si="66"/>
        <v>12462.65055</v>
      </c>
      <c r="U452">
        <f>Table2[[#This Row],[UnitCost]]*Table2[[#This Row],[Quantity]]</f>
        <v>6628.93</v>
      </c>
      <c r="V452" s="13">
        <f t="shared" si="67"/>
        <v>5833.72055</v>
      </c>
      <c r="W452" s="5">
        <f t="shared" si="68"/>
        <v>0.46809629513362228</v>
      </c>
      <c r="X452" s="17" t="str">
        <f t="shared" si="69"/>
        <v>Jul-2023</v>
      </c>
      <c r="Z452" t="str">
        <f t="shared" si="70"/>
        <v>Asia. India. Delhi</v>
      </c>
      <c r="AA452" t="str">
        <f t="shared" si="71"/>
        <v>High</v>
      </c>
      <c r="AB452" t="str">
        <f t="array" ref="AB452">TEXT(MIN(IF($E$2:$E$633=E452, $B$2:$B$633)), "YYYY-MM")</f>
        <v>2023-01</v>
      </c>
      <c r="AC452" s="13">
        <f>SUM($T$2:T452)</f>
        <v>7827547.363990006</v>
      </c>
    </row>
    <row r="453" spans="1:29" x14ac:dyDescent="0.45">
      <c r="A453" t="s">
        <v>465</v>
      </c>
      <c r="B453" s="2">
        <v>44945</v>
      </c>
      <c r="C453" s="2">
        <v>44960</v>
      </c>
      <c r="D453" t="s">
        <v>649</v>
      </c>
      <c r="E453" t="s">
        <v>658</v>
      </c>
      <c r="F453" t="s">
        <v>683</v>
      </c>
      <c r="G453" t="s">
        <v>706</v>
      </c>
      <c r="H453" s="9" t="s">
        <v>710</v>
      </c>
      <c r="I453" s="9" t="s">
        <v>715</v>
      </c>
      <c r="J453" s="9" t="s">
        <v>733</v>
      </c>
      <c r="K453" t="s">
        <v>1184</v>
      </c>
      <c r="L453" s="7">
        <v>873.06</v>
      </c>
      <c r="M453" s="7">
        <v>2101.5500000000002</v>
      </c>
      <c r="N453" s="5">
        <v>6.6000000000000003E-2</v>
      </c>
      <c r="O453">
        <v>10</v>
      </c>
      <c r="P453" s="2">
        <f t="shared" si="63"/>
        <v>44960</v>
      </c>
      <c r="Q453" t="str">
        <f t="shared" si="64"/>
        <v>Ok</v>
      </c>
      <c r="R453">
        <f>ABS(Table2[[#This Row],[UnitPrice]])</f>
        <v>2101.5500000000002</v>
      </c>
      <c r="S453">
        <f t="shared" si="65"/>
        <v>15</v>
      </c>
      <c r="T453" s="12">
        <f t="shared" si="66"/>
        <v>19628.476999999999</v>
      </c>
      <c r="U453">
        <f>Table2[[#This Row],[UnitCost]]*Table2[[#This Row],[Quantity]]</f>
        <v>8730.5999999999985</v>
      </c>
      <c r="V453" s="13">
        <f t="shared" si="67"/>
        <v>10897.877</v>
      </c>
      <c r="W453" s="5">
        <f t="shared" si="68"/>
        <v>0.55520746719167269</v>
      </c>
      <c r="X453" s="17" t="str">
        <f t="shared" si="69"/>
        <v>Jan-2023</v>
      </c>
      <c r="Z453" t="str">
        <f t="shared" si="70"/>
        <v>Europe. United Kingdom. London</v>
      </c>
      <c r="AA453" t="str">
        <f t="shared" si="71"/>
        <v>High</v>
      </c>
      <c r="AB453" t="str">
        <f t="array" ref="AB453">TEXT(MIN(IF($E$2:$E$633=E453, $B$2:$B$633)), "YYYY-MM")</f>
        <v>2023-01</v>
      </c>
      <c r="AC453" s="13">
        <f>SUM($T$2:T453)</f>
        <v>7847175.840990006</v>
      </c>
    </row>
    <row r="454" spans="1:29" x14ac:dyDescent="0.45">
      <c r="A454" t="s">
        <v>466</v>
      </c>
      <c r="B454" s="2">
        <v>45413</v>
      </c>
      <c r="C454" s="2">
        <v>45428</v>
      </c>
      <c r="D454" t="s">
        <v>647</v>
      </c>
      <c r="E454" t="s">
        <v>654</v>
      </c>
      <c r="F454" t="s">
        <v>668</v>
      </c>
      <c r="G454" t="s">
        <v>705</v>
      </c>
      <c r="H454" s="9" t="s">
        <v>707</v>
      </c>
      <c r="I454" s="9" t="s">
        <v>716</v>
      </c>
      <c r="J454" s="9" t="s">
        <v>727</v>
      </c>
      <c r="K454" t="s">
        <v>1185</v>
      </c>
      <c r="L454" s="7">
        <v>901.19</v>
      </c>
      <c r="M454" s="7">
        <v>2125.44</v>
      </c>
      <c r="N454" s="5">
        <v>7.0999999999999994E-2</v>
      </c>
      <c r="O454">
        <v>12</v>
      </c>
      <c r="P454" s="2">
        <f t="shared" si="63"/>
        <v>45428</v>
      </c>
      <c r="Q454" t="str">
        <f t="shared" si="64"/>
        <v>Ok</v>
      </c>
      <c r="R454">
        <f>ABS(Table2[[#This Row],[UnitPrice]])</f>
        <v>2125.44</v>
      </c>
      <c r="S454">
        <f t="shared" si="65"/>
        <v>15</v>
      </c>
      <c r="T454" s="12">
        <f t="shared" si="66"/>
        <v>23694.405119999999</v>
      </c>
      <c r="U454">
        <f>Table2[[#This Row],[UnitCost]]*Table2[[#This Row],[Quantity]]</f>
        <v>10814.28</v>
      </c>
      <c r="V454" s="13">
        <f t="shared" si="67"/>
        <v>12880.125119999999</v>
      </c>
      <c r="W454" s="5">
        <f t="shared" si="68"/>
        <v>0.54359352154100415</v>
      </c>
      <c r="X454" s="17" t="str">
        <f t="shared" si="69"/>
        <v>May-2024</v>
      </c>
      <c r="Z454" t="str">
        <f t="shared" si="70"/>
        <v>Asia. India. Bengaluru</v>
      </c>
      <c r="AA454" t="str">
        <f t="shared" si="71"/>
        <v>High</v>
      </c>
      <c r="AB454" t="str">
        <f t="array" ref="AB454">TEXT(MIN(IF($E$2:$E$633=E454, $B$2:$B$633)), "YYYY-MM")</f>
        <v>2023-01</v>
      </c>
      <c r="AC454" s="13">
        <f>SUM($T$2:T454)</f>
        <v>7870870.2461100062</v>
      </c>
    </row>
    <row r="455" spans="1:29" x14ac:dyDescent="0.45">
      <c r="A455" t="s">
        <v>467</v>
      </c>
      <c r="B455" s="2">
        <v>45817</v>
      </c>
      <c r="C455" s="2">
        <v>45832</v>
      </c>
      <c r="D455" t="s">
        <v>647</v>
      </c>
      <c r="E455" t="s">
        <v>652</v>
      </c>
      <c r="F455" t="s">
        <v>694</v>
      </c>
      <c r="G455" t="s">
        <v>701</v>
      </c>
      <c r="H455" s="9" t="s">
        <v>711</v>
      </c>
      <c r="I455" s="9" t="s">
        <v>717</v>
      </c>
      <c r="J455" s="9" t="s">
        <v>730</v>
      </c>
      <c r="K455" t="s">
        <v>1186</v>
      </c>
      <c r="L455" s="7">
        <v>400.39</v>
      </c>
      <c r="M455" s="7">
        <v>712.75</v>
      </c>
      <c r="N455" s="5">
        <v>0.115</v>
      </c>
      <c r="O455">
        <v>19</v>
      </c>
      <c r="P455" s="2">
        <f t="shared" si="63"/>
        <v>45832</v>
      </c>
      <c r="Q455" t="str">
        <f t="shared" si="64"/>
        <v>Ok</v>
      </c>
      <c r="R455">
        <f>ABS(Table2[[#This Row],[UnitPrice]])</f>
        <v>712.75</v>
      </c>
      <c r="S455">
        <f t="shared" si="65"/>
        <v>15</v>
      </c>
      <c r="T455" s="12">
        <f t="shared" si="66"/>
        <v>11984.891250000001</v>
      </c>
      <c r="U455">
        <f>Table2[[#This Row],[UnitCost]]*Table2[[#This Row],[Quantity]]</f>
        <v>7607.41</v>
      </c>
      <c r="V455" s="13">
        <f t="shared" si="67"/>
        <v>4377.4812500000007</v>
      </c>
      <c r="W455" s="5">
        <f t="shared" si="68"/>
        <v>0.36524997671547504</v>
      </c>
      <c r="X455" s="17" t="str">
        <f t="shared" si="69"/>
        <v>Jun-2025</v>
      </c>
      <c r="Z455" t="str">
        <f t="shared" si="70"/>
        <v>Asia. Japan. Nagoya</v>
      </c>
      <c r="AA455" t="str">
        <f t="shared" si="71"/>
        <v>Low</v>
      </c>
      <c r="AB455" t="str">
        <f t="array" ref="AB455">TEXT(MIN(IF($E$2:$E$633=E455, $B$2:$B$633)), "YYYY-MM")</f>
        <v>2023-03</v>
      </c>
      <c r="AC455" s="13">
        <f>SUM($T$2:T455)</f>
        <v>7882855.1373600066</v>
      </c>
    </row>
    <row r="456" spans="1:29" x14ac:dyDescent="0.45">
      <c r="A456" t="s">
        <v>468</v>
      </c>
      <c r="B456" s="2">
        <v>45070</v>
      </c>
      <c r="C456" s="2">
        <v>45098</v>
      </c>
      <c r="D456" t="s">
        <v>648</v>
      </c>
      <c r="E456" t="s">
        <v>660</v>
      </c>
      <c r="F456" t="s">
        <v>697</v>
      </c>
      <c r="G456" t="s">
        <v>705</v>
      </c>
      <c r="H456" s="9" t="s">
        <v>709</v>
      </c>
      <c r="I456" s="9" t="s">
        <v>715</v>
      </c>
      <c r="J456" s="9" t="s">
        <v>732</v>
      </c>
      <c r="K456" t="s">
        <v>1187</v>
      </c>
      <c r="L456" s="7">
        <v>813.97</v>
      </c>
      <c r="M456" s="7">
        <v>1568.83</v>
      </c>
      <c r="N456" s="5">
        <v>1.7000000000000001E-2</v>
      </c>
      <c r="O456">
        <v>15</v>
      </c>
      <c r="P456" s="2">
        <f t="shared" si="63"/>
        <v>45098</v>
      </c>
      <c r="Q456" t="str">
        <f t="shared" si="64"/>
        <v>Ok</v>
      </c>
      <c r="R456">
        <f>ABS(Table2[[#This Row],[UnitPrice]])</f>
        <v>1568.83</v>
      </c>
      <c r="S456">
        <f t="shared" si="65"/>
        <v>28</v>
      </c>
      <c r="T456" s="12">
        <f t="shared" si="66"/>
        <v>23132.398349999996</v>
      </c>
      <c r="U456">
        <f>Table2[[#This Row],[UnitCost]]*Table2[[#This Row],[Quantity]]</f>
        <v>12209.550000000001</v>
      </c>
      <c r="V456" s="13">
        <f t="shared" si="67"/>
        <v>10922.848349999995</v>
      </c>
      <c r="W456" s="5">
        <f t="shared" si="68"/>
        <v>0.4721883215364911</v>
      </c>
      <c r="X456" s="17" t="str">
        <f t="shared" si="69"/>
        <v>May-2023</v>
      </c>
      <c r="Z456" t="str">
        <f t="shared" si="70"/>
        <v>Americas. USA. Austin</v>
      </c>
      <c r="AA456" t="str">
        <f t="shared" si="71"/>
        <v>High</v>
      </c>
      <c r="AB456" t="str">
        <f t="array" ref="AB456">TEXT(MIN(IF($E$2:$E$633=E456, $B$2:$B$633)), "YYYY-MM")</f>
        <v>2023-01</v>
      </c>
      <c r="AC456" s="13">
        <f>SUM($T$2:T456)</f>
        <v>7905987.535710007</v>
      </c>
    </row>
    <row r="457" spans="1:29" x14ac:dyDescent="0.45">
      <c r="A457" t="s">
        <v>469</v>
      </c>
      <c r="B457" s="2">
        <v>45653</v>
      </c>
      <c r="C457" s="2">
        <v>45655</v>
      </c>
      <c r="D457" t="s">
        <v>648</v>
      </c>
      <c r="E457" t="s">
        <v>653</v>
      </c>
      <c r="F457" t="s">
        <v>688</v>
      </c>
      <c r="G457" t="s">
        <v>706</v>
      </c>
      <c r="H457" s="9" t="s">
        <v>709</v>
      </c>
      <c r="I457" s="9" t="s">
        <v>712</v>
      </c>
      <c r="J457" s="9" t="s">
        <v>733</v>
      </c>
      <c r="K457" t="s">
        <v>1188</v>
      </c>
      <c r="L457" s="7">
        <v>1146.72</v>
      </c>
      <c r="M457" s="7">
        <v>2074.34</v>
      </c>
      <c r="N457" s="5">
        <v>0.111</v>
      </c>
      <c r="O457">
        <v>8</v>
      </c>
      <c r="P457" s="2">
        <f t="shared" si="63"/>
        <v>45655</v>
      </c>
      <c r="Q457" t="str">
        <f t="shared" si="64"/>
        <v>Ok</v>
      </c>
      <c r="R457">
        <f>ABS(Table2[[#This Row],[UnitPrice]])</f>
        <v>2074.34</v>
      </c>
      <c r="S457">
        <f t="shared" si="65"/>
        <v>2</v>
      </c>
      <c r="T457" s="12">
        <f t="shared" si="66"/>
        <v>14752.706080000002</v>
      </c>
      <c r="U457">
        <f>Table2[[#This Row],[UnitCost]]*Table2[[#This Row],[Quantity]]</f>
        <v>9173.76</v>
      </c>
      <c r="V457" s="13">
        <f t="shared" si="67"/>
        <v>5578.9460800000015</v>
      </c>
      <c r="W457" s="5">
        <f t="shared" si="68"/>
        <v>0.37816425337472737</v>
      </c>
      <c r="X457" s="17" t="str">
        <f t="shared" si="69"/>
        <v>Dec-2024</v>
      </c>
      <c r="Z457" t="str">
        <f t="shared" si="70"/>
        <v>Americas. Canada. Vancouver</v>
      </c>
      <c r="AA457" t="str">
        <f t="shared" si="71"/>
        <v>High</v>
      </c>
      <c r="AB457" t="str">
        <f t="array" ref="AB457">TEXT(MIN(IF($E$2:$E$633=E457, $B$2:$B$633)), "YYYY-MM")</f>
        <v>2023-01</v>
      </c>
      <c r="AC457" s="13">
        <f>SUM($T$2:T457)</f>
        <v>7920740.2417900069</v>
      </c>
    </row>
    <row r="458" spans="1:29" x14ac:dyDescent="0.45">
      <c r="A458" t="s">
        <v>470</v>
      </c>
      <c r="B458" s="2">
        <v>45265</v>
      </c>
      <c r="C458" s="2">
        <v>45272</v>
      </c>
      <c r="D458" t="s">
        <v>648</v>
      </c>
      <c r="E458" t="s">
        <v>655</v>
      </c>
      <c r="F458" t="s">
        <v>672</v>
      </c>
      <c r="G458" t="s">
        <v>701</v>
      </c>
      <c r="H458" s="9" t="s">
        <v>711</v>
      </c>
      <c r="I458" s="9" t="s">
        <v>721</v>
      </c>
      <c r="J458" s="9" t="s">
        <v>730</v>
      </c>
      <c r="K458" t="s">
        <v>1189</v>
      </c>
      <c r="L458" s="7">
        <v>307.43</v>
      </c>
      <c r="M458" s="7">
        <v>495.19</v>
      </c>
      <c r="N458" s="5">
        <v>0</v>
      </c>
      <c r="O458">
        <v>42</v>
      </c>
      <c r="P458" s="2">
        <f t="shared" si="63"/>
        <v>45272</v>
      </c>
      <c r="Q458" t="str">
        <f t="shared" si="64"/>
        <v>Ok</v>
      </c>
      <c r="R458">
        <f>ABS(Table2[[#This Row],[UnitPrice]])</f>
        <v>495.19</v>
      </c>
      <c r="S458">
        <f t="shared" si="65"/>
        <v>7</v>
      </c>
      <c r="T458" s="12">
        <f t="shared" si="66"/>
        <v>20797.98</v>
      </c>
      <c r="U458">
        <f>Table2[[#This Row],[UnitCost]]*Table2[[#This Row],[Quantity]]</f>
        <v>12912.06</v>
      </c>
      <c r="V458" s="13">
        <f t="shared" si="67"/>
        <v>7885.92</v>
      </c>
      <c r="W458" s="5">
        <f t="shared" si="68"/>
        <v>0.37916759223732305</v>
      </c>
      <c r="X458" s="17" t="str">
        <f t="shared" si="69"/>
        <v>Dec-2023</v>
      </c>
      <c r="Z458" t="str">
        <f t="shared" si="70"/>
        <v>Americas. Brazil. Brasília</v>
      </c>
      <c r="AA458" t="str">
        <f t="shared" si="71"/>
        <v>Low</v>
      </c>
      <c r="AB458" t="str">
        <f t="array" ref="AB458">TEXT(MIN(IF($E$2:$E$633=E458, $B$2:$B$633)), "YYYY-MM")</f>
        <v>2023-01</v>
      </c>
      <c r="AC458" s="13">
        <f>SUM($T$2:T458)</f>
        <v>7941538.2217900073</v>
      </c>
    </row>
    <row r="459" spans="1:29" x14ac:dyDescent="0.45">
      <c r="A459" t="s">
        <v>471</v>
      </c>
      <c r="B459" s="2">
        <v>45048</v>
      </c>
      <c r="C459" s="2">
        <v>45065</v>
      </c>
      <c r="D459" t="s">
        <v>647</v>
      </c>
      <c r="E459" t="s">
        <v>659</v>
      </c>
      <c r="F459" t="s">
        <v>685</v>
      </c>
      <c r="G459" t="s">
        <v>703</v>
      </c>
      <c r="H459" s="9" t="s">
        <v>711</v>
      </c>
      <c r="I459" s="9" t="s">
        <v>713</v>
      </c>
      <c r="J459" s="9" t="s">
        <v>732</v>
      </c>
      <c r="K459" t="s">
        <v>1190</v>
      </c>
      <c r="L459" s="7">
        <v>714.28</v>
      </c>
      <c r="M459" s="7">
        <v>757.59</v>
      </c>
      <c r="N459" s="5">
        <v>0.13600000000000001</v>
      </c>
      <c r="O459">
        <v>12</v>
      </c>
      <c r="P459" s="2">
        <f t="shared" si="63"/>
        <v>45065</v>
      </c>
      <c r="Q459" t="str">
        <f t="shared" si="64"/>
        <v>Ok</v>
      </c>
      <c r="R459">
        <f>ABS(Table2[[#This Row],[UnitPrice]])</f>
        <v>757.59</v>
      </c>
      <c r="S459">
        <f t="shared" si="65"/>
        <v>17</v>
      </c>
      <c r="T459" s="12">
        <f t="shared" si="66"/>
        <v>7854.6931199999999</v>
      </c>
      <c r="U459">
        <f>Table2[[#This Row],[UnitCost]]*Table2[[#This Row],[Quantity]]</f>
        <v>8571.36</v>
      </c>
      <c r="V459" s="13">
        <f t="shared" si="67"/>
        <v>-716.66688000000067</v>
      </c>
      <c r="W459" s="5">
        <f t="shared" si="68"/>
        <v>-9.1240595787910383E-2</v>
      </c>
      <c r="X459" s="17" t="str">
        <f t="shared" si="69"/>
        <v>May-2023</v>
      </c>
      <c r="Z459" t="str">
        <f t="shared" si="70"/>
        <v>Asia. China. Shanghai</v>
      </c>
      <c r="AA459" t="str">
        <f t="shared" si="71"/>
        <v>Low</v>
      </c>
      <c r="AB459" t="str">
        <f t="array" ref="AB459">TEXT(MIN(IF($E$2:$E$633=E459, $B$2:$B$633)), "YYYY-MM")</f>
        <v>2023-01</v>
      </c>
      <c r="AC459" s="13">
        <f>SUM($T$2:T459)</f>
        <v>7949392.9149100073</v>
      </c>
    </row>
    <row r="460" spans="1:29" x14ac:dyDescent="0.45">
      <c r="A460" t="s">
        <v>472</v>
      </c>
      <c r="B460" s="2">
        <v>45260</v>
      </c>
      <c r="C460" s="2">
        <v>45270</v>
      </c>
      <c r="D460" t="s">
        <v>649</v>
      </c>
      <c r="E460" t="s">
        <v>656</v>
      </c>
      <c r="F460" t="s">
        <v>684</v>
      </c>
      <c r="G460" t="s">
        <v>705</v>
      </c>
      <c r="H460" s="9" t="s">
        <v>711</v>
      </c>
      <c r="I460" s="9" t="s">
        <v>721</v>
      </c>
      <c r="J460" s="9" t="s">
        <v>731</v>
      </c>
      <c r="K460" t="s">
        <v>1191</v>
      </c>
      <c r="L460" s="7">
        <v>174.74</v>
      </c>
      <c r="M460" s="7">
        <v>415.96</v>
      </c>
      <c r="N460" s="5">
        <v>0.125</v>
      </c>
      <c r="O460">
        <v>21</v>
      </c>
      <c r="P460" s="2">
        <f t="shared" si="63"/>
        <v>45270</v>
      </c>
      <c r="Q460" t="str">
        <f t="shared" si="64"/>
        <v>Ok</v>
      </c>
      <c r="R460">
        <f>ABS(Table2[[#This Row],[UnitPrice]])</f>
        <v>415.96</v>
      </c>
      <c r="S460">
        <f t="shared" si="65"/>
        <v>10</v>
      </c>
      <c r="T460" s="12">
        <f t="shared" si="66"/>
        <v>7643.2649999999994</v>
      </c>
      <c r="U460">
        <f>Table2[[#This Row],[UnitCost]]*Table2[[#This Row],[Quantity]]</f>
        <v>3669.54</v>
      </c>
      <c r="V460" s="13">
        <f t="shared" si="67"/>
        <v>3973.7249999999995</v>
      </c>
      <c r="W460" s="5">
        <f t="shared" si="68"/>
        <v>0.51989889137691803</v>
      </c>
      <c r="X460" s="17" t="str">
        <f t="shared" si="69"/>
        <v>Nov-2023</v>
      </c>
      <c r="Z460" t="str">
        <f t="shared" si="70"/>
        <v>Europe. Germany. Munich</v>
      </c>
      <c r="AA460" t="str">
        <f t="shared" si="71"/>
        <v>Low</v>
      </c>
      <c r="AB460" t="str">
        <f t="array" ref="AB460">TEXT(MIN(IF($E$2:$E$633=E460, $B$2:$B$633)), "YYYY-MM")</f>
        <v>2023-01</v>
      </c>
      <c r="AC460" s="13">
        <f>SUM($T$2:T460)</f>
        <v>7957036.1799100069</v>
      </c>
    </row>
    <row r="461" spans="1:29" x14ac:dyDescent="0.45">
      <c r="A461" t="s">
        <v>473</v>
      </c>
      <c r="B461" s="2">
        <v>45417</v>
      </c>
      <c r="C461" s="2">
        <v>45430</v>
      </c>
      <c r="D461" t="s">
        <v>649</v>
      </c>
      <c r="E461" t="s">
        <v>657</v>
      </c>
      <c r="F461" t="s">
        <v>673</v>
      </c>
      <c r="G461" t="s">
        <v>701</v>
      </c>
      <c r="H461" s="9" t="s">
        <v>709</v>
      </c>
      <c r="I461" s="9" t="s">
        <v>720</v>
      </c>
      <c r="J461" s="9" t="s">
        <v>727</v>
      </c>
      <c r="K461" t="s">
        <v>1192</v>
      </c>
      <c r="L461" s="7">
        <v>1264.04</v>
      </c>
      <c r="M461" s="7">
        <v>1870.89</v>
      </c>
      <c r="N461" s="5">
        <v>0</v>
      </c>
      <c r="O461">
        <v>13</v>
      </c>
      <c r="P461" s="2">
        <f t="shared" si="63"/>
        <v>45430</v>
      </c>
      <c r="Q461" t="str">
        <f t="shared" si="64"/>
        <v>Ok</v>
      </c>
      <c r="R461">
        <f>ABS(Table2[[#This Row],[UnitPrice]])</f>
        <v>1870.89</v>
      </c>
      <c r="S461">
        <f t="shared" si="65"/>
        <v>13</v>
      </c>
      <c r="T461" s="12">
        <f t="shared" si="66"/>
        <v>24321.57</v>
      </c>
      <c r="U461">
        <f>Table2[[#This Row],[UnitCost]]*Table2[[#This Row],[Quantity]]</f>
        <v>16432.52</v>
      </c>
      <c r="V461" s="13">
        <f t="shared" si="67"/>
        <v>7889.0499999999993</v>
      </c>
      <c r="W461" s="5">
        <f t="shared" si="68"/>
        <v>0.32436433996653996</v>
      </c>
      <c r="X461" s="17" t="str">
        <f t="shared" si="69"/>
        <v>May-2024</v>
      </c>
      <c r="Z461" t="str">
        <f t="shared" si="70"/>
        <v>Europe. France. Marseille</v>
      </c>
      <c r="AA461" t="str">
        <f t="shared" si="71"/>
        <v>High</v>
      </c>
      <c r="AB461" t="str">
        <f t="array" ref="AB461">TEXT(MIN(IF($E$2:$E$633=E461, $B$2:$B$633)), "YYYY-MM")</f>
        <v>2023-01</v>
      </c>
      <c r="AC461" s="13">
        <f>SUM($T$2:T461)</f>
        <v>7981357.7499100072</v>
      </c>
    </row>
    <row r="462" spans="1:29" x14ac:dyDescent="0.45">
      <c r="A462" t="s">
        <v>474</v>
      </c>
      <c r="B462" s="2">
        <v>45116</v>
      </c>
      <c r="C462" s="2">
        <v>45126</v>
      </c>
      <c r="D462" t="s">
        <v>647</v>
      </c>
      <c r="E462" t="s">
        <v>652</v>
      </c>
      <c r="F462" t="s">
        <v>689</v>
      </c>
      <c r="G462" t="s">
        <v>706</v>
      </c>
      <c r="H462" s="9" t="s">
        <v>710</v>
      </c>
      <c r="I462" s="9" t="s">
        <v>725</v>
      </c>
      <c r="J462" s="9" t="s">
        <v>727</v>
      </c>
      <c r="K462" t="s">
        <v>1193</v>
      </c>
      <c r="L462" s="7">
        <v>141.26</v>
      </c>
      <c r="M462" s="7">
        <v>206.88</v>
      </c>
      <c r="N462" s="5">
        <v>0.107</v>
      </c>
      <c r="O462">
        <v>9</v>
      </c>
      <c r="P462" s="2">
        <f t="shared" si="63"/>
        <v>45126</v>
      </c>
      <c r="Q462" t="str">
        <f t="shared" si="64"/>
        <v>Ok</v>
      </c>
      <c r="R462">
        <f>ABS(Table2[[#This Row],[UnitPrice]])</f>
        <v>206.88</v>
      </c>
      <c r="S462">
        <f t="shared" si="65"/>
        <v>10</v>
      </c>
      <c r="T462" s="12">
        <f t="shared" si="66"/>
        <v>1662.6945600000001</v>
      </c>
      <c r="U462">
        <f>Table2[[#This Row],[UnitCost]]*Table2[[#This Row],[Quantity]]</f>
        <v>1271.3399999999999</v>
      </c>
      <c r="V462" s="13">
        <f t="shared" si="67"/>
        <v>391.35456000000022</v>
      </c>
      <c r="W462" s="5">
        <f t="shared" si="68"/>
        <v>0.23537369365062469</v>
      </c>
      <c r="X462" s="17" t="str">
        <f t="shared" si="69"/>
        <v>Jul-2023</v>
      </c>
      <c r="Z462" t="str">
        <f t="shared" si="70"/>
        <v>Asia. Japan. Tokyo</v>
      </c>
      <c r="AA462" t="str">
        <f t="shared" si="71"/>
        <v>Low</v>
      </c>
      <c r="AB462" t="str">
        <f t="array" ref="AB462">TEXT(MIN(IF($E$2:$E$633=E462, $B$2:$B$633)), "YYYY-MM")</f>
        <v>2023-03</v>
      </c>
      <c r="AC462" s="13">
        <f>SUM($T$2:T462)</f>
        <v>7983020.444470007</v>
      </c>
    </row>
    <row r="463" spans="1:29" x14ac:dyDescent="0.45">
      <c r="A463" t="s">
        <v>475</v>
      </c>
      <c r="B463" s="2">
        <v>45063</v>
      </c>
      <c r="C463" s="2">
        <v>45092</v>
      </c>
      <c r="D463" t="s">
        <v>646</v>
      </c>
      <c r="E463" t="s">
        <v>661</v>
      </c>
      <c r="F463" t="s">
        <v>687</v>
      </c>
      <c r="G463" t="s">
        <v>706</v>
      </c>
      <c r="H463" s="9" t="s">
        <v>707</v>
      </c>
      <c r="I463" s="9" t="s">
        <v>723</v>
      </c>
      <c r="J463" s="9" t="s">
        <v>733</v>
      </c>
      <c r="K463" t="s">
        <v>1194</v>
      </c>
      <c r="L463" s="7">
        <v>40.89</v>
      </c>
      <c r="M463" s="7">
        <v>62.82</v>
      </c>
      <c r="N463" s="5">
        <v>0.129</v>
      </c>
      <c r="O463">
        <v>17</v>
      </c>
      <c r="P463" s="2">
        <f t="shared" si="63"/>
        <v>45092</v>
      </c>
      <c r="Q463" t="str">
        <f t="shared" si="64"/>
        <v>Ok</v>
      </c>
      <c r="R463">
        <f>ABS(Table2[[#This Row],[UnitPrice]])</f>
        <v>62.82</v>
      </c>
      <c r="S463">
        <f t="shared" si="65"/>
        <v>29</v>
      </c>
      <c r="T463" s="12">
        <f t="shared" si="66"/>
        <v>930.17574000000002</v>
      </c>
      <c r="U463">
        <f>Table2[[#This Row],[UnitCost]]*Table2[[#This Row],[Quantity]]</f>
        <v>695.13</v>
      </c>
      <c r="V463" s="13">
        <f t="shared" si="67"/>
        <v>235.04574000000002</v>
      </c>
      <c r="W463" s="5">
        <f t="shared" si="68"/>
        <v>0.25268960465470752</v>
      </c>
      <c r="X463" s="17" t="str">
        <f t="shared" si="69"/>
        <v>May-2023</v>
      </c>
      <c r="Z463" t="str">
        <f t="shared" si="70"/>
        <v>Africa. South Africa. Durban</v>
      </c>
      <c r="AA463" t="str">
        <f t="shared" si="71"/>
        <v>Low</v>
      </c>
      <c r="AB463" t="str">
        <f t="array" ref="AB463">TEXT(MIN(IF($E$2:$E$633=E463, $B$2:$B$633)), "YYYY-MM")</f>
        <v>2023-01</v>
      </c>
      <c r="AC463" s="13">
        <f>SUM($T$2:T463)</f>
        <v>7983950.6202100068</v>
      </c>
    </row>
    <row r="464" spans="1:29" x14ac:dyDescent="0.45">
      <c r="A464" t="s">
        <v>476</v>
      </c>
      <c r="B464" s="2">
        <v>45358</v>
      </c>
      <c r="C464" s="2">
        <v>45385</v>
      </c>
      <c r="D464" t="s">
        <v>649</v>
      </c>
      <c r="E464" t="s">
        <v>656</v>
      </c>
      <c r="F464" t="s">
        <v>698</v>
      </c>
      <c r="G464" t="s">
        <v>701</v>
      </c>
      <c r="H464" s="9" t="s">
        <v>711</v>
      </c>
      <c r="I464" s="9" t="s">
        <v>724</v>
      </c>
      <c r="J464" s="9" t="s">
        <v>728</v>
      </c>
      <c r="K464" t="s">
        <v>1195</v>
      </c>
      <c r="L464" s="7">
        <v>738.16</v>
      </c>
      <c r="M464" s="7">
        <v>956.49</v>
      </c>
      <c r="N464" s="5">
        <v>0.152</v>
      </c>
      <c r="O464">
        <v>5</v>
      </c>
      <c r="P464" s="2">
        <f t="shared" si="63"/>
        <v>45385</v>
      </c>
      <c r="Q464" t="str">
        <f t="shared" si="64"/>
        <v>Ok</v>
      </c>
      <c r="R464">
        <f>ABS(Table2[[#This Row],[UnitPrice]])</f>
        <v>956.49</v>
      </c>
      <c r="S464">
        <f t="shared" si="65"/>
        <v>27</v>
      </c>
      <c r="T464" s="12">
        <f t="shared" si="66"/>
        <v>4055.5175999999997</v>
      </c>
      <c r="U464">
        <f>Table2[[#This Row],[UnitCost]]*Table2[[#This Row],[Quantity]]</f>
        <v>3690.7999999999997</v>
      </c>
      <c r="V464" s="13">
        <f t="shared" si="67"/>
        <v>364.71759999999995</v>
      </c>
      <c r="W464" s="5">
        <f t="shared" si="68"/>
        <v>8.9931208780847108E-2</v>
      </c>
      <c r="X464" s="17" t="str">
        <f t="shared" si="69"/>
        <v>Mar-2024</v>
      </c>
      <c r="Z464" t="str">
        <f t="shared" si="70"/>
        <v>Europe. Germany. Frankfurt</v>
      </c>
      <c r="AA464" t="str">
        <f t="shared" si="71"/>
        <v>Low</v>
      </c>
      <c r="AB464" t="str">
        <f t="array" ref="AB464">TEXT(MIN(IF($E$2:$E$633=E464, $B$2:$B$633)), "YYYY-MM")</f>
        <v>2023-01</v>
      </c>
      <c r="AC464" s="13">
        <f>SUM($T$2:T464)</f>
        <v>7988006.1378100067</v>
      </c>
    </row>
    <row r="465" spans="1:29" x14ac:dyDescent="0.45">
      <c r="A465" t="s">
        <v>477</v>
      </c>
      <c r="B465" s="2">
        <v>45757</v>
      </c>
      <c r="C465" s="2">
        <v>45766</v>
      </c>
      <c r="D465" t="s">
        <v>646</v>
      </c>
      <c r="E465" t="s">
        <v>661</v>
      </c>
      <c r="F465" t="s">
        <v>687</v>
      </c>
      <c r="G465" t="s">
        <v>706</v>
      </c>
      <c r="H465" s="9" t="s">
        <v>1422</v>
      </c>
      <c r="I465" s="9" t="s">
        <v>715</v>
      </c>
      <c r="J465" s="9" t="s">
        <v>729</v>
      </c>
      <c r="K465" t="s">
        <v>1196</v>
      </c>
      <c r="L465" s="7">
        <v>113.74</v>
      </c>
      <c r="M465" s="7">
        <v>165.7</v>
      </c>
      <c r="N465" s="5">
        <v>0.124</v>
      </c>
      <c r="O465">
        <v>13</v>
      </c>
      <c r="P465" s="2">
        <f t="shared" si="63"/>
        <v>45766</v>
      </c>
      <c r="Q465" t="str">
        <f t="shared" si="64"/>
        <v>Ok</v>
      </c>
      <c r="R465">
        <f>ABS(Table2[[#This Row],[UnitPrice]])</f>
        <v>165.7</v>
      </c>
      <c r="S465">
        <f t="shared" si="65"/>
        <v>9</v>
      </c>
      <c r="T465" s="12">
        <f t="shared" si="66"/>
        <v>1886.9915999999998</v>
      </c>
      <c r="U465">
        <f>Table2[[#This Row],[UnitCost]]*Table2[[#This Row],[Quantity]]</f>
        <v>1478.62</v>
      </c>
      <c r="V465" s="13">
        <f t="shared" si="67"/>
        <v>408.37159999999994</v>
      </c>
      <c r="W465" s="5">
        <f t="shared" si="68"/>
        <v>0.21641410592394794</v>
      </c>
      <c r="X465" s="17" t="str">
        <f t="shared" si="69"/>
        <v>Apr-2025</v>
      </c>
      <c r="Z465" t="str">
        <f t="shared" si="70"/>
        <v>Africa. South Africa. Durban</v>
      </c>
      <c r="AA465" t="str">
        <f t="shared" si="71"/>
        <v>Low</v>
      </c>
      <c r="AB465" t="str">
        <f t="array" ref="AB465">TEXT(MIN(IF($E$2:$E$633=E465, $B$2:$B$633)), "YYYY-MM")</f>
        <v>2023-01</v>
      </c>
      <c r="AC465" s="13">
        <f>SUM($T$2:T465)</f>
        <v>7989893.129410007</v>
      </c>
    </row>
    <row r="466" spans="1:29" x14ac:dyDescent="0.45">
      <c r="A466" t="s">
        <v>478</v>
      </c>
      <c r="B466" s="2">
        <v>45865</v>
      </c>
      <c r="C466" s="2">
        <v>45884</v>
      </c>
      <c r="D466" t="s">
        <v>647</v>
      </c>
      <c r="E466" t="s">
        <v>652</v>
      </c>
      <c r="F466" t="s">
        <v>689</v>
      </c>
      <c r="G466" t="s">
        <v>705</v>
      </c>
      <c r="H466" s="9" t="s">
        <v>709</v>
      </c>
      <c r="I466" s="9" t="s">
        <v>713</v>
      </c>
      <c r="J466" s="9" t="s">
        <v>727</v>
      </c>
      <c r="K466" t="s">
        <v>1197</v>
      </c>
      <c r="L466" s="7">
        <v>275.43</v>
      </c>
      <c r="M466" s="7">
        <v>608.36</v>
      </c>
      <c r="N466" s="5">
        <v>0.25700000000000001</v>
      </c>
      <c r="O466">
        <v>4</v>
      </c>
      <c r="P466" s="2">
        <f t="shared" si="63"/>
        <v>45884</v>
      </c>
      <c r="Q466" t="str">
        <f t="shared" si="64"/>
        <v>Ok</v>
      </c>
      <c r="R466">
        <f>ABS(Table2[[#This Row],[UnitPrice]])</f>
        <v>608.36</v>
      </c>
      <c r="S466">
        <f t="shared" si="65"/>
        <v>19</v>
      </c>
      <c r="T466" s="12">
        <f t="shared" si="66"/>
        <v>1808.04592</v>
      </c>
      <c r="U466">
        <f>Table2[[#This Row],[UnitCost]]*Table2[[#This Row],[Quantity]]</f>
        <v>1101.72</v>
      </c>
      <c r="V466" s="13">
        <f t="shared" si="67"/>
        <v>706.32592</v>
      </c>
      <c r="W466" s="5">
        <f t="shared" si="68"/>
        <v>0.39065706915231446</v>
      </c>
      <c r="X466" s="17" t="str">
        <f t="shared" si="69"/>
        <v>Jul-2025</v>
      </c>
      <c r="Z466" t="str">
        <f t="shared" si="70"/>
        <v>Asia. Japan. Tokyo</v>
      </c>
      <c r="AA466" t="str">
        <f t="shared" si="71"/>
        <v>Low</v>
      </c>
      <c r="AB466" t="str">
        <f t="array" ref="AB466">TEXT(MIN(IF($E$2:$E$633=E466, $B$2:$B$633)), "YYYY-MM")</f>
        <v>2023-03</v>
      </c>
      <c r="AC466" s="13">
        <f>SUM($T$2:T466)</f>
        <v>7991701.1753300074</v>
      </c>
    </row>
    <row r="467" spans="1:29" x14ac:dyDescent="0.45">
      <c r="A467" t="s">
        <v>479</v>
      </c>
      <c r="B467" s="2">
        <v>45618</v>
      </c>
      <c r="C467" s="2">
        <v>45641</v>
      </c>
      <c r="D467" t="s">
        <v>646</v>
      </c>
      <c r="E467" t="s">
        <v>650</v>
      </c>
      <c r="F467" t="s">
        <v>675</v>
      </c>
      <c r="G467" t="s">
        <v>703</v>
      </c>
      <c r="H467" s="9" t="s">
        <v>710</v>
      </c>
      <c r="I467" s="9" t="s">
        <v>712</v>
      </c>
      <c r="J467" s="9" t="s">
        <v>727</v>
      </c>
      <c r="K467" t="s">
        <v>1198</v>
      </c>
      <c r="L467" s="7">
        <v>1335.76</v>
      </c>
      <c r="M467" s="7">
        <v>2665.91</v>
      </c>
      <c r="N467" s="5">
        <v>0.21099999999999999</v>
      </c>
      <c r="O467">
        <v>40</v>
      </c>
      <c r="P467" s="2">
        <f t="shared" si="63"/>
        <v>45641</v>
      </c>
      <c r="Q467" t="str">
        <f t="shared" si="64"/>
        <v>Ok</v>
      </c>
      <c r="R467">
        <f>ABS(Table2[[#This Row],[UnitPrice]])</f>
        <v>2665.91</v>
      </c>
      <c r="S467">
        <f t="shared" si="65"/>
        <v>23</v>
      </c>
      <c r="T467" s="12">
        <f t="shared" si="66"/>
        <v>84136.119600000005</v>
      </c>
      <c r="U467">
        <f>Table2[[#This Row],[UnitCost]]*Table2[[#This Row],[Quantity]]</f>
        <v>53430.400000000001</v>
      </c>
      <c r="V467" s="13">
        <f t="shared" si="67"/>
        <v>30705.719600000004</v>
      </c>
      <c r="W467" s="5">
        <f t="shared" si="68"/>
        <v>0.36495288522909253</v>
      </c>
      <c r="X467" s="17" t="str">
        <f t="shared" si="69"/>
        <v>Nov-2024</v>
      </c>
      <c r="Z467" t="str">
        <f t="shared" si="70"/>
        <v>Africa. Kenya. Mombasa</v>
      </c>
      <c r="AA467" t="str">
        <f t="shared" si="71"/>
        <v>High</v>
      </c>
      <c r="AB467" t="str">
        <f t="array" ref="AB467">TEXT(MIN(IF($E$2:$E$633=E467, $B$2:$B$633)), "YYYY-MM")</f>
        <v>2023-01</v>
      </c>
      <c r="AC467" s="13">
        <f>SUM($T$2:T467)</f>
        <v>8075837.2949300073</v>
      </c>
    </row>
    <row r="468" spans="1:29" x14ac:dyDescent="0.45">
      <c r="A468" t="s">
        <v>480</v>
      </c>
      <c r="B468" s="2">
        <v>45466</v>
      </c>
      <c r="C468" s="2">
        <v>45471</v>
      </c>
      <c r="D468" t="s">
        <v>646</v>
      </c>
      <c r="E468" t="s">
        <v>651</v>
      </c>
      <c r="F468" t="s">
        <v>663</v>
      </c>
      <c r="G468" t="s">
        <v>703</v>
      </c>
      <c r="H468" s="9" t="s">
        <v>711</v>
      </c>
      <c r="I468" s="9" t="s">
        <v>724</v>
      </c>
      <c r="J468" s="9" t="s">
        <v>733</v>
      </c>
      <c r="K468" t="s">
        <v>1199</v>
      </c>
      <c r="L468" s="7">
        <v>242.31</v>
      </c>
      <c r="M468" s="7">
        <v>587.95000000000005</v>
      </c>
      <c r="N468" s="5">
        <v>0.22900000000000001</v>
      </c>
      <c r="O468">
        <v>6</v>
      </c>
      <c r="P468" s="2">
        <f t="shared" si="63"/>
        <v>45471</v>
      </c>
      <c r="Q468" t="str">
        <f t="shared" si="64"/>
        <v>Ok</v>
      </c>
      <c r="R468">
        <f>ABS(Table2[[#This Row],[UnitPrice]])</f>
        <v>587.95000000000005</v>
      </c>
      <c r="S468">
        <f t="shared" si="65"/>
        <v>5</v>
      </c>
      <c r="T468" s="12">
        <f t="shared" si="66"/>
        <v>2719.8567000000003</v>
      </c>
      <c r="U468">
        <f>Table2[[#This Row],[UnitCost]]*Table2[[#This Row],[Quantity]]</f>
        <v>1453.8600000000001</v>
      </c>
      <c r="V468" s="13">
        <f t="shared" si="67"/>
        <v>1265.9967000000001</v>
      </c>
      <c r="W468" s="5">
        <f t="shared" si="68"/>
        <v>0.46546448568411714</v>
      </c>
      <c r="X468" s="17" t="str">
        <f t="shared" si="69"/>
        <v>Jun-2024</v>
      </c>
      <c r="Z468" t="str">
        <f t="shared" si="70"/>
        <v>Africa. Nigeria. Port Harcourt</v>
      </c>
      <c r="AA468" t="str">
        <f t="shared" si="71"/>
        <v>Low</v>
      </c>
      <c r="AB468" t="str">
        <f t="array" ref="AB468">TEXT(MIN(IF($E$2:$E$633=E468, $B$2:$B$633)), "YYYY-MM")</f>
        <v>2023-01</v>
      </c>
      <c r="AC468" s="13">
        <f>SUM($T$2:T468)</f>
        <v>8078557.1516300077</v>
      </c>
    </row>
    <row r="469" spans="1:29" x14ac:dyDescent="0.45">
      <c r="A469" t="s">
        <v>481</v>
      </c>
      <c r="B469" s="2">
        <v>45278</v>
      </c>
      <c r="C469" s="2">
        <v>45305</v>
      </c>
      <c r="D469" t="s">
        <v>647</v>
      </c>
      <c r="E469" t="s">
        <v>654</v>
      </c>
      <c r="F469" t="s">
        <v>691</v>
      </c>
      <c r="G469" t="s">
        <v>704</v>
      </c>
      <c r="H469" s="9" t="s">
        <v>710</v>
      </c>
      <c r="I469" s="9" t="s">
        <v>726</v>
      </c>
      <c r="J469" s="9" t="s">
        <v>729</v>
      </c>
      <c r="K469" t="s">
        <v>1200</v>
      </c>
      <c r="L469" s="7">
        <v>1408.3</v>
      </c>
      <c r="M469" s="7">
        <v>2193.13</v>
      </c>
      <c r="N469" s="5">
        <v>7.0999999999999994E-2</v>
      </c>
      <c r="O469">
        <v>7</v>
      </c>
      <c r="P469" s="2">
        <f t="shared" si="63"/>
        <v>45305</v>
      </c>
      <c r="Q469" t="str">
        <f t="shared" si="64"/>
        <v>Ok</v>
      </c>
      <c r="R469">
        <f>ABS(Table2[[#This Row],[UnitPrice]])</f>
        <v>2193.13</v>
      </c>
      <c r="S469">
        <f t="shared" si="65"/>
        <v>27</v>
      </c>
      <c r="T469" s="12">
        <f t="shared" si="66"/>
        <v>14261.92439</v>
      </c>
      <c r="U469">
        <f>Table2[[#This Row],[UnitCost]]*Table2[[#This Row],[Quantity]]</f>
        <v>9858.1</v>
      </c>
      <c r="V469" s="13">
        <f t="shared" si="67"/>
        <v>4403.8243899999998</v>
      </c>
      <c r="W469" s="5">
        <f t="shared" si="68"/>
        <v>0.30878191957656281</v>
      </c>
      <c r="X469" s="17" t="str">
        <f t="shared" si="69"/>
        <v>Dec-2023</v>
      </c>
      <c r="Z469" t="str">
        <f t="shared" si="70"/>
        <v>Asia. India. Mumbai</v>
      </c>
      <c r="AA469" t="str">
        <f t="shared" si="71"/>
        <v>High</v>
      </c>
      <c r="AB469" t="str">
        <f t="array" ref="AB469">TEXT(MIN(IF($E$2:$E$633=E469, $B$2:$B$633)), "YYYY-MM")</f>
        <v>2023-01</v>
      </c>
      <c r="AC469" s="13">
        <f>SUM($T$2:T469)</f>
        <v>8092819.076020008</v>
      </c>
    </row>
    <row r="470" spans="1:29" x14ac:dyDescent="0.45">
      <c r="A470" t="s">
        <v>482</v>
      </c>
      <c r="B470" s="2">
        <v>45809</v>
      </c>
      <c r="C470" s="2">
        <v>45813</v>
      </c>
      <c r="D470" t="s">
        <v>649</v>
      </c>
      <c r="E470" t="s">
        <v>656</v>
      </c>
      <c r="F470" t="s">
        <v>684</v>
      </c>
      <c r="G470" t="s">
        <v>706</v>
      </c>
      <c r="H470" s="9" t="s">
        <v>711</v>
      </c>
      <c r="I470" s="9" t="s">
        <v>724</v>
      </c>
      <c r="J470" s="9" t="s">
        <v>727</v>
      </c>
      <c r="K470" t="s">
        <v>1201</v>
      </c>
      <c r="L470" s="7">
        <v>1171.42</v>
      </c>
      <c r="M470" s="7">
        <v>2187.8000000000002</v>
      </c>
      <c r="N470" s="5">
        <v>0.23</v>
      </c>
      <c r="O470">
        <v>15</v>
      </c>
      <c r="P470" s="2">
        <f t="shared" si="63"/>
        <v>45813</v>
      </c>
      <c r="Q470" t="str">
        <f t="shared" si="64"/>
        <v>Ok</v>
      </c>
      <c r="R470">
        <f>ABS(Table2[[#This Row],[UnitPrice]])</f>
        <v>2187.8000000000002</v>
      </c>
      <c r="S470">
        <f t="shared" si="65"/>
        <v>4</v>
      </c>
      <c r="T470" s="12">
        <f t="shared" si="66"/>
        <v>25269.09</v>
      </c>
      <c r="U470">
        <f>Table2[[#This Row],[UnitCost]]*Table2[[#This Row],[Quantity]]</f>
        <v>17571.300000000003</v>
      </c>
      <c r="V470" s="13">
        <f t="shared" si="67"/>
        <v>7697.7899999999972</v>
      </c>
      <c r="W470" s="5">
        <f t="shared" si="68"/>
        <v>0.30463265594447592</v>
      </c>
      <c r="X470" s="17" t="str">
        <f t="shared" si="69"/>
        <v>Jun-2025</v>
      </c>
      <c r="Z470" t="str">
        <f t="shared" si="70"/>
        <v>Europe. Germany. Munich</v>
      </c>
      <c r="AA470" t="str">
        <f t="shared" si="71"/>
        <v>High</v>
      </c>
      <c r="AB470" t="str">
        <f t="array" ref="AB470">TEXT(MIN(IF($E$2:$E$633=E470, $B$2:$B$633)), "YYYY-MM")</f>
        <v>2023-01</v>
      </c>
      <c r="AC470" s="13">
        <f>SUM($T$2:T470)</f>
        <v>8118088.1660200078</v>
      </c>
    </row>
    <row r="471" spans="1:29" x14ac:dyDescent="0.45">
      <c r="A471" t="s">
        <v>483</v>
      </c>
      <c r="B471" s="2">
        <v>45739</v>
      </c>
      <c r="C471" s="2">
        <v>45749</v>
      </c>
      <c r="D471" t="s">
        <v>649</v>
      </c>
      <c r="E471" t="s">
        <v>656</v>
      </c>
      <c r="F471" t="s">
        <v>671</v>
      </c>
      <c r="G471" t="s">
        <v>706</v>
      </c>
      <c r="H471" s="9" t="s">
        <v>708</v>
      </c>
      <c r="I471" s="9" t="s">
        <v>718</v>
      </c>
      <c r="J471" s="9" t="s">
        <v>728</v>
      </c>
      <c r="K471" t="s">
        <v>1202</v>
      </c>
      <c r="L471" s="7">
        <v>663.61</v>
      </c>
      <c r="M471" s="7">
        <v>1002.11</v>
      </c>
      <c r="N471" s="5">
        <v>4.5999999999999999E-2</v>
      </c>
      <c r="O471">
        <v>17</v>
      </c>
      <c r="P471" s="2">
        <f t="shared" si="63"/>
        <v>45749</v>
      </c>
      <c r="Q471" t="str">
        <f t="shared" si="64"/>
        <v>Ok</v>
      </c>
      <c r="R471">
        <f>ABS(Table2[[#This Row],[UnitPrice]])</f>
        <v>1002.11</v>
      </c>
      <c r="S471">
        <f t="shared" si="65"/>
        <v>10</v>
      </c>
      <c r="T471" s="12">
        <f t="shared" si="66"/>
        <v>16252.219979999998</v>
      </c>
      <c r="U471">
        <f>Table2[[#This Row],[UnitCost]]*Table2[[#This Row],[Quantity]]</f>
        <v>11281.37</v>
      </c>
      <c r="V471" s="13">
        <f t="shared" si="67"/>
        <v>4970.8499799999972</v>
      </c>
      <c r="W471" s="5">
        <f t="shared" si="68"/>
        <v>0.30585667595670812</v>
      </c>
      <c r="X471" s="17" t="str">
        <f t="shared" si="69"/>
        <v>Mar-2025</v>
      </c>
      <c r="Z471" t="str">
        <f t="shared" si="70"/>
        <v>Europe. Germany. Berlin</v>
      </c>
      <c r="AA471" t="str">
        <f t="shared" si="71"/>
        <v>Low</v>
      </c>
      <c r="AB471" t="str">
        <f t="array" ref="AB471">TEXT(MIN(IF($E$2:$E$633=E471, $B$2:$B$633)), "YYYY-MM")</f>
        <v>2023-01</v>
      </c>
      <c r="AC471" s="13">
        <f>SUM($T$2:T471)</f>
        <v>8134340.3860000074</v>
      </c>
    </row>
    <row r="472" spans="1:29" x14ac:dyDescent="0.45">
      <c r="A472" t="s">
        <v>484</v>
      </c>
      <c r="B472" s="2">
        <v>45060</v>
      </c>
      <c r="C472" s="2">
        <v>45068</v>
      </c>
      <c r="D472" t="s">
        <v>646</v>
      </c>
      <c r="E472" t="s">
        <v>650</v>
      </c>
      <c r="F472" t="s">
        <v>675</v>
      </c>
      <c r="G472" t="s">
        <v>705</v>
      </c>
      <c r="H472" s="9" t="s">
        <v>710</v>
      </c>
      <c r="I472" s="9" t="s">
        <v>721</v>
      </c>
      <c r="J472" s="9" t="s">
        <v>728</v>
      </c>
      <c r="K472" t="s">
        <v>1203</v>
      </c>
      <c r="L472" s="7">
        <v>432.01</v>
      </c>
      <c r="M472" s="7">
        <v>913.78</v>
      </c>
      <c r="N472" s="5">
        <v>4.9000000000000002E-2</v>
      </c>
      <c r="O472">
        <v>12</v>
      </c>
      <c r="P472" s="2">
        <f t="shared" si="63"/>
        <v>45068</v>
      </c>
      <c r="Q472" t="str">
        <f t="shared" si="64"/>
        <v>Ok</v>
      </c>
      <c r="R472">
        <f>ABS(Table2[[#This Row],[UnitPrice]])</f>
        <v>913.78</v>
      </c>
      <c r="S472">
        <f t="shared" si="65"/>
        <v>8</v>
      </c>
      <c r="T472" s="12">
        <f t="shared" si="66"/>
        <v>10428.057360000001</v>
      </c>
      <c r="U472">
        <f>Table2[[#This Row],[UnitCost]]*Table2[[#This Row],[Quantity]]</f>
        <v>5184.12</v>
      </c>
      <c r="V472" s="13">
        <f t="shared" si="67"/>
        <v>5243.9373600000008</v>
      </c>
      <c r="W472" s="5">
        <f t="shared" si="68"/>
        <v>0.50286809699711899</v>
      </c>
      <c r="X472" s="17" t="str">
        <f t="shared" si="69"/>
        <v>May-2023</v>
      </c>
      <c r="Z472" t="str">
        <f t="shared" si="70"/>
        <v>Africa. Kenya. Mombasa</v>
      </c>
      <c r="AA472" t="str">
        <f t="shared" si="71"/>
        <v>Low</v>
      </c>
      <c r="AB472" t="str">
        <f t="array" ref="AB472">TEXT(MIN(IF($E$2:$E$633=E472, $B$2:$B$633)), "YYYY-MM")</f>
        <v>2023-01</v>
      </c>
      <c r="AC472" s="13">
        <f>SUM($T$2:T472)</f>
        <v>8144768.4433600074</v>
      </c>
    </row>
    <row r="473" spans="1:29" x14ac:dyDescent="0.45">
      <c r="A473" t="s">
        <v>485</v>
      </c>
      <c r="B473" s="2">
        <v>45167</v>
      </c>
      <c r="C473" s="2">
        <v>45188</v>
      </c>
      <c r="D473" t="s">
        <v>649</v>
      </c>
      <c r="E473" t="s">
        <v>657</v>
      </c>
      <c r="F473" t="s">
        <v>679</v>
      </c>
      <c r="G473" t="s">
        <v>705</v>
      </c>
      <c r="H473" s="9" t="s">
        <v>711</v>
      </c>
      <c r="I473" s="9" t="s">
        <v>717</v>
      </c>
      <c r="J473" s="9" t="s">
        <v>728</v>
      </c>
      <c r="K473" t="s">
        <v>1204</v>
      </c>
      <c r="L473" s="7">
        <v>784.46</v>
      </c>
      <c r="M473" s="7">
        <v>1843.51</v>
      </c>
      <c r="N473" s="5">
        <v>0.13800000000000001</v>
      </c>
      <c r="O473">
        <v>23</v>
      </c>
      <c r="P473" s="2">
        <f t="shared" si="63"/>
        <v>45188</v>
      </c>
      <c r="Q473" t="str">
        <f t="shared" si="64"/>
        <v>Ok</v>
      </c>
      <c r="R473">
        <f>ABS(Table2[[#This Row],[UnitPrice]])</f>
        <v>1843.51</v>
      </c>
      <c r="S473">
        <f t="shared" si="65"/>
        <v>21</v>
      </c>
      <c r="T473" s="12">
        <f t="shared" si="66"/>
        <v>36549.429260000004</v>
      </c>
      <c r="U473">
        <f>Table2[[#This Row],[UnitCost]]*Table2[[#This Row],[Quantity]]</f>
        <v>18042.580000000002</v>
      </c>
      <c r="V473" s="13">
        <f t="shared" si="67"/>
        <v>18506.849260000003</v>
      </c>
      <c r="W473" s="5">
        <f t="shared" si="68"/>
        <v>0.50635125184441798</v>
      </c>
      <c r="X473" s="17" t="str">
        <f t="shared" si="69"/>
        <v>Aug-2023</v>
      </c>
      <c r="Z473" t="str">
        <f t="shared" si="70"/>
        <v>Europe. France. Lyon</v>
      </c>
      <c r="AA473" t="str">
        <f t="shared" si="71"/>
        <v>High</v>
      </c>
      <c r="AB473" t="str">
        <f t="array" ref="AB473">TEXT(MIN(IF($E$2:$E$633=E473, $B$2:$B$633)), "YYYY-MM")</f>
        <v>2023-01</v>
      </c>
      <c r="AC473" s="13">
        <f>SUM($T$2:T473)</f>
        <v>8181317.872620007</v>
      </c>
    </row>
    <row r="474" spans="1:29" x14ac:dyDescent="0.45">
      <c r="A474" t="s">
        <v>486</v>
      </c>
      <c r="B474" s="2">
        <v>45841</v>
      </c>
      <c r="C474" s="2">
        <v>45861</v>
      </c>
      <c r="D474" t="s">
        <v>647</v>
      </c>
      <c r="E474" t="s">
        <v>659</v>
      </c>
      <c r="F474" t="s">
        <v>699</v>
      </c>
      <c r="G474" t="s">
        <v>705</v>
      </c>
      <c r="H474" s="9" t="s">
        <v>708</v>
      </c>
      <c r="I474" s="9" t="s">
        <v>724</v>
      </c>
      <c r="J474" s="9" t="s">
        <v>727</v>
      </c>
      <c r="K474" t="s">
        <v>1205</v>
      </c>
      <c r="L474" s="7">
        <v>647.36</v>
      </c>
      <c r="M474" s="7">
        <v>1383.6</v>
      </c>
      <c r="N474" s="5">
        <v>7.3999999999999996E-2</v>
      </c>
      <c r="O474">
        <v>12</v>
      </c>
      <c r="P474" s="2">
        <f t="shared" si="63"/>
        <v>45861</v>
      </c>
      <c r="Q474" t="str">
        <f t="shared" si="64"/>
        <v>Ok</v>
      </c>
      <c r="R474">
        <f>ABS(Table2[[#This Row],[UnitPrice]])</f>
        <v>1383.6</v>
      </c>
      <c r="S474">
        <f t="shared" si="65"/>
        <v>20</v>
      </c>
      <c r="T474" s="12">
        <f t="shared" si="66"/>
        <v>15374.563199999999</v>
      </c>
      <c r="U474">
        <f>Table2[[#This Row],[UnitCost]]*Table2[[#This Row],[Quantity]]</f>
        <v>7768.32</v>
      </c>
      <c r="V474" s="13">
        <f t="shared" si="67"/>
        <v>7606.243199999999</v>
      </c>
      <c r="W474" s="5">
        <f t="shared" si="68"/>
        <v>0.49472906000997802</v>
      </c>
      <c r="X474" s="17" t="str">
        <f t="shared" si="69"/>
        <v>Jul-2025</v>
      </c>
      <c r="Z474" t="str">
        <f t="shared" si="70"/>
        <v>Asia. China. Beijing</v>
      </c>
      <c r="AA474" t="str">
        <f t="shared" si="71"/>
        <v>High</v>
      </c>
      <c r="AB474" t="str">
        <f t="array" ref="AB474">TEXT(MIN(IF($E$2:$E$633=E474, $B$2:$B$633)), "YYYY-MM")</f>
        <v>2023-01</v>
      </c>
      <c r="AC474" s="13">
        <f>SUM($T$2:T474)</f>
        <v>8196692.4358200068</v>
      </c>
    </row>
    <row r="475" spans="1:29" x14ac:dyDescent="0.45">
      <c r="A475" t="s">
        <v>487</v>
      </c>
      <c r="B475" s="2">
        <v>45328</v>
      </c>
      <c r="C475" s="2">
        <v>45350</v>
      </c>
      <c r="D475" t="s">
        <v>646</v>
      </c>
      <c r="E475" t="s">
        <v>650</v>
      </c>
      <c r="F475" t="s">
        <v>662</v>
      </c>
      <c r="G475" t="s">
        <v>703</v>
      </c>
      <c r="H475" s="9" t="s">
        <v>708</v>
      </c>
      <c r="I475" s="9" t="s">
        <v>723</v>
      </c>
      <c r="J475" s="9" t="s">
        <v>732</v>
      </c>
      <c r="K475" t="s">
        <v>1206</v>
      </c>
      <c r="L475" s="7">
        <v>834.93</v>
      </c>
      <c r="M475" s="7">
        <v>1588.53</v>
      </c>
      <c r="N475" s="5">
        <v>0.126</v>
      </c>
      <c r="O475">
        <v>6</v>
      </c>
      <c r="P475" s="2">
        <f t="shared" si="63"/>
        <v>45350</v>
      </c>
      <c r="Q475" t="str">
        <f t="shared" si="64"/>
        <v>Ok</v>
      </c>
      <c r="R475">
        <f>ABS(Table2[[#This Row],[UnitPrice]])</f>
        <v>1588.53</v>
      </c>
      <c r="S475">
        <f t="shared" si="65"/>
        <v>22</v>
      </c>
      <c r="T475" s="12">
        <f t="shared" si="66"/>
        <v>8330.2513199999994</v>
      </c>
      <c r="U475">
        <f>Table2[[#This Row],[UnitCost]]*Table2[[#This Row],[Quantity]]</f>
        <v>5009.58</v>
      </c>
      <c r="V475" s="13">
        <f t="shared" si="67"/>
        <v>3320.6713199999995</v>
      </c>
      <c r="W475" s="5">
        <f t="shared" si="68"/>
        <v>0.39862798761274343</v>
      </c>
      <c r="X475" s="17" t="str">
        <f t="shared" si="69"/>
        <v>Feb-2024</v>
      </c>
      <c r="Z475" t="str">
        <f t="shared" si="70"/>
        <v>Africa. Kenya. Kisumu</v>
      </c>
      <c r="AA475" t="str">
        <f t="shared" si="71"/>
        <v>High</v>
      </c>
      <c r="AB475" t="str">
        <f t="array" ref="AB475">TEXT(MIN(IF($E$2:$E$633=E475, $B$2:$B$633)), "YYYY-MM")</f>
        <v>2023-01</v>
      </c>
      <c r="AC475" s="13">
        <f>SUM($T$2:T475)</f>
        <v>8205022.6871400066</v>
      </c>
    </row>
    <row r="476" spans="1:29" x14ac:dyDescent="0.45">
      <c r="A476" t="s">
        <v>488</v>
      </c>
      <c r="B476" s="2">
        <v>45882</v>
      </c>
      <c r="C476" s="2">
        <v>45903</v>
      </c>
      <c r="D476" t="s">
        <v>649</v>
      </c>
      <c r="E476" t="s">
        <v>657</v>
      </c>
      <c r="F476" t="s">
        <v>690</v>
      </c>
      <c r="G476" t="s">
        <v>702</v>
      </c>
      <c r="H476" s="9" t="s">
        <v>707</v>
      </c>
      <c r="I476" s="9" t="s">
        <v>714</v>
      </c>
      <c r="J476" s="9" t="s">
        <v>730</v>
      </c>
      <c r="K476" t="s">
        <v>1207</v>
      </c>
      <c r="L476" s="7">
        <v>603.47</v>
      </c>
      <c r="M476" s="7">
        <v>1344.05</v>
      </c>
      <c r="N476" s="5">
        <v>0.20499999999999999</v>
      </c>
      <c r="O476">
        <v>18</v>
      </c>
      <c r="P476" s="2">
        <f t="shared" si="63"/>
        <v>45903</v>
      </c>
      <c r="Q476" t="str">
        <f t="shared" si="64"/>
        <v>Ok</v>
      </c>
      <c r="R476">
        <f>ABS(Table2[[#This Row],[UnitPrice]])</f>
        <v>1344.05</v>
      </c>
      <c r="S476">
        <f t="shared" si="65"/>
        <v>21</v>
      </c>
      <c r="T476" s="12">
        <f t="shared" si="66"/>
        <v>19233.355499999998</v>
      </c>
      <c r="U476">
        <f>Table2[[#This Row],[UnitCost]]*Table2[[#This Row],[Quantity]]</f>
        <v>10862.460000000001</v>
      </c>
      <c r="V476" s="13">
        <f t="shared" si="67"/>
        <v>8370.8954999999969</v>
      </c>
      <c r="W476" s="5">
        <f t="shared" si="68"/>
        <v>0.43522803392262976</v>
      </c>
      <c r="X476" s="17" t="str">
        <f t="shared" si="69"/>
        <v>Aug-2025</v>
      </c>
      <c r="Z476" t="str">
        <f t="shared" si="70"/>
        <v>Europe. France. Paris</v>
      </c>
      <c r="AA476" t="str">
        <f t="shared" si="71"/>
        <v>High</v>
      </c>
      <c r="AB476" t="str">
        <f t="array" ref="AB476">TEXT(MIN(IF($E$2:$E$633=E476, $B$2:$B$633)), "YYYY-MM")</f>
        <v>2023-01</v>
      </c>
      <c r="AC476" s="13">
        <f>SUM($T$2:T476)</f>
        <v>8224256.0426400062</v>
      </c>
    </row>
    <row r="477" spans="1:29" x14ac:dyDescent="0.45">
      <c r="A477" t="s">
        <v>489</v>
      </c>
      <c r="B477" s="2">
        <v>45069</v>
      </c>
      <c r="C477" s="2">
        <v>45071</v>
      </c>
      <c r="D477" t="s">
        <v>648</v>
      </c>
      <c r="E477" t="s">
        <v>655</v>
      </c>
      <c r="F477" t="s">
        <v>692</v>
      </c>
      <c r="G477" t="s">
        <v>706</v>
      </c>
      <c r="H477" s="9" t="s">
        <v>707</v>
      </c>
      <c r="I477" s="9" t="s">
        <v>724</v>
      </c>
      <c r="J477" s="9" t="s">
        <v>728</v>
      </c>
      <c r="K477" t="s">
        <v>1208</v>
      </c>
      <c r="L477" s="7">
        <v>690.49</v>
      </c>
      <c r="M477" s="7">
        <v>1290.29</v>
      </c>
      <c r="N477" s="5">
        <v>4.2000000000000003E-2</v>
      </c>
      <c r="O477">
        <v>22</v>
      </c>
      <c r="P477" s="2">
        <f t="shared" si="63"/>
        <v>45071</v>
      </c>
      <c r="Q477" t="str">
        <f t="shared" si="64"/>
        <v>Ok</v>
      </c>
      <c r="R477">
        <f>ABS(Table2[[#This Row],[UnitPrice]])</f>
        <v>1290.29</v>
      </c>
      <c r="S477">
        <f t="shared" si="65"/>
        <v>2</v>
      </c>
      <c r="T477" s="12">
        <f t="shared" si="66"/>
        <v>27194.152039999997</v>
      </c>
      <c r="U477">
        <f>Table2[[#This Row],[UnitCost]]*Table2[[#This Row],[Quantity]]</f>
        <v>15190.78</v>
      </c>
      <c r="V477" s="13">
        <f t="shared" si="67"/>
        <v>12003.372039999997</v>
      </c>
      <c r="W477" s="5">
        <f t="shared" si="68"/>
        <v>0.44139534199647718</v>
      </c>
      <c r="X477" s="17" t="str">
        <f t="shared" si="69"/>
        <v>May-2023</v>
      </c>
      <c r="Z477" t="str">
        <f t="shared" si="70"/>
        <v>Americas. Brazil. Rio de Janeiro</v>
      </c>
      <c r="AA477" t="str">
        <f t="shared" si="71"/>
        <v>High</v>
      </c>
      <c r="AB477" t="str">
        <f t="array" ref="AB477">TEXT(MIN(IF($E$2:$E$633=E477, $B$2:$B$633)), "YYYY-MM")</f>
        <v>2023-01</v>
      </c>
      <c r="AC477" s="13">
        <f>SUM($T$2:T477)</f>
        <v>8251450.1946800062</v>
      </c>
    </row>
    <row r="478" spans="1:29" x14ac:dyDescent="0.45">
      <c r="A478" t="s">
        <v>490</v>
      </c>
      <c r="B478" s="2">
        <v>45422</v>
      </c>
      <c r="C478" s="2">
        <v>45428</v>
      </c>
      <c r="D478" t="s">
        <v>649</v>
      </c>
      <c r="E478" t="s">
        <v>658</v>
      </c>
      <c r="F478" t="s">
        <v>674</v>
      </c>
      <c r="G478" t="s">
        <v>703</v>
      </c>
      <c r="H478" s="9" t="s">
        <v>711</v>
      </c>
      <c r="I478" s="9" t="s">
        <v>715</v>
      </c>
      <c r="J478" s="9" t="s">
        <v>731</v>
      </c>
      <c r="K478" t="s">
        <v>1209</v>
      </c>
      <c r="L478" s="7">
        <v>210.76</v>
      </c>
      <c r="M478" s="7">
        <v>221.58</v>
      </c>
      <c r="N478" s="5">
        <v>8.8999999999999996E-2</v>
      </c>
      <c r="O478">
        <v>5</v>
      </c>
      <c r="P478" s="2">
        <f t="shared" si="63"/>
        <v>45428</v>
      </c>
      <c r="Q478" t="str">
        <f t="shared" si="64"/>
        <v>Ok</v>
      </c>
      <c r="R478">
        <f>ABS(Table2[[#This Row],[UnitPrice]])</f>
        <v>221.58</v>
      </c>
      <c r="S478">
        <f t="shared" si="65"/>
        <v>6</v>
      </c>
      <c r="T478" s="12">
        <f t="shared" si="66"/>
        <v>1009.2969000000002</v>
      </c>
      <c r="U478">
        <f>Table2[[#This Row],[UnitCost]]*Table2[[#This Row],[Quantity]]</f>
        <v>1053.8</v>
      </c>
      <c r="V478" s="13">
        <f t="shared" si="67"/>
        <v>-44.50309999999979</v>
      </c>
      <c r="W478" s="5">
        <f t="shared" si="68"/>
        <v>-4.4093170205912434E-2</v>
      </c>
      <c r="X478" s="17" t="str">
        <f t="shared" si="69"/>
        <v>May-2024</v>
      </c>
      <c r="Z478" t="str">
        <f t="shared" si="70"/>
        <v>Europe. United Kingdom. Birmingham</v>
      </c>
      <c r="AA478" t="str">
        <f t="shared" si="71"/>
        <v>Low</v>
      </c>
      <c r="AB478" t="str">
        <f t="array" ref="AB478">TEXT(MIN(IF($E$2:$E$633=E478, $B$2:$B$633)), "YYYY-MM")</f>
        <v>2023-01</v>
      </c>
      <c r="AC478" s="13">
        <f>SUM($T$2:T478)</f>
        <v>8252459.4915800067</v>
      </c>
    </row>
    <row r="479" spans="1:29" x14ac:dyDescent="0.45">
      <c r="A479" t="s">
        <v>491</v>
      </c>
      <c r="B479" s="2">
        <v>44999</v>
      </c>
      <c r="C479" s="2">
        <v>45003</v>
      </c>
      <c r="D479" t="s">
        <v>649</v>
      </c>
      <c r="E479" t="s">
        <v>656</v>
      </c>
      <c r="F479" t="s">
        <v>698</v>
      </c>
      <c r="G479" t="s">
        <v>706</v>
      </c>
      <c r="H479" s="9" t="s">
        <v>711</v>
      </c>
      <c r="I479" s="9" t="s">
        <v>720</v>
      </c>
      <c r="J479" s="9" t="s">
        <v>727</v>
      </c>
      <c r="K479" t="s">
        <v>1210</v>
      </c>
      <c r="L479" s="7">
        <v>472.33</v>
      </c>
      <c r="M479" s="7">
        <v>360.34</v>
      </c>
      <c r="N479" s="5">
        <v>0.16500000000000001</v>
      </c>
      <c r="O479">
        <v>14</v>
      </c>
      <c r="P479" s="2">
        <f t="shared" si="63"/>
        <v>45003</v>
      </c>
      <c r="Q479" t="str">
        <f t="shared" si="64"/>
        <v>Ok</v>
      </c>
      <c r="R479">
        <f>ABS(Table2[[#This Row],[UnitPrice]])</f>
        <v>360.34</v>
      </c>
      <c r="S479">
        <f t="shared" si="65"/>
        <v>4</v>
      </c>
      <c r="T479" s="12">
        <f t="shared" si="66"/>
        <v>4212.3745999999992</v>
      </c>
      <c r="U479">
        <f>Table2[[#This Row],[UnitCost]]*Table2[[#This Row],[Quantity]]</f>
        <v>6612.62</v>
      </c>
      <c r="V479" s="13">
        <f t="shared" si="67"/>
        <v>-2400.2454000000007</v>
      </c>
      <c r="W479" s="5">
        <f t="shared" si="68"/>
        <v>-0.56980815523861561</v>
      </c>
      <c r="X479" s="17" t="str">
        <f t="shared" si="69"/>
        <v>Mar-2023</v>
      </c>
      <c r="Z479" t="str">
        <f t="shared" si="70"/>
        <v>Europe. Germany. Frankfurt</v>
      </c>
      <c r="AA479" t="str">
        <f t="shared" si="71"/>
        <v>Low</v>
      </c>
      <c r="AB479" t="str">
        <f t="array" ref="AB479">TEXT(MIN(IF($E$2:$E$633=E479, $B$2:$B$633)), "YYYY-MM")</f>
        <v>2023-01</v>
      </c>
      <c r="AC479" s="13">
        <f>SUM($T$2:T479)</f>
        <v>8256671.8661800064</v>
      </c>
    </row>
    <row r="480" spans="1:29" x14ac:dyDescent="0.45">
      <c r="A480" t="s">
        <v>492</v>
      </c>
      <c r="B480" s="2">
        <v>45123</v>
      </c>
      <c r="C480" s="2">
        <v>45151</v>
      </c>
      <c r="D480" t="s">
        <v>649</v>
      </c>
      <c r="E480" t="s">
        <v>658</v>
      </c>
      <c r="F480" t="s">
        <v>693</v>
      </c>
      <c r="G480" t="s">
        <v>703</v>
      </c>
      <c r="H480" s="9" t="s">
        <v>708</v>
      </c>
      <c r="I480" s="9" t="s">
        <v>713</v>
      </c>
      <c r="J480" s="9" t="s">
        <v>731</v>
      </c>
      <c r="K480" t="s">
        <v>1211</v>
      </c>
      <c r="L480" s="7">
        <v>1039.03</v>
      </c>
      <c r="M480" s="7">
        <v>2545.81</v>
      </c>
      <c r="N480" s="5">
        <v>0.216</v>
      </c>
      <c r="O480">
        <v>21</v>
      </c>
      <c r="P480" s="2">
        <f t="shared" si="63"/>
        <v>45151</v>
      </c>
      <c r="Q480" t="str">
        <f t="shared" si="64"/>
        <v>Ok</v>
      </c>
      <c r="R480">
        <f>ABS(Table2[[#This Row],[UnitPrice]])</f>
        <v>2545.81</v>
      </c>
      <c r="S480">
        <f t="shared" si="65"/>
        <v>28</v>
      </c>
      <c r="T480" s="12">
        <f t="shared" si="66"/>
        <v>41914.215840000004</v>
      </c>
      <c r="U480">
        <f>Table2[[#This Row],[UnitCost]]*Table2[[#This Row],[Quantity]]</f>
        <v>21819.63</v>
      </c>
      <c r="V480" s="13">
        <f t="shared" si="67"/>
        <v>20094.585840000003</v>
      </c>
      <c r="W480" s="5">
        <f t="shared" si="68"/>
        <v>0.47942172929364774</v>
      </c>
      <c r="X480" s="17" t="str">
        <f t="shared" si="69"/>
        <v>Jul-2023</v>
      </c>
      <c r="Z480" t="str">
        <f t="shared" si="70"/>
        <v>Europe. United Kingdom. Manchester</v>
      </c>
      <c r="AA480" t="str">
        <f t="shared" si="71"/>
        <v>High</v>
      </c>
      <c r="AB480" t="str">
        <f t="array" ref="AB480">TEXT(MIN(IF($E$2:$E$633=E480, $B$2:$B$633)), "YYYY-MM")</f>
        <v>2023-01</v>
      </c>
      <c r="AC480" s="13">
        <f>SUM($T$2:T480)</f>
        <v>8298586.0820200061</v>
      </c>
    </row>
    <row r="481" spans="1:29" x14ac:dyDescent="0.45">
      <c r="A481" t="s">
        <v>493</v>
      </c>
      <c r="B481" s="2">
        <v>45032</v>
      </c>
      <c r="C481" s="2">
        <v>45035</v>
      </c>
      <c r="D481" t="s">
        <v>649</v>
      </c>
      <c r="E481" t="s">
        <v>656</v>
      </c>
      <c r="F481" t="s">
        <v>684</v>
      </c>
      <c r="G481" t="s">
        <v>701</v>
      </c>
      <c r="H481" s="9" t="s">
        <v>711</v>
      </c>
      <c r="I481" s="9" t="s">
        <v>717</v>
      </c>
      <c r="J481" s="9" t="s">
        <v>733</v>
      </c>
      <c r="K481" t="s">
        <v>1212</v>
      </c>
      <c r="L481" s="7">
        <v>553.61</v>
      </c>
      <c r="M481" s="7">
        <v>699.47</v>
      </c>
      <c r="N481" s="5">
        <v>0.02</v>
      </c>
      <c r="O481">
        <v>33</v>
      </c>
      <c r="P481" s="2">
        <f t="shared" si="63"/>
        <v>45035</v>
      </c>
      <c r="Q481" t="str">
        <f t="shared" si="64"/>
        <v>Ok</v>
      </c>
      <c r="R481">
        <f>ABS(Table2[[#This Row],[UnitPrice]])</f>
        <v>699.47</v>
      </c>
      <c r="S481">
        <f t="shared" si="65"/>
        <v>3</v>
      </c>
      <c r="T481" s="12">
        <f t="shared" si="66"/>
        <v>22620.859800000002</v>
      </c>
      <c r="U481">
        <f>Table2[[#This Row],[UnitCost]]*Table2[[#This Row],[Quantity]]</f>
        <v>18269.13</v>
      </c>
      <c r="V481" s="13">
        <f t="shared" si="67"/>
        <v>4351.729800000001</v>
      </c>
      <c r="W481" s="5">
        <f t="shared" si="68"/>
        <v>0.19237685209472014</v>
      </c>
      <c r="X481" s="17" t="str">
        <f t="shared" si="69"/>
        <v>Apr-2023</v>
      </c>
      <c r="Z481" t="str">
        <f t="shared" si="70"/>
        <v>Europe. Germany. Munich</v>
      </c>
      <c r="AA481" t="str">
        <f t="shared" si="71"/>
        <v>Low</v>
      </c>
      <c r="AB481" t="str">
        <f t="array" ref="AB481">TEXT(MIN(IF($E$2:$E$633=E481, $B$2:$B$633)), "YYYY-MM")</f>
        <v>2023-01</v>
      </c>
      <c r="AC481" s="13">
        <f>SUM($T$2:T481)</f>
        <v>8321206.9418200059</v>
      </c>
    </row>
    <row r="482" spans="1:29" x14ac:dyDescent="0.45">
      <c r="A482" t="s">
        <v>494</v>
      </c>
      <c r="B482" s="2">
        <v>45293</v>
      </c>
      <c r="C482" s="2">
        <v>45306</v>
      </c>
      <c r="D482" t="s">
        <v>647</v>
      </c>
      <c r="E482" t="s">
        <v>652</v>
      </c>
      <c r="F482" t="s">
        <v>694</v>
      </c>
      <c r="G482" t="s">
        <v>705</v>
      </c>
      <c r="H482" s="9" t="s">
        <v>709</v>
      </c>
      <c r="I482" s="9" t="s">
        <v>715</v>
      </c>
      <c r="J482" s="9" t="s">
        <v>729</v>
      </c>
      <c r="K482" t="s">
        <v>1213</v>
      </c>
      <c r="L482" s="7">
        <v>1219.06</v>
      </c>
      <c r="M482" s="7">
        <v>2738.69</v>
      </c>
      <c r="N482" s="5">
        <v>7.5999999999999998E-2</v>
      </c>
      <c r="O482">
        <v>16</v>
      </c>
      <c r="P482" s="2">
        <f t="shared" si="63"/>
        <v>45306</v>
      </c>
      <c r="Q482" t="str">
        <f t="shared" si="64"/>
        <v>Ok</v>
      </c>
      <c r="R482">
        <f>ABS(Table2[[#This Row],[UnitPrice]])</f>
        <v>2738.69</v>
      </c>
      <c r="S482">
        <f t="shared" si="65"/>
        <v>13</v>
      </c>
      <c r="T482" s="12">
        <f t="shared" si="66"/>
        <v>40488.792960000006</v>
      </c>
      <c r="U482">
        <f>Table2[[#This Row],[UnitCost]]*Table2[[#This Row],[Quantity]]</f>
        <v>19504.96</v>
      </c>
      <c r="V482" s="13">
        <f t="shared" si="67"/>
        <v>20983.832960000007</v>
      </c>
      <c r="W482" s="5">
        <f t="shared" si="68"/>
        <v>0.51826274447673737</v>
      </c>
      <c r="X482" s="17" t="str">
        <f t="shared" si="69"/>
        <v>Jan-2024</v>
      </c>
      <c r="Z482" t="str">
        <f t="shared" si="70"/>
        <v>Asia. Japan. Nagoya</v>
      </c>
      <c r="AA482" t="str">
        <f t="shared" si="71"/>
        <v>High</v>
      </c>
      <c r="AB482" t="str">
        <f t="array" ref="AB482">TEXT(MIN(IF($E$2:$E$633=E482, $B$2:$B$633)), "YYYY-MM")</f>
        <v>2023-03</v>
      </c>
      <c r="AC482" s="13">
        <f>SUM($T$2:T482)</f>
        <v>8361695.7347800061</v>
      </c>
    </row>
    <row r="483" spans="1:29" x14ac:dyDescent="0.45">
      <c r="A483" t="s">
        <v>495</v>
      </c>
      <c r="B483" s="2">
        <v>45538</v>
      </c>
      <c r="C483" s="2">
        <v>45542</v>
      </c>
      <c r="D483" t="s">
        <v>647</v>
      </c>
      <c r="E483" t="s">
        <v>652</v>
      </c>
      <c r="F483" t="s">
        <v>689</v>
      </c>
      <c r="G483" t="s">
        <v>705</v>
      </c>
      <c r="H483" s="9" t="s">
        <v>710</v>
      </c>
      <c r="I483" s="9" t="s">
        <v>725</v>
      </c>
      <c r="J483" s="9" t="s">
        <v>728</v>
      </c>
      <c r="K483" t="s">
        <v>1214</v>
      </c>
      <c r="L483" s="7">
        <v>43.23</v>
      </c>
      <c r="M483" s="7">
        <v>94.78</v>
      </c>
      <c r="N483" s="5">
        <v>9.0999999999999998E-2</v>
      </c>
      <c r="O483">
        <v>55</v>
      </c>
      <c r="P483" s="2">
        <f t="shared" si="63"/>
        <v>45542</v>
      </c>
      <c r="Q483" t="str">
        <f t="shared" si="64"/>
        <v>Ok</v>
      </c>
      <c r="R483">
        <f>ABS(Table2[[#This Row],[UnitPrice]])</f>
        <v>94.78</v>
      </c>
      <c r="S483">
        <f t="shared" si="65"/>
        <v>4</v>
      </c>
      <c r="T483" s="12">
        <f t="shared" si="66"/>
        <v>4738.5261</v>
      </c>
      <c r="U483">
        <f>Table2[[#This Row],[UnitCost]]*Table2[[#This Row],[Quantity]]</f>
        <v>2377.6499999999996</v>
      </c>
      <c r="V483" s="13">
        <f t="shared" si="67"/>
        <v>2360.8761000000004</v>
      </c>
      <c r="W483" s="5">
        <f t="shared" si="68"/>
        <v>0.49823005090127082</v>
      </c>
      <c r="X483" s="17" t="str">
        <f t="shared" si="69"/>
        <v>Sep-2024</v>
      </c>
      <c r="Z483" t="str">
        <f t="shared" si="70"/>
        <v>Asia. Japan. Tokyo</v>
      </c>
      <c r="AA483" t="str">
        <f t="shared" si="71"/>
        <v>Low</v>
      </c>
      <c r="AB483" t="str">
        <f t="array" ref="AB483">TEXT(MIN(IF($E$2:$E$633=E483, $B$2:$B$633)), "YYYY-MM")</f>
        <v>2023-03</v>
      </c>
      <c r="AC483" s="13">
        <f>SUM($T$2:T483)</f>
        <v>8366434.2608800065</v>
      </c>
    </row>
    <row r="484" spans="1:29" x14ac:dyDescent="0.45">
      <c r="A484" t="s">
        <v>496</v>
      </c>
      <c r="B484" s="2">
        <v>45899</v>
      </c>
      <c r="C484" s="2">
        <v>45903</v>
      </c>
      <c r="D484" t="s">
        <v>649</v>
      </c>
      <c r="E484" t="s">
        <v>657</v>
      </c>
      <c r="F484" t="s">
        <v>673</v>
      </c>
      <c r="G484" t="s">
        <v>705</v>
      </c>
      <c r="H484" s="9" t="s">
        <v>709</v>
      </c>
      <c r="I484" s="9" t="s">
        <v>713</v>
      </c>
      <c r="J484" s="9" t="s">
        <v>731</v>
      </c>
      <c r="K484" t="s">
        <v>1215</v>
      </c>
      <c r="L484" s="7">
        <v>1286.56</v>
      </c>
      <c r="M484" s="7">
        <v>2777.35</v>
      </c>
      <c r="N484" s="5">
        <v>0.13200000000000001</v>
      </c>
      <c r="O484">
        <v>15</v>
      </c>
      <c r="P484" s="2">
        <f t="shared" si="63"/>
        <v>45903</v>
      </c>
      <c r="Q484" t="str">
        <f t="shared" si="64"/>
        <v>Ok</v>
      </c>
      <c r="R484">
        <f>ABS(Table2[[#This Row],[UnitPrice]])</f>
        <v>2777.35</v>
      </c>
      <c r="S484">
        <f t="shared" si="65"/>
        <v>4</v>
      </c>
      <c r="T484" s="12">
        <f t="shared" si="66"/>
        <v>36161.097000000002</v>
      </c>
      <c r="U484">
        <f>Table2[[#This Row],[UnitCost]]*Table2[[#This Row],[Quantity]]</f>
        <v>19298.399999999998</v>
      </c>
      <c r="V484" s="13">
        <f t="shared" si="67"/>
        <v>16862.697000000004</v>
      </c>
      <c r="W484" s="5">
        <f t="shared" si="68"/>
        <v>0.46632150014696744</v>
      </c>
      <c r="X484" s="17" t="str">
        <f t="shared" si="69"/>
        <v>Aug-2025</v>
      </c>
      <c r="Z484" t="str">
        <f t="shared" si="70"/>
        <v>Europe. France. Marseille</v>
      </c>
      <c r="AA484" t="str">
        <f t="shared" si="71"/>
        <v>High</v>
      </c>
      <c r="AB484" t="str">
        <f t="array" ref="AB484">TEXT(MIN(IF($E$2:$E$633=E484, $B$2:$B$633)), "YYYY-MM")</f>
        <v>2023-01</v>
      </c>
      <c r="AC484" s="13">
        <f>SUM($T$2:T484)</f>
        <v>8402595.3578800056</v>
      </c>
    </row>
    <row r="485" spans="1:29" x14ac:dyDescent="0.45">
      <c r="A485" t="s">
        <v>497</v>
      </c>
      <c r="B485" s="2">
        <v>45775</v>
      </c>
      <c r="C485" s="2">
        <v>45796</v>
      </c>
      <c r="D485" t="s">
        <v>649</v>
      </c>
      <c r="E485" t="s">
        <v>656</v>
      </c>
      <c r="F485" t="s">
        <v>671</v>
      </c>
      <c r="G485" t="s">
        <v>701</v>
      </c>
      <c r="H485" s="9" t="s">
        <v>710</v>
      </c>
      <c r="I485" s="9" t="s">
        <v>717</v>
      </c>
      <c r="J485" s="9" t="s">
        <v>730</v>
      </c>
      <c r="K485" t="s">
        <v>1216</v>
      </c>
      <c r="L485" s="7">
        <v>350.76</v>
      </c>
      <c r="M485" s="7">
        <v>492.18</v>
      </c>
      <c r="N485" s="5">
        <v>5.2999999999999999E-2</v>
      </c>
      <c r="O485">
        <v>11</v>
      </c>
      <c r="P485" s="2">
        <f t="shared" si="63"/>
        <v>45796</v>
      </c>
      <c r="Q485" t="str">
        <f t="shared" si="64"/>
        <v>Ok</v>
      </c>
      <c r="R485">
        <f>ABS(Table2[[#This Row],[UnitPrice]])</f>
        <v>492.18</v>
      </c>
      <c r="S485">
        <f t="shared" si="65"/>
        <v>21</v>
      </c>
      <c r="T485" s="12">
        <f t="shared" si="66"/>
        <v>5127.0390600000001</v>
      </c>
      <c r="U485">
        <f>Table2[[#This Row],[UnitCost]]*Table2[[#This Row],[Quantity]]</f>
        <v>3858.3599999999997</v>
      </c>
      <c r="V485" s="13">
        <f t="shared" si="67"/>
        <v>1268.6790600000004</v>
      </c>
      <c r="W485" s="5">
        <f t="shared" si="68"/>
        <v>0.24744868239798437</v>
      </c>
      <c r="X485" s="17" t="str">
        <f t="shared" si="69"/>
        <v>Apr-2025</v>
      </c>
      <c r="Z485" t="str">
        <f t="shared" si="70"/>
        <v>Europe. Germany. Berlin</v>
      </c>
      <c r="AA485" t="str">
        <f t="shared" si="71"/>
        <v>Low</v>
      </c>
      <c r="AB485" t="str">
        <f t="array" ref="AB485">TEXT(MIN(IF($E$2:$E$633=E485, $B$2:$B$633)), "YYYY-MM")</f>
        <v>2023-01</v>
      </c>
      <c r="AC485" s="13">
        <f>SUM($T$2:T485)</f>
        <v>8407722.3969400059</v>
      </c>
    </row>
    <row r="486" spans="1:29" x14ac:dyDescent="0.45">
      <c r="A486" t="s">
        <v>498</v>
      </c>
      <c r="B486" s="2">
        <v>45148</v>
      </c>
      <c r="C486" s="2">
        <v>45153</v>
      </c>
      <c r="D486" t="s">
        <v>648</v>
      </c>
      <c r="E486" t="s">
        <v>655</v>
      </c>
      <c r="F486" t="s">
        <v>670</v>
      </c>
      <c r="G486" t="s">
        <v>702</v>
      </c>
      <c r="H486" s="9" t="s">
        <v>711</v>
      </c>
      <c r="I486" s="9" t="s">
        <v>715</v>
      </c>
      <c r="J486" s="9" t="s">
        <v>729</v>
      </c>
      <c r="K486" t="s">
        <v>1217</v>
      </c>
      <c r="L486" s="7">
        <v>1307.52</v>
      </c>
      <c r="M486" s="7">
        <v>1921.65</v>
      </c>
      <c r="N486" s="5">
        <v>0.123</v>
      </c>
      <c r="O486">
        <v>13</v>
      </c>
      <c r="P486" s="2">
        <f t="shared" si="63"/>
        <v>45153</v>
      </c>
      <c r="Q486" t="str">
        <f t="shared" si="64"/>
        <v>Ok</v>
      </c>
      <c r="R486">
        <f>ABS(Table2[[#This Row],[UnitPrice]])</f>
        <v>1921.65</v>
      </c>
      <c r="S486">
        <f t="shared" si="65"/>
        <v>5</v>
      </c>
      <c r="T486" s="12">
        <f t="shared" si="66"/>
        <v>21908.731650000002</v>
      </c>
      <c r="U486">
        <f>Table2[[#This Row],[UnitCost]]*Table2[[#This Row],[Quantity]]</f>
        <v>16997.759999999998</v>
      </c>
      <c r="V486" s="13">
        <f t="shared" si="67"/>
        <v>4910.9716500000031</v>
      </c>
      <c r="W486" s="5">
        <f t="shared" si="68"/>
        <v>0.22415590863289445</v>
      </c>
      <c r="X486" s="17" t="str">
        <f t="shared" si="69"/>
        <v>Aug-2023</v>
      </c>
      <c r="Z486" t="str">
        <f t="shared" si="70"/>
        <v>Americas. Brazil. São Paulo</v>
      </c>
      <c r="AA486" t="str">
        <f t="shared" si="71"/>
        <v>High</v>
      </c>
      <c r="AB486" t="str">
        <f t="array" ref="AB486">TEXT(MIN(IF($E$2:$E$633=E486, $B$2:$B$633)), "YYYY-MM")</f>
        <v>2023-01</v>
      </c>
      <c r="AC486" s="13">
        <f>SUM($T$2:T486)</f>
        <v>8429631.1285900064</v>
      </c>
    </row>
    <row r="487" spans="1:29" x14ac:dyDescent="0.45">
      <c r="A487" t="s">
        <v>499</v>
      </c>
      <c r="B487" s="2">
        <v>45634</v>
      </c>
      <c r="C487" s="2">
        <v>45634</v>
      </c>
      <c r="D487" t="s">
        <v>649</v>
      </c>
      <c r="E487" t="s">
        <v>657</v>
      </c>
      <c r="F487" t="s">
        <v>679</v>
      </c>
      <c r="G487" t="s">
        <v>706</v>
      </c>
      <c r="H487" s="9" t="s">
        <v>707</v>
      </c>
      <c r="I487" s="9" t="s">
        <v>722</v>
      </c>
      <c r="J487" s="9" t="s">
        <v>727</v>
      </c>
      <c r="K487" t="s">
        <v>1218</v>
      </c>
      <c r="L487" s="7">
        <v>257.44</v>
      </c>
      <c r="M487" s="7">
        <v>290.33</v>
      </c>
      <c r="N487" s="5">
        <v>9.1999999999999998E-2</v>
      </c>
      <c r="O487">
        <v>23</v>
      </c>
      <c r="P487" s="2">
        <f t="shared" si="63"/>
        <v>45634</v>
      </c>
      <c r="Q487" t="str">
        <f t="shared" si="64"/>
        <v>Ok</v>
      </c>
      <c r="R487">
        <f>ABS(Table2[[#This Row],[UnitPrice]])</f>
        <v>290.33</v>
      </c>
      <c r="S487">
        <f t="shared" si="65"/>
        <v>0</v>
      </c>
      <c r="T487" s="12">
        <f t="shared" si="66"/>
        <v>6063.2517199999993</v>
      </c>
      <c r="U487">
        <f>Table2[[#This Row],[UnitCost]]*Table2[[#This Row],[Quantity]]</f>
        <v>5921.12</v>
      </c>
      <c r="V487" s="13">
        <f t="shared" si="67"/>
        <v>142.1317199999994</v>
      </c>
      <c r="W487" s="5">
        <f t="shared" si="68"/>
        <v>2.3441500792581216E-2</v>
      </c>
      <c r="X487" s="17" t="str">
        <f t="shared" si="69"/>
        <v>Dec-2024</v>
      </c>
      <c r="Z487" t="str">
        <f t="shared" si="70"/>
        <v>Europe. France. Lyon</v>
      </c>
      <c r="AA487" t="str">
        <f t="shared" si="71"/>
        <v>Low</v>
      </c>
      <c r="AB487" t="str">
        <f t="array" ref="AB487">TEXT(MIN(IF($E$2:$E$633=E487, $B$2:$B$633)), "YYYY-MM")</f>
        <v>2023-01</v>
      </c>
      <c r="AC487" s="13">
        <f>SUM($T$2:T487)</f>
        <v>8435694.3803100064</v>
      </c>
    </row>
    <row r="488" spans="1:29" x14ac:dyDescent="0.45">
      <c r="A488" t="s">
        <v>500</v>
      </c>
      <c r="B488" s="2">
        <v>45224</v>
      </c>
      <c r="C488" s="2">
        <v>45254</v>
      </c>
      <c r="D488" t="s">
        <v>649</v>
      </c>
      <c r="E488" t="s">
        <v>657</v>
      </c>
      <c r="F488" t="s">
        <v>690</v>
      </c>
      <c r="G488" t="s">
        <v>706</v>
      </c>
      <c r="H488" s="9" t="s">
        <v>710</v>
      </c>
      <c r="I488" s="9" t="s">
        <v>712</v>
      </c>
      <c r="J488" s="9" t="s">
        <v>730</v>
      </c>
      <c r="K488" t="s">
        <v>1219</v>
      </c>
      <c r="L488" s="7">
        <v>287.85000000000002</v>
      </c>
      <c r="M488" s="7">
        <v>602.91999999999996</v>
      </c>
      <c r="N488" s="5">
        <v>0.222</v>
      </c>
      <c r="O488">
        <v>11</v>
      </c>
      <c r="P488" s="2">
        <f t="shared" si="63"/>
        <v>45254</v>
      </c>
      <c r="Q488" t="str">
        <f t="shared" si="64"/>
        <v>Ok</v>
      </c>
      <c r="R488">
        <f>ABS(Table2[[#This Row],[UnitPrice]])</f>
        <v>602.91999999999996</v>
      </c>
      <c r="S488">
        <f t="shared" si="65"/>
        <v>30</v>
      </c>
      <c r="T488" s="12">
        <f t="shared" si="66"/>
        <v>5159.7893599999998</v>
      </c>
      <c r="U488">
        <f>Table2[[#This Row],[UnitCost]]*Table2[[#This Row],[Quantity]]</f>
        <v>3166.3500000000004</v>
      </c>
      <c r="V488" s="13">
        <f t="shared" si="67"/>
        <v>1993.4393599999994</v>
      </c>
      <c r="W488" s="5">
        <f t="shared" si="68"/>
        <v>0.38634122847216373</v>
      </c>
      <c r="X488" s="17" t="str">
        <f t="shared" si="69"/>
        <v>Oct-2023</v>
      </c>
      <c r="Z488" t="str">
        <f t="shared" si="70"/>
        <v>Europe. France. Paris</v>
      </c>
      <c r="AA488" t="str">
        <f t="shared" si="71"/>
        <v>Low</v>
      </c>
      <c r="AB488" t="str">
        <f t="array" ref="AB488">TEXT(MIN(IF($E$2:$E$633=E488, $B$2:$B$633)), "YYYY-MM")</f>
        <v>2023-01</v>
      </c>
      <c r="AC488" s="13">
        <f>SUM($T$2:T488)</f>
        <v>8440854.1696700063</v>
      </c>
    </row>
    <row r="489" spans="1:29" x14ac:dyDescent="0.45">
      <c r="A489" t="s">
        <v>501</v>
      </c>
      <c r="B489" s="2">
        <v>45613</v>
      </c>
      <c r="C489" s="2">
        <v>45624</v>
      </c>
      <c r="D489" t="s">
        <v>648</v>
      </c>
      <c r="E489" t="s">
        <v>653</v>
      </c>
      <c r="F489" t="s">
        <v>1422</v>
      </c>
      <c r="G489" t="s">
        <v>704</v>
      </c>
      <c r="H489" s="9" t="s">
        <v>710</v>
      </c>
      <c r="I489" s="9" t="s">
        <v>720</v>
      </c>
      <c r="J489" s="9" t="s">
        <v>728</v>
      </c>
      <c r="K489" t="s">
        <v>1220</v>
      </c>
      <c r="L489" s="7">
        <v>1008.16</v>
      </c>
      <c r="M489" s="7">
        <v>2077.5</v>
      </c>
      <c r="N489" s="5">
        <v>7.3999999999999996E-2</v>
      </c>
      <c r="O489">
        <v>15</v>
      </c>
      <c r="P489" s="2">
        <f t="shared" si="63"/>
        <v>45624</v>
      </c>
      <c r="Q489" t="str">
        <f t="shared" si="64"/>
        <v>Ok</v>
      </c>
      <c r="R489">
        <f>ABS(Table2[[#This Row],[UnitPrice]])</f>
        <v>2077.5</v>
      </c>
      <c r="S489">
        <f t="shared" si="65"/>
        <v>11</v>
      </c>
      <c r="T489" s="12">
        <f t="shared" si="66"/>
        <v>28856.475000000002</v>
      </c>
      <c r="U489">
        <f>Table2[[#This Row],[UnitCost]]*Table2[[#This Row],[Quantity]]</f>
        <v>15122.4</v>
      </c>
      <c r="V489" s="13">
        <f t="shared" si="67"/>
        <v>13734.075000000003</v>
      </c>
      <c r="W489" s="5">
        <f t="shared" si="68"/>
        <v>0.47594430712691005</v>
      </c>
      <c r="X489" s="17" t="str">
        <f t="shared" si="69"/>
        <v>Nov-2024</v>
      </c>
      <c r="Z489" t="str">
        <f t="shared" si="70"/>
        <v>Americas. Canada. Unknown</v>
      </c>
      <c r="AA489" t="str">
        <f t="shared" si="71"/>
        <v>High</v>
      </c>
      <c r="AB489" t="str">
        <f t="array" ref="AB489">TEXT(MIN(IF($E$2:$E$633=E489, $B$2:$B$633)), "YYYY-MM")</f>
        <v>2023-01</v>
      </c>
      <c r="AC489" s="13">
        <f>SUM($T$2:T489)</f>
        <v>8469710.6446700059</v>
      </c>
    </row>
    <row r="490" spans="1:29" x14ac:dyDescent="0.45">
      <c r="A490" t="s">
        <v>502</v>
      </c>
      <c r="B490" s="2">
        <v>45424</v>
      </c>
      <c r="C490" s="2">
        <v>45436</v>
      </c>
      <c r="D490" t="s">
        <v>649</v>
      </c>
      <c r="E490" t="s">
        <v>658</v>
      </c>
      <c r="F490" t="s">
        <v>693</v>
      </c>
      <c r="G490" t="s">
        <v>702</v>
      </c>
      <c r="H490" s="9" t="s">
        <v>709</v>
      </c>
      <c r="I490" s="9" t="s">
        <v>723</v>
      </c>
      <c r="J490" s="9" t="s">
        <v>728</v>
      </c>
      <c r="K490" t="s">
        <v>1221</v>
      </c>
      <c r="L490" s="7">
        <v>111.02</v>
      </c>
      <c r="M490" s="7">
        <v>172.88</v>
      </c>
      <c r="N490" s="5">
        <v>0.19700000000000001</v>
      </c>
      <c r="O490">
        <v>29</v>
      </c>
      <c r="P490" s="2">
        <f t="shared" si="63"/>
        <v>45436</v>
      </c>
      <c r="Q490" t="str">
        <f t="shared" si="64"/>
        <v>Ok</v>
      </c>
      <c r="R490">
        <f>ABS(Table2[[#This Row],[UnitPrice]])</f>
        <v>172.88</v>
      </c>
      <c r="S490">
        <f t="shared" si="65"/>
        <v>12</v>
      </c>
      <c r="T490" s="12">
        <f t="shared" si="66"/>
        <v>4025.8565599999993</v>
      </c>
      <c r="U490">
        <f>Table2[[#This Row],[UnitCost]]*Table2[[#This Row],[Quantity]]</f>
        <v>3219.58</v>
      </c>
      <c r="V490" s="13">
        <f t="shared" si="67"/>
        <v>806.27655999999934</v>
      </c>
      <c r="W490" s="5">
        <f t="shared" si="68"/>
        <v>0.20027453735212053</v>
      </c>
      <c r="X490" s="17" t="str">
        <f t="shared" si="69"/>
        <v>May-2024</v>
      </c>
      <c r="Z490" t="str">
        <f t="shared" si="70"/>
        <v>Europe. United Kingdom. Manchester</v>
      </c>
      <c r="AA490" t="str">
        <f t="shared" si="71"/>
        <v>Low</v>
      </c>
      <c r="AB490" t="str">
        <f t="array" ref="AB490">TEXT(MIN(IF($E$2:$E$633=E490, $B$2:$B$633)), "YYYY-MM")</f>
        <v>2023-01</v>
      </c>
      <c r="AC490" s="13">
        <f>SUM($T$2:T490)</f>
        <v>8473736.5012300052</v>
      </c>
    </row>
    <row r="491" spans="1:29" x14ac:dyDescent="0.45">
      <c r="A491" t="s">
        <v>503</v>
      </c>
      <c r="B491" s="2">
        <v>45792</v>
      </c>
      <c r="C491" s="2">
        <v>45813</v>
      </c>
      <c r="D491" t="s">
        <v>647</v>
      </c>
      <c r="E491" t="s">
        <v>652</v>
      </c>
      <c r="F491" t="s">
        <v>666</v>
      </c>
      <c r="G491" t="s">
        <v>706</v>
      </c>
      <c r="H491" s="9" t="s">
        <v>711</v>
      </c>
      <c r="I491" s="9" t="s">
        <v>722</v>
      </c>
      <c r="J491" s="9" t="s">
        <v>730</v>
      </c>
      <c r="K491" t="s">
        <v>1222</v>
      </c>
      <c r="L491" s="7">
        <v>1466.5</v>
      </c>
      <c r="M491" s="7">
        <v>2778.74</v>
      </c>
      <c r="N491" s="5">
        <v>0.13500000000000001</v>
      </c>
      <c r="O491">
        <v>4</v>
      </c>
      <c r="P491" s="2">
        <f t="shared" si="63"/>
        <v>45813</v>
      </c>
      <c r="Q491" t="str">
        <f t="shared" si="64"/>
        <v>Ok</v>
      </c>
      <c r="R491">
        <f>ABS(Table2[[#This Row],[UnitPrice]])</f>
        <v>2778.74</v>
      </c>
      <c r="S491">
        <f t="shared" si="65"/>
        <v>21</v>
      </c>
      <c r="T491" s="12">
        <f t="shared" si="66"/>
        <v>9614.4403999999995</v>
      </c>
      <c r="U491">
        <f>Table2[[#This Row],[UnitCost]]*Table2[[#This Row],[Quantity]]</f>
        <v>5866</v>
      </c>
      <c r="V491" s="13">
        <f t="shared" si="67"/>
        <v>3748.4403999999995</v>
      </c>
      <c r="W491" s="5">
        <f t="shared" si="68"/>
        <v>0.38987608680792279</v>
      </c>
      <c r="X491" s="17" t="str">
        <f t="shared" si="69"/>
        <v>May-2025</v>
      </c>
      <c r="Z491" t="str">
        <f t="shared" si="70"/>
        <v>Asia. Japan. Osaka</v>
      </c>
      <c r="AA491" t="str">
        <f t="shared" si="71"/>
        <v>High</v>
      </c>
      <c r="AB491" t="str">
        <f t="array" ref="AB491">TEXT(MIN(IF($E$2:$E$633=E491, $B$2:$B$633)), "YYYY-MM")</f>
        <v>2023-03</v>
      </c>
      <c r="AC491" s="13">
        <f>SUM($T$2:T491)</f>
        <v>8483350.9416300058</v>
      </c>
    </row>
    <row r="492" spans="1:29" x14ac:dyDescent="0.45">
      <c r="A492" t="s">
        <v>504</v>
      </c>
      <c r="B492" s="2">
        <v>45403</v>
      </c>
      <c r="C492" s="2">
        <v>45431</v>
      </c>
      <c r="D492" t="s">
        <v>646</v>
      </c>
      <c r="E492" t="s">
        <v>651</v>
      </c>
      <c r="F492" t="s">
        <v>665</v>
      </c>
      <c r="G492" t="s">
        <v>701</v>
      </c>
      <c r="H492" s="9" t="s">
        <v>710</v>
      </c>
      <c r="I492" s="9" t="s">
        <v>720</v>
      </c>
      <c r="J492" s="9" t="s">
        <v>733</v>
      </c>
      <c r="K492" t="s">
        <v>1223</v>
      </c>
      <c r="L492" s="7">
        <v>187.22</v>
      </c>
      <c r="M492" s="7">
        <v>309.47000000000003</v>
      </c>
      <c r="N492" s="5">
        <v>0</v>
      </c>
      <c r="O492">
        <v>5</v>
      </c>
      <c r="P492" s="2">
        <f t="shared" si="63"/>
        <v>45431</v>
      </c>
      <c r="Q492" t="str">
        <f t="shared" si="64"/>
        <v>Ok</v>
      </c>
      <c r="R492">
        <f>ABS(Table2[[#This Row],[UnitPrice]])</f>
        <v>309.47000000000003</v>
      </c>
      <c r="S492">
        <f t="shared" si="65"/>
        <v>28</v>
      </c>
      <c r="T492" s="12">
        <f t="shared" si="66"/>
        <v>1547.3500000000001</v>
      </c>
      <c r="U492">
        <f>Table2[[#This Row],[UnitCost]]*Table2[[#This Row],[Quantity]]</f>
        <v>936.1</v>
      </c>
      <c r="V492" s="13">
        <f t="shared" si="67"/>
        <v>611.25000000000011</v>
      </c>
      <c r="W492" s="5">
        <f t="shared" si="68"/>
        <v>0.39503021294471197</v>
      </c>
      <c r="X492" s="17" t="str">
        <f t="shared" si="69"/>
        <v>Apr-2024</v>
      </c>
      <c r="Z492" t="str">
        <f t="shared" si="70"/>
        <v>Africa. Nigeria. Lagos</v>
      </c>
      <c r="AA492" t="str">
        <f t="shared" si="71"/>
        <v>Low</v>
      </c>
      <c r="AB492" t="str">
        <f t="array" ref="AB492">TEXT(MIN(IF($E$2:$E$633=E492, $B$2:$B$633)), "YYYY-MM")</f>
        <v>2023-01</v>
      </c>
      <c r="AC492" s="13">
        <f>SUM($T$2:T492)</f>
        <v>8484898.2916300055</v>
      </c>
    </row>
    <row r="493" spans="1:29" x14ac:dyDescent="0.45">
      <c r="A493" t="s">
        <v>505</v>
      </c>
      <c r="B493" s="2">
        <v>45523</v>
      </c>
      <c r="C493" s="2">
        <v>45542</v>
      </c>
      <c r="D493" t="s">
        <v>649</v>
      </c>
      <c r="E493" t="s">
        <v>657</v>
      </c>
      <c r="F493" t="s">
        <v>679</v>
      </c>
      <c r="G493" t="s">
        <v>701</v>
      </c>
      <c r="H493" s="9" t="s">
        <v>711</v>
      </c>
      <c r="I493" s="9" t="s">
        <v>713</v>
      </c>
      <c r="J493" s="9" t="s">
        <v>727</v>
      </c>
      <c r="K493" t="s">
        <v>1224</v>
      </c>
      <c r="L493" s="7">
        <v>297.58999999999997</v>
      </c>
      <c r="M493" s="7">
        <v>666.41</v>
      </c>
      <c r="N493" s="5">
        <v>0</v>
      </c>
      <c r="O493">
        <v>10</v>
      </c>
      <c r="P493" s="2">
        <f t="shared" si="63"/>
        <v>45542</v>
      </c>
      <c r="Q493" t="str">
        <f t="shared" si="64"/>
        <v>Ok</v>
      </c>
      <c r="R493">
        <f>ABS(Table2[[#This Row],[UnitPrice]])</f>
        <v>666.41</v>
      </c>
      <c r="S493">
        <f t="shared" si="65"/>
        <v>19</v>
      </c>
      <c r="T493" s="12">
        <f t="shared" si="66"/>
        <v>6664.0999999999995</v>
      </c>
      <c r="U493">
        <f>Table2[[#This Row],[UnitCost]]*Table2[[#This Row],[Quantity]]</f>
        <v>2975.8999999999996</v>
      </c>
      <c r="V493" s="13">
        <f t="shared" si="67"/>
        <v>3688.2</v>
      </c>
      <c r="W493" s="5">
        <f t="shared" si="68"/>
        <v>0.55344307558409989</v>
      </c>
      <c r="X493" s="17" t="str">
        <f t="shared" si="69"/>
        <v>Aug-2024</v>
      </c>
      <c r="Z493" t="str">
        <f t="shared" si="70"/>
        <v>Europe. France. Lyon</v>
      </c>
      <c r="AA493" t="str">
        <f t="shared" si="71"/>
        <v>Low</v>
      </c>
      <c r="AB493" t="str">
        <f t="array" ref="AB493">TEXT(MIN(IF($E$2:$E$633=E493, $B$2:$B$633)), "YYYY-MM")</f>
        <v>2023-01</v>
      </c>
      <c r="AC493" s="13">
        <f>SUM($T$2:T493)</f>
        <v>8491562.3916300051</v>
      </c>
    </row>
    <row r="494" spans="1:29" x14ac:dyDescent="0.45">
      <c r="A494" t="s">
        <v>506</v>
      </c>
      <c r="B494" s="2">
        <v>45861</v>
      </c>
      <c r="C494" s="2">
        <v>45888</v>
      </c>
      <c r="D494" t="s">
        <v>647</v>
      </c>
      <c r="E494" t="s">
        <v>652</v>
      </c>
      <c r="F494" t="s">
        <v>694</v>
      </c>
      <c r="G494" t="s">
        <v>704</v>
      </c>
      <c r="H494" s="9" t="s">
        <v>709</v>
      </c>
      <c r="I494" s="9" t="s">
        <v>717</v>
      </c>
      <c r="J494" s="9" t="s">
        <v>733</v>
      </c>
      <c r="K494" t="s">
        <v>1225</v>
      </c>
      <c r="L494" s="7">
        <v>896.09</v>
      </c>
      <c r="M494" s="7">
        <v>744.27</v>
      </c>
      <c r="N494" s="5">
        <v>8.3000000000000004E-2</v>
      </c>
      <c r="O494">
        <v>11</v>
      </c>
      <c r="P494" s="2">
        <f t="shared" si="63"/>
        <v>45888</v>
      </c>
      <c r="Q494" t="str">
        <f t="shared" si="64"/>
        <v>Ok</v>
      </c>
      <c r="R494">
        <f>ABS(Table2[[#This Row],[UnitPrice]])</f>
        <v>744.27</v>
      </c>
      <c r="S494">
        <f t="shared" si="65"/>
        <v>27</v>
      </c>
      <c r="T494" s="12">
        <f t="shared" si="66"/>
        <v>7507.4514899999995</v>
      </c>
      <c r="U494">
        <f>Table2[[#This Row],[UnitCost]]*Table2[[#This Row],[Quantity]]</f>
        <v>9856.99</v>
      </c>
      <c r="V494" s="13">
        <f t="shared" si="67"/>
        <v>-2349.5385100000003</v>
      </c>
      <c r="W494" s="5">
        <f t="shared" si="68"/>
        <v>-0.31296086469950679</v>
      </c>
      <c r="X494" s="17" t="str">
        <f t="shared" si="69"/>
        <v>Jul-2025</v>
      </c>
      <c r="Z494" t="str">
        <f t="shared" si="70"/>
        <v>Asia. Japan. Nagoya</v>
      </c>
      <c r="AA494" t="str">
        <f t="shared" si="71"/>
        <v>Low</v>
      </c>
      <c r="AB494" t="str">
        <f t="array" ref="AB494">TEXT(MIN(IF($E$2:$E$633=E494, $B$2:$B$633)), "YYYY-MM")</f>
        <v>2023-03</v>
      </c>
      <c r="AC494" s="13">
        <f>SUM($T$2:T494)</f>
        <v>8499069.843120005</v>
      </c>
    </row>
    <row r="495" spans="1:29" x14ac:dyDescent="0.45">
      <c r="A495" t="s">
        <v>507</v>
      </c>
      <c r="B495" s="2">
        <v>45352</v>
      </c>
      <c r="C495" s="2">
        <v>45351</v>
      </c>
      <c r="D495" t="s">
        <v>648</v>
      </c>
      <c r="E495" t="s">
        <v>655</v>
      </c>
      <c r="F495" t="s">
        <v>670</v>
      </c>
      <c r="G495" t="s">
        <v>703</v>
      </c>
      <c r="H495" s="9" t="s">
        <v>711</v>
      </c>
      <c r="I495" s="9" t="s">
        <v>714</v>
      </c>
      <c r="J495" s="9" t="s">
        <v>730</v>
      </c>
      <c r="K495" t="s">
        <v>1226</v>
      </c>
      <c r="L495" s="7">
        <v>5.34</v>
      </c>
      <c r="M495" s="7">
        <v>12.69</v>
      </c>
      <c r="N495" s="5">
        <v>0.13200000000000001</v>
      </c>
      <c r="O495">
        <v>10</v>
      </c>
      <c r="P495" s="2">
        <f t="shared" si="63"/>
        <v>45359</v>
      </c>
      <c r="Q495" t="str">
        <f t="shared" si="64"/>
        <v>Ok</v>
      </c>
      <c r="R495">
        <f>ABS(Table2[[#This Row],[UnitPrice]])</f>
        <v>12.69</v>
      </c>
      <c r="S495">
        <f t="shared" si="65"/>
        <v>7</v>
      </c>
      <c r="T495" s="12">
        <f t="shared" si="66"/>
        <v>110.14919999999999</v>
      </c>
      <c r="U495">
        <f>Table2[[#This Row],[UnitCost]]*Table2[[#This Row],[Quantity]]</f>
        <v>53.4</v>
      </c>
      <c r="V495" s="13">
        <f t="shared" si="67"/>
        <v>56.749199999999995</v>
      </c>
      <c r="W495" s="5">
        <f t="shared" si="68"/>
        <v>0.51520301554618642</v>
      </c>
      <c r="X495" s="17" t="str">
        <f t="shared" si="69"/>
        <v>Mar-2024</v>
      </c>
      <c r="Z495" t="str">
        <f t="shared" si="70"/>
        <v>Americas. Brazil. São Paulo</v>
      </c>
      <c r="AA495" t="str">
        <f t="shared" si="71"/>
        <v>Low</v>
      </c>
      <c r="AB495" t="str">
        <f t="array" ref="AB495">TEXT(MIN(IF($E$2:$E$633=E495, $B$2:$B$633)), "YYYY-MM")</f>
        <v>2023-01</v>
      </c>
      <c r="AC495" s="13">
        <f>SUM($T$2:T495)</f>
        <v>8499179.9923200049</v>
      </c>
    </row>
    <row r="496" spans="1:29" x14ac:dyDescent="0.45">
      <c r="A496" t="s">
        <v>508</v>
      </c>
      <c r="B496" s="2">
        <v>45439</v>
      </c>
      <c r="C496" s="2">
        <v>45460</v>
      </c>
      <c r="D496" t="s">
        <v>647</v>
      </c>
      <c r="E496" t="s">
        <v>654</v>
      </c>
      <c r="F496" t="s">
        <v>680</v>
      </c>
      <c r="G496" t="s">
        <v>705</v>
      </c>
      <c r="H496" s="9" t="s">
        <v>708</v>
      </c>
      <c r="I496" s="9" t="s">
        <v>722</v>
      </c>
      <c r="J496" s="9" t="s">
        <v>733</v>
      </c>
      <c r="K496" t="s">
        <v>1227</v>
      </c>
      <c r="L496" s="7">
        <v>465.02</v>
      </c>
      <c r="M496" s="7">
        <v>651.55999999999995</v>
      </c>
      <c r="N496" s="5">
        <v>4.2000000000000003E-2</v>
      </c>
      <c r="O496">
        <v>19</v>
      </c>
      <c r="P496" s="2">
        <f t="shared" si="63"/>
        <v>45460</v>
      </c>
      <c r="Q496" t="str">
        <f t="shared" si="64"/>
        <v>Ok</v>
      </c>
      <c r="R496">
        <f>ABS(Table2[[#This Row],[UnitPrice]])</f>
        <v>651.55999999999995</v>
      </c>
      <c r="S496">
        <f t="shared" si="65"/>
        <v>21</v>
      </c>
      <c r="T496" s="12">
        <f t="shared" si="66"/>
        <v>11859.695119999998</v>
      </c>
      <c r="U496">
        <f>Table2[[#This Row],[UnitCost]]*Table2[[#This Row],[Quantity]]</f>
        <v>8835.3799999999992</v>
      </c>
      <c r="V496" s="13">
        <f t="shared" si="67"/>
        <v>3024.3151199999993</v>
      </c>
      <c r="W496" s="5">
        <f t="shared" si="68"/>
        <v>0.25500783025187918</v>
      </c>
      <c r="X496" s="17" t="str">
        <f t="shared" si="69"/>
        <v>May-2024</v>
      </c>
      <c r="Z496" t="str">
        <f t="shared" si="70"/>
        <v>Asia. India. Delhi</v>
      </c>
      <c r="AA496" t="str">
        <f t="shared" si="71"/>
        <v>Low</v>
      </c>
      <c r="AB496" t="str">
        <f t="array" ref="AB496">TEXT(MIN(IF($E$2:$E$633=E496, $B$2:$B$633)), "YYYY-MM")</f>
        <v>2023-01</v>
      </c>
      <c r="AC496" s="13">
        <f>SUM($T$2:T496)</f>
        <v>8511039.6874400042</v>
      </c>
    </row>
    <row r="497" spans="1:29" x14ac:dyDescent="0.45">
      <c r="A497" t="s">
        <v>509</v>
      </c>
      <c r="B497" s="2">
        <v>45508</v>
      </c>
      <c r="C497" s="2">
        <v>45521</v>
      </c>
      <c r="D497" t="s">
        <v>648</v>
      </c>
      <c r="E497" t="s">
        <v>660</v>
      </c>
      <c r="F497" t="s">
        <v>697</v>
      </c>
      <c r="G497" t="s">
        <v>704</v>
      </c>
      <c r="H497" s="9" t="s">
        <v>707</v>
      </c>
      <c r="I497" s="9" t="s">
        <v>726</v>
      </c>
      <c r="J497" s="9" t="s">
        <v>732</v>
      </c>
      <c r="K497" t="s">
        <v>1228</v>
      </c>
      <c r="L497" s="7">
        <v>352.79</v>
      </c>
      <c r="M497" s="7">
        <v>754.22</v>
      </c>
      <c r="N497" s="5">
        <v>0.113</v>
      </c>
      <c r="O497">
        <v>7</v>
      </c>
      <c r="P497" s="2">
        <f t="shared" si="63"/>
        <v>45521</v>
      </c>
      <c r="Q497" t="str">
        <f t="shared" si="64"/>
        <v>Ok</v>
      </c>
      <c r="R497">
        <f>ABS(Table2[[#This Row],[UnitPrice]])</f>
        <v>754.22</v>
      </c>
      <c r="S497">
        <f t="shared" si="65"/>
        <v>13</v>
      </c>
      <c r="T497" s="12">
        <f t="shared" si="66"/>
        <v>4682.9519799999998</v>
      </c>
      <c r="U497">
        <f>Table2[[#This Row],[UnitCost]]*Table2[[#This Row],[Quantity]]</f>
        <v>2469.5300000000002</v>
      </c>
      <c r="V497" s="13">
        <f t="shared" si="67"/>
        <v>2213.4219799999996</v>
      </c>
      <c r="W497" s="5">
        <f t="shared" si="68"/>
        <v>0.47265528014233443</v>
      </c>
      <c r="X497" s="17" t="str">
        <f t="shared" si="69"/>
        <v>Aug-2024</v>
      </c>
      <c r="Z497" t="str">
        <f t="shared" si="70"/>
        <v>Americas. USA. Austin</v>
      </c>
      <c r="AA497" t="str">
        <f t="shared" si="71"/>
        <v>Low</v>
      </c>
      <c r="AB497" t="str">
        <f t="array" ref="AB497">TEXT(MIN(IF($E$2:$E$633=E497, $B$2:$B$633)), "YYYY-MM")</f>
        <v>2023-01</v>
      </c>
      <c r="AC497" s="13">
        <f>SUM($T$2:T497)</f>
        <v>8515722.6394200046</v>
      </c>
    </row>
    <row r="498" spans="1:29" x14ac:dyDescent="0.45">
      <c r="A498" t="s">
        <v>510</v>
      </c>
      <c r="B498" s="2">
        <v>45097</v>
      </c>
      <c r="C498" s="2">
        <v>45111</v>
      </c>
      <c r="D498" t="s">
        <v>648</v>
      </c>
      <c r="E498" t="s">
        <v>655</v>
      </c>
      <c r="F498" t="s">
        <v>672</v>
      </c>
      <c r="G498" t="s">
        <v>703</v>
      </c>
      <c r="H498" s="9" t="s">
        <v>711</v>
      </c>
      <c r="I498" s="9" t="s">
        <v>712</v>
      </c>
      <c r="J498" s="9" t="s">
        <v>729</v>
      </c>
      <c r="K498" t="s">
        <v>1229</v>
      </c>
      <c r="L498" s="7">
        <v>1292.8599999999999</v>
      </c>
      <c r="M498" s="7">
        <v>2981.01</v>
      </c>
      <c r="N498" s="5">
        <v>0.14199999999999999</v>
      </c>
      <c r="O498">
        <v>12</v>
      </c>
      <c r="P498" s="2">
        <f t="shared" si="63"/>
        <v>45111</v>
      </c>
      <c r="Q498" t="str">
        <f t="shared" si="64"/>
        <v>Ok</v>
      </c>
      <c r="R498">
        <f>ABS(Table2[[#This Row],[UnitPrice]])</f>
        <v>2981.01</v>
      </c>
      <c r="S498">
        <f t="shared" si="65"/>
        <v>14</v>
      </c>
      <c r="T498" s="12">
        <f t="shared" si="66"/>
        <v>30692.47896</v>
      </c>
      <c r="U498">
        <f>Table2[[#This Row],[UnitCost]]*Table2[[#This Row],[Quantity]]</f>
        <v>15514.32</v>
      </c>
      <c r="V498" s="13">
        <f t="shared" si="67"/>
        <v>15178.158960000001</v>
      </c>
      <c r="W498" s="5">
        <f t="shared" si="68"/>
        <v>0.49452372288927687</v>
      </c>
      <c r="X498" s="17" t="str">
        <f t="shared" si="69"/>
        <v>Jun-2023</v>
      </c>
      <c r="Z498" t="str">
        <f t="shared" si="70"/>
        <v>Americas. Brazil. Brasília</v>
      </c>
      <c r="AA498" t="str">
        <f t="shared" si="71"/>
        <v>High</v>
      </c>
      <c r="AB498" t="str">
        <f t="array" ref="AB498">TEXT(MIN(IF($E$2:$E$633=E498, $B$2:$B$633)), "YYYY-MM")</f>
        <v>2023-01</v>
      </c>
      <c r="AC498" s="13">
        <f>SUM($T$2:T498)</f>
        <v>8546415.1183800045</v>
      </c>
    </row>
    <row r="499" spans="1:29" x14ac:dyDescent="0.45">
      <c r="A499" t="s">
        <v>511</v>
      </c>
      <c r="B499" s="2">
        <v>45544</v>
      </c>
      <c r="C499" s="2">
        <v>45548</v>
      </c>
      <c r="D499" t="s">
        <v>649</v>
      </c>
      <c r="E499" t="s">
        <v>658</v>
      </c>
      <c r="F499" t="s">
        <v>683</v>
      </c>
      <c r="G499" t="s">
        <v>704</v>
      </c>
      <c r="H499" s="9" t="s">
        <v>709</v>
      </c>
      <c r="I499" s="9" t="s">
        <v>721</v>
      </c>
      <c r="J499" s="9" t="s">
        <v>729</v>
      </c>
      <c r="K499" t="s">
        <v>1230</v>
      </c>
      <c r="L499" s="7">
        <v>1133.08</v>
      </c>
      <c r="M499" s="7">
        <v>976.17</v>
      </c>
      <c r="N499" s="5">
        <v>4.2000000000000003E-2</v>
      </c>
      <c r="O499">
        <v>27</v>
      </c>
      <c r="P499" s="2">
        <f t="shared" si="63"/>
        <v>45548</v>
      </c>
      <c r="Q499" t="str">
        <f t="shared" si="64"/>
        <v>Ok</v>
      </c>
      <c r="R499">
        <f>ABS(Table2[[#This Row],[UnitPrice]])</f>
        <v>976.17</v>
      </c>
      <c r="S499">
        <f t="shared" si="65"/>
        <v>4</v>
      </c>
      <c r="T499" s="12">
        <f t="shared" si="66"/>
        <v>25249.613219999999</v>
      </c>
      <c r="U499">
        <f>Table2[[#This Row],[UnitCost]]*Table2[[#This Row],[Quantity]]</f>
        <v>30593.159999999996</v>
      </c>
      <c r="V499" s="13">
        <f t="shared" si="67"/>
        <v>-5343.5467799999969</v>
      </c>
      <c r="W499" s="5">
        <f t="shared" si="68"/>
        <v>-0.21162885678452373</v>
      </c>
      <c r="X499" s="17" t="str">
        <f t="shared" si="69"/>
        <v>Sep-2024</v>
      </c>
      <c r="Z499" t="str">
        <f t="shared" si="70"/>
        <v>Europe. United Kingdom. London</v>
      </c>
      <c r="AA499" t="str">
        <f t="shared" si="71"/>
        <v>Low</v>
      </c>
      <c r="AB499" t="str">
        <f t="array" ref="AB499">TEXT(MIN(IF($E$2:$E$633=E499, $B$2:$B$633)), "YYYY-MM")</f>
        <v>2023-01</v>
      </c>
      <c r="AC499" s="13">
        <f>SUM($T$2:T499)</f>
        <v>8571664.7316000052</v>
      </c>
    </row>
    <row r="500" spans="1:29" x14ac:dyDescent="0.45">
      <c r="A500" t="s">
        <v>512</v>
      </c>
      <c r="B500" s="2">
        <v>45224</v>
      </c>
      <c r="C500" s="2">
        <v>45227</v>
      </c>
      <c r="D500" t="s">
        <v>648</v>
      </c>
      <c r="E500" t="s">
        <v>655</v>
      </c>
      <c r="F500" t="s">
        <v>672</v>
      </c>
      <c r="G500" t="s">
        <v>701</v>
      </c>
      <c r="H500" s="9" t="s">
        <v>710</v>
      </c>
      <c r="I500" s="9" t="s">
        <v>716</v>
      </c>
      <c r="J500" s="9" t="s">
        <v>733</v>
      </c>
      <c r="K500" t="s">
        <v>1231</v>
      </c>
      <c r="L500" s="7">
        <v>509.31</v>
      </c>
      <c r="M500" s="7">
        <v>1145.9000000000001</v>
      </c>
      <c r="N500" s="5">
        <v>5.7000000000000002E-2</v>
      </c>
      <c r="O500">
        <v>8</v>
      </c>
      <c r="P500" s="2">
        <f t="shared" si="63"/>
        <v>45227</v>
      </c>
      <c r="Q500" t="str">
        <f t="shared" si="64"/>
        <v>Ok</v>
      </c>
      <c r="R500">
        <f>ABS(Table2[[#This Row],[UnitPrice]])</f>
        <v>1145.9000000000001</v>
      </c>
      <c r="S500">
        <f t="shared" si="65"/>
        <v>3</v>
      </c>
      <c r="T500" s="12">
        <f t="shared" si="66"/>
        <v>8644.6696000000011</v>
      </c>
      <c r="U500">
        <f>Table2[[#This Row],[UnitCost]]*Table2[[#This Row],[Quantity]]</f>
        <v>4074.48</v>
      </c>
      <c r="V500" s="13">
        <f t="shared" si="67"/>
        <v>4570.1896000000015</v>
      </c>
      <c r="W500" s="5">
        <f t="shared" si="68"/>
        <v>0.52867140231709964</v>
      </c>
      <c r="X500" s="17" t="str">
        <f t="shared" si="69"/>
        <v>Oct-2023</v>
      </c>
      <c r="Z500" t="str">
        <f t="shared" si="70"/>
        <v>Americas. Brazil. Brasília</v>
      </c>
      <c r="AA500" t="str">
        <f t="shared" si="71"/>
        <v>Low</v>
      </c>
      <c r="AB500" t="str">
        <f t="array" ref="AB500">TEXT(MIN(IF($E$2:$E$633=E500, $B$2:$B$633)), "YYYY-MM")</f>
        <v>2023-01</v>
      </c>
      <c r="AC500" s="13">
        <f>SUM($T$2:T500)</f>
        <v>8580309.4012000058</v>
      </c>
    </row>
    <row r="501" spans="1:29" x14ac:dyDescent="0.45">
      <c r="A501" t="s">
        <v>513</v>
      </c>
      <c r="B501" s="2">
        <v>45908</v>
      </c>
      <c r="C501" s="2">
        <v>45935</v>
      </c>
      <c r="D501" t="s">
        <v>648</v>
      </c>
      <c r="E501" t="s">
        <v>655</v>
      </c>
      <c r="F501" t="s">
        <v>692</v>
      </c>
      <c r="G501" t="s">
        <v>702</v>
      </c>
      <c r="H501" s="9" t="s">
        <v>708</v>
      </c>
      <c r="I501" s="9" t="s">
        <v>712</v>
      </c>
      <c r="J501" s="9" t="s">
        <v>732</v>
      </c>
      <c r="K501" t="s">
        <v>1232</v>
      </c>
      <c r="L501" s="7">
        <v>660.78</v>
      </c>
      <c r="M501" s="7">
        <v>1630.39</v>
      </c>
      <c r="N501" s="5">
        <v>0.218</v>
      </c>
      <c r="O501">
        <v>13</v>
      </c>
      <c r="P501" s="2">
        <f t="shared" si="63"/>
        <v>45935</v>
      </c>
      <c r="Q501" t="str">
        <f t="shared" si="64"/>
        <v>Ok</v>
      </c>
      <c r="R501">
        <f>ABS(Table2[[#This Row],[UnitPrice]])</f>
        <v>1630.39</v>
      </c>
      <c r="S501">
        <f t="shared" si="65"/>
        <v>27</v>
      </c>
      <c r="T501" s="12">
        <f t="shared" si="66"/>
        <v>16574.544740000001</v>
      </c>
      <c r="U501">
        <f>Table2[[#This Row],[UnitCost]]*Table2[[#This Row],[Quantity]]</f>
        <v>8590.14</v>
      </c>
      <c r="V501" s="13">
        <f t="shared" si="67"/>
        <v>7984.4047400000018</v>
      </c>
      <c r="W501" s="5">
        <f t="shared" si="68"/>
        <v>0.48172694123724097</v>
      </c>
      <c r="X501" s="17" t="str">
        <f t="shared" si="69"/>
        <v>Sep-2025</v>
      </c>
      <c r="Z501" t="str">
        <f t="shared" si="70"/>
        <v>Americas. Brazil. Rio de Janeiro</v>
      </c>
      <c r="AA501" t="str">
        <f t="shared" si="71"/>
        <v>High</v>
      </c>
      <c r="AB501" t="str">
        <f t="array" ref="AB501">TEXT(MIN(IF($E$2:$E$633=E501, $B$2:$B$633)), "YYYY-MM")</f>
        <v>2023-01</v>
      </c>
      <c r="AC501" s="13">
        <f>SUM($T$2:T501)</f>
        <v>8596883.9459400065</v>
      </c>
    </row>
    <row r="502" spans="1:29" x14ac:dyDescent="0.45">
      <c r="A502" t="s">
        <v>514</v>
      </c>
      <c r="B502" s="2">
        <v>45048</v>
      </c>
      <c r="C502" s="2">
        <v>45062</v>
      </c>
      <c r="D502" t="s">
        <v>647</v>
      </c>
      <c r="E502" t="s">
        <v>654</v>
      </c>
      <c r="F502" t="s">
        <v>668</v>
      </c>
      <c r="G502" t="s">
        <v>703</v>
      </c>
      <c r="H502" s="9" t="s">
        <v>707</v>
      </c>
      <c r="I502" s="9" t="s">
        <v>716</v>
      </c>
      <c r="J502" s="9" t="s">
        <v>732</v>
      </c>
      <c r="K502" t="s">
        <v>1233</v>
      </c>
      <c r="L502" s="7">
        <v>475.37</v>
      </c>
      <c r="M502" s="7">
        <v>963.73</v>
      </c>
      <c r="N502" s="5">
        <v>4.1000000000000002E-2</v>
      </c>
      <c r="O502">
        <v>22</v>
      </c>
      <c r="P502" s="2">
        <f t="shared" si="63"/>
        <v>45062</v>
      </c>
      <c r="Q502" t="str">
        <f t="shared" si="64"/>
        <v>Ok</v>
      </c>
      <c r="R502">
        <f>ABS(Table2[[#This Row],[UnitPrice]])</f>
        <v>963.73</v>
      </c>
      <c r="S502">
        <f t="shared" si="65"/>
        <v>14</v>
      </c>
      <c r="T502" s="12">
        <f t="shared" si="66"/>
        <v>20332.775539999999</v>
      </c>
      <c r="U502">
        <f>Table2[[#This Row],[UnitCost]]*Table2[[#This Row],[Quantity]]</f>
        <v>10458.14</v>
      </c>
      <c r="V502" s="13">
        <f t="shared" si="67"/>
        <v>9874.6355399999993</v>
      </c>
      <c r="W502" s="5">
        <f t="shared" si="68"/>
        <v>0.48565113604750881</v>
      </c>
      <c r="X502" s="17" t="str">
        <f t="shared" si="69"/>
        <v>May-2023</v>
      </c>
      <c r="Z502" t="str">
        <f t="shared" si="70"/>
        <v>Asia. India. Bengaluru</v>
      </c>
      <c r="AA502" t="str">
        <f t="shared" si="71"/>
        <v>Low</v>
      </c>
      <c r="AB502" t="str">
        <f t="array" ref="AB502">TEXT(MIN(IF($E$2:$E$633=E502, $B$2:$B$633)), "YYYY-MM")</f>
        <v>2023-01</v>
      </c>
      <c r="AC502" s="13">
        <f>SUM($T$2:T502)</f>
        <v>8617216.7214800064</v>
      </c>
    </row>
    <row r="503" spans="1:29" x14ac:dyDescent="0.45">
      <c r="A503" t="s">
        <v>515</v>
      </c>
      <c r="B503" s="2">
        <v>45408</v>
      </c>
      <c r="C503" s="2">
        <v>45406</v>
      </c>
      <c r="D503" t="s">
        <v>649</v>
      </c>
      <c r="E503" t="s">
        <v>658</v>
      </c>
      <c r="F503" t="s">
        <v>683</v>
      </c>
      <c r="G503" t="s">
        <v>703</v>
      </c>
      <c r="H503" s="9" t="s">
        <v>710</v>
      </c>
      <c r="I503" s="9" t="s">
        <v>725</v>
      </c>
      <c r="J503" s="9" t="s">
        <v>730</v>
      </c>
      <c r="K503" t="s">
        <v>1234</v>
      </c>
      <c r="L503" s="7">
        <v>1232.77</v>
      </c>
      <c r="M503" s="7">
        <v>891.73</v>
      </c>
      <c r="N503" s="5">
        <v>0.16700000000000001</v>
      </c>
      <c r="O503">
        <v>10</v>
      </c>
      <c r="P503" s="2">
        <f t="shared" si="63"/>
        <v>45415</v>
      </c>
      <c r="Q503" t="str">
        <f t="shared" si="64"/>
        <v>Ok</v>
      </c>
      <c r="R503">
        <f>ABS(Table2[[#This Row],[UnitPrice]])</f>
        <v>891.73</v>
      </c>
      <c r="S503">
        <f t="shared" si="65"/>
        <v>7</v>
      </c>
      <c r="T503" s="12">
        <f t="shared" si="66"/>
        <v>7428.1108999999988</v>
      </c>
      <c r="U503">
        <f>Table2[[#This Row],[UnitCost]]*Table2[[#This Row],[Quantity]]</f>
        <v>12327.7</v>
      </c>
      <c r="V503" s="13">
        <f t="shared" si="67"/>
        <v>-4899.589100000002</v>
      </c>
      <c r="W503" s="5">
        <f t="shared" si="68"/>
        <v>-0.65960096260813805</v>
      </c>
      <c r="X503" s="17" t="str">
        <f t="shared" si="69"/>
        <v>Apr-2024</v>
      </c>
      <c r="Z503" t="str">
        <f t="shared" si="70"/>
        <v>Europe. United Kingdom. London</v>
      </c>
      <c r="AA503" t="str">
        <f t="shared" si="71"/>
        <v>Low</v>
      </c>
      <c r="AB503" t="str">
        <f t="array" ref="AB503">TEXT(MIN(IF($E$2:$E$633=E503, $B$2:$B$633)), "YYYY-MM")</f>
        <v>2023-01</v>
      </c>
      <c r="AC503" s="13">
        <f>SUM($T$2:T503)</f>
        <v>8624644.8323800061</v>
      </c>
    </row>
    <row r="504" spans="1:29" x14ac:dyDescent="0.45">
      <c r="A504" t="s">
        <v>516</v>
      </c>
      <c r="B504" s="2">
        <v>44980</v>
      </c>
      <c r="C504" s="2">
        <v>45003</v>
      </c>
      <c r="D504" t="s">
        <v>647</v>
      </c>
      <c r="E504" t="s">
        <v>659</v>
      </c>
      <c r="F504" t="s">
        <v>699</v>
      </c>
      <c r="G504" t="s">
        <v>702</v>
      </c>
      <c r="H504" s="9" t="s">
        <v>710</v>
      </c>
      <c r="I504" s="9" t="s">
        <v>723</v>
      </c>
      <c r="J504" s="9" t="s">
        <v>728</v>
      </c>
      <c r="K504" t="s">
        <v>1235</v>
      </c>
      <c r="L504" s="7">
        <v>770.11</v>
      </c>
      <c r="M504" s="7">
        <v>1667.82</v>
      </c>
      <c r="N504" s="5">
        <v>6.9000000000000006E-2</v>
      </c>
      <c r="O504">
        <v>7</v>
      </c>
      <c r="P504" s="2">
        <f t="shared" si="63"/>
        <v>45003</v>
      </c>
      <c r="Q504" t="str">
        <f t="shared" si="64"/>
        <v>Ok</v>
      </c>
      <c r="R504">
        <f>ABS(Table2[[#This Row],[UnitPrice]])</f>
        <v>1667.82</v>
      </c>
      <c r="S504">
        <f t="shared" si="65"/>
        <v>23</v>
      </c>
      <c r="T504" s="12">
        <f t="shared" si="66"/>
        <v>10869.182940000001</v>
      </c>
      <c r="U504">
        <f>Table2[[#This Row],[UnitCost]]*Table2[[#This Row],[Quantity]]</f>
        <v>5390.77</v>
      </c>
      <c r="V504" s="13">
        <f t="shared" si="67"/>
        <v>5478.4129400000002</v>
      </c>
      <c r="W504" s="5">
        <f t="shared" si="68"/>
        <v>0.50403171703355287</v>
      </c>
      <c r="X504" s="17" t="str">
        <f t="shared" si="69"/>
        <v>Feb-2023</v>
      </c>
      <c r="Z504" t="str">
        <f t="shared" si="70"/>
        <v>Asia. China. Beijing</v>
      </c>
      <c r="AA504" t="str">
        <f t="shared" si="71"/>
        <v>High</v>
      </c>
      <c r="AB504" t="str">
        <f t="array" ref="AB504">TEXT(MIN(IF($E$2:$E$633=E504, $B$2:$B$633)), "YYYY-MM")</f>
        <v>2023-01</v>
      </c>
      <c r="AC504" s="13">
        <f>SUM($T$2:T504)</f>
        <v>8635514.0153200068</v>
      </c>
    </row>
    <row r="505" spans="1:29" x14ac:dyDescent="0.45">
      <c r="A505" t="s">
        <v>517</v>
      </c>
      <c r="B505" s="2">
        <v>45740</v>
      </c>
      <c r="C505" s="2">
        <v>45741</v>
      </c>
      <c r="D505" t="s">
        <v>647</v>
      </c>
      <c r="E505" t="s">
        <v>659</v>
      </c>
      <c r="F505" t="s">
        <v>699</v>
      </c>
      <c r="G505" t="s">
        <v>703</v>
      </c>
      <c r="H505" s="9" t="s">
        <v>708</v>
      </c>
      <c r="I505" s="9" t="s">
        <v>715</v>
      </c>
      <c r="J505" s="9" t="s">
        <v>729</v>
      </c>
      <c r="K505" t="s">
        <v>1236</v>
      </c>
      <c r="L505" s="7">
        <v>1133.03</v>
      </c>
      <c r="M505" s="7">
        <v>1921.51</v>
      </c>
      <c r="N505" s="5">
        <v>0.10100000000000001</v>
      </c>
      <c r="O505">
        <v>5</v>
      </c>
      <c r="P505" s="2">
        <f t="shared" si="63"/>
        <v>45741</v>
      </c>
      <c r="Q505" t="str">
        <f t="shared" si="64"/>
        <v>Ok</v>
      </c>
      <c r="R505">
        <f>ABS(Table2[[#This Row],[UnitPrice]])</f>
        <v>1921.51</v>
      </c>
      <c r="S505">
        <f t="shared" si="65"/>
        <v>1</v>
      </c>
      <c r="T505" s="12">
        <f t="shared" si="66"/>
        <v>8637.1874499999994</v>
      </c>
      <c r="U505">
        <f>Table2[[#This Row],[UnitCost]]*Table2[[#This Row],[Quantity]]</f>
        <v>5665.15</v>
      </c>
      <c r="V505" s="13">
        <f t="shared" si="67"/>
        <v>2972.0374499999998</v>
      </c>
      <c r="W505" s="5">
        <f t="shared" si="68"/>
        <v>0.3440978289755654</v>
      </c>
      <c r="X505" s="17" t="str">
        <f t="shared" si="69"/>
        <v>Mar-2025</v>
      </c>
      <c r="Z505" t="str">
        <f t="shared" si="70"/>
        <v>Asia. China. Beijing</v>
      </c>
      <c r="AA505" t="str">
        <f t="shared" si="71"/>
        <v>High</v>
      </c>
      <c r="AB505" t="str">
        <f t="array" ref="AB505">TEXT(MIN(IF($E$2:$E$633=E505, $B$2:$B$633)), "YYYY-MM")</f>
        <v>2023-01</v>
      </c>
      <c r="AC505" s="13">
        <f>SUM($T$2:T505)</f>
        <v>8644151.2027700059</v>
      </c>
    </row>
    <row r="506" spans="1:29" x14ac:dyDescent="0.45">
      <c r="A506" t="s">
        <v>518</v>
      </c>
      <c r="B506" s="2">
        <v>45726</v>
      </c>
      <c r="C506" s="2">
        <v>45743</v>
      </c>
      <c r="D506" t="s">
        <v>648</v>
      </c>
      <c r="E506" t="s">
        <v>655</v>
      </c>
      <c r="F506" t="s">
        <v>692</v>
      </c>
      <c r="G506" t="s">
        <v>706</v>
      </c>
      <c r="H506" s="9" t="s">
        <v>711</v>
      </c>
      <c r="I506" s="9" t="s">
        <v>721</v>
      </c>
      <c r="J506" s="9" t="s">
        <v>729</v>
      </c>
      <c r="K506" t="s">
        <v>1237</v>
      </c>
      <c r="L506" s="7">
        <v>996.73</v>
      </c>
      <c r="M506" s="7">
        <v>1217.43</v>
      </c>
      <c r="N506" s="5">
        <v>7.0000000000000007E-2</v>
      </c>
      <c r="O506">
        <v>9</v>
      </c>
      <c r="P506" s="2">
        <f t="shared" si="63"/>
        <v>45743</v>
      </c>
      <c r="Q506" t="str">
        <f t="shared" si="64"/>
        <v>Ok</v>
      </c>
      <c r="R506">
        <f>ABS(Table2[[#This Row],[UnitPrice]])</f>
        <v>1217.43</v>
      </c>
      <c r="S506">
        <f t="shared" si="65"/>
        <v>17</v>
      </c>
      <c r="T506" s="12">
        <f t="shared" si="66"/>
        <v>10189.8891</v>
      </c>
      <c r="U506">
        <f>Table2[[#This Row],[UnitCost]]*Table2[[#This Row],[Quantity]]</f>
        <v>8970.57</v>
      </c>
      <c r="V506" s="13">
        <f t="shared" si="67"/>
        <v>1219.3191000000006</v>
      </c>
      <c r="W506" s="5">
        <f t="shared" si="68"/>
        <v>0.11965970267527255</v>
      </c>
      <c r="X506" s="17" t="str">
        <f t="shared" si="69"/>
        <v>Mar-2025</v>
      </c>
      <c r="Z506" t="str">
        <f t="shared" si="70"/>
        <v>Americas. Brazil. Rio de Janeiro</v>
      </c>
      <c r="AA506" t="str">
        <f t="shared" si="71"/>
        <v>High</v>
      </c>
      <c r="AB506" t="str">
        <f t="array" ref="AB506">TEXT(MIN(IF($E$2:$E$633=E506, $B$2:$B$633)), "YYYY-MM")</f>
        <v>2023-01</v>
      </c>
      <c r="AC506" s="13">
        <f>SUM($T$2:T506)</f>
        <v>8654341.0918700062</v>
      </c>
    </row>
    <row r="507" spans="1:29" x14ac:dyDescent="0.45">
      <c r="A507" t="s">
        <v>519</v>
      </c>
      <c r="B507" s="2">
        <v>45387</v>
      </c>
      <c r="C507" s="2">
        <v>45391</v>
      </c>
      <c r="D507" t="s">
        <v>646</v>
      </c>
      <c r="E507" t="s">
        <v>651</v>
      </c>
      <c r="F507" t="s">
        <v>665</v>
      </c>
      <c r="G507" t="s">
        <v>703</v>
      </c>
      <c r="H507" s="9" t="s">
        <v>711</v>
      </c>
      <c r="I507" s="9" t="s">
        <v>723</v>
      </c>
      <c r="J507" s="9" t="s">
        <v>727</v>
      </c>
      <c r="K507" t="s">
        <v>1238</v>
      </c>
      <c r="L507" s="7">
        <v>395.07</v>
      </c>
      <c r="M507" s="7">
        <v>970.27</v>
      </c>
      <c r="N507" s="5">
        <v>0.123</v>
      </c>
      <c r="O507">
        <v>38</v>
      </c>
      <c r="P507" s="2">
        <f t="shared" si="63"/>
        <v>45391</v>
      </c>
      <c r="Q507" t="str">
        <f t="shared" si="64"/>
        <v>Ok</v>
      </c>
      <c r="R507">
        <f>ABS(Table2[[#This Row],[UnitPrice]])</f>
        <v>970.27</v>
      </c>
      <c r="S507">
        <f t="shared" si="65"/>
        <v>4</v>
      </c>
      <c r="T507" s="12">
        <f t="shared" si="66"/>
        <v>32335.21802</v>
      </c>
      <c r="U507">
        <f>Table2[[#This Row],[UnitCost]]*Table2[[#This Row],[Quantity]]</f>
        <v>15012.66</v>
      </c>
      <c r="V507" s="13">
        <f t="shared" si="67"/>
        <v>17322.55802</v>
      </c>
      <c r="W507" s="5">
        <f t="shared" si="68"/>
        <v>0.53571799049833657</v>
      </c>
      <c r="X507" s="17" t="str">
        <f t="shared" si="69"/>
        <v>Apr-2024</v>
      </c>
      <c r="Z507" t="str">
        <f t="shared" si="70"/>
        <v>Africa. Nigeria. Lagos</v>
      </c>
      <c r="AA507" t="str">
        <f t="shared" si="71"/>
        <v>Low</v>
      </c>
      <c r="AB507" t="str">
        <f t="array" ref="AB507">TEXT(MIN(IF($E$2:$E$633=E507, $B$2:$B$633)), "YYYY-MM")</f>
        <v>2023-01</v>
      </c>
      <c r="AC507" s="13">
        <f>SUM($T$2:T507)</f>
        <v>8686676.3098900057</v>
      </c>
    </row>
    <row r="508" spans="1:29" x14ac:dyDescent="0.45">
      <c r="A508" t="s">
        <v>520</v>
      </c>
      <c r="B508" s="2">
        <v>45774</v>
      </c>
      <c r="C508" s="2">
        <v>45794</v>
      </c>
      <c r="D508" t="s">
        <v>648</v>
      </c>
      <c r="E508" t="s">
        <v>660</v>
      </c>
      <c r="F508" t="s">
        <v>697</v>
      </c>
      <c r="G508" t="s">
        <v>701</v>
      </c>
      <c r="H508" s="9" t="s">
        <v>711</v>
      </c>
      <c r="I508" s="9" t="s">
        <v>725</v>
      </c>
      <c r="J508" s="9" t="s">
        <v>730</v>
      </c>
      <c r="K508" t="s">
        <v>1239</v>
      </c>
      <c r="L508" s="7">
        <v>932.26</v>
      </c>
      <c r="M508" s="7">
        <v>1624.67</v>
      </c>
      <c r="N508" s="5">
        <v>0.23499999999999999</v>
      </c>
      <c r="O508">
        <v>28</v>
      </c>
      <c r="P508" s="2">
        <f t="shared" si="63"/>
        <v>45794</v>
      </c>
      <c r="Q508" t="str">
        <f t="shared" si="64"/>
        <v>Ok</v>
      </c>
      <c r="R508">
        <f>ABS(Table2[[#This Row],[UnitPrice]])</f>
        <v>1624.67</v>
      </c>
      <c r="S508">
        <f t="shared" si="65"/>
        <v>20</v>
      </c>
      <c r="T508" s="12">
        <f t="shared" si="66"/>
        <v>34800.431400000001</v>
      </c>
      <c r="U508">
        <f>Table2[[#This Row],[UnitCost]]*Table2[[#This Row],[Quantity]]</f>
        <v>26103.279999999999</v>
      </c>
      <c r="V508" s="13">
        <f t="shared" si="67"/>
        <v>8697.1514000000025</v>
      </c>
      <c r="W508" s="5">
        <f t="shared" si="68"/>
        <v>0.24991504559337163</v>
      </c>
      <c r="X508" s="17" t="str">
        <f t="shared" si="69"/>
        <v>Apr-2025</v>
      </c>
      <c r="Z508" t="str">
        <f t="shared" si="70"/>
        <v>Americas. USA. Austin</v>
      </c>
      <c r="AA508" t="str">
        <f t="shared" si="71"/>
        <v>High</v>
      </c>
      <c r="AB508" t="str">
        <f t="array" ref="AB508">TEXT(MIN(IF($E$2:$E$633=E508, $B$2:$B$633)), "YYYY-MM")</f>
        <v>2023-01</v>
      </c>
      <c r="AC508" s="13">
        <f>SUM($T$2:T508)</f>
        <v>8721476.7412900049</v>
      </c>
    </row>
    <row r="509" spans="1:29" x14ac:dyDescent="0.45">
      <c r="A509" t="s">
        <v>521</v>
      </c>
      <c r="B509" s="2">
        <v>45589</v>
      </c>
      <c r="C509" s="2">
        <v>45593</v>
      </c>
      <c r="D509" t="s">
        <v>647</v>
      </c>
      <c r="E509" t="s">
        <v>659</v>
      </c>
      <c r="F509" t="s">
        <v>685</v>
      </c>
      <c r="G509" t="s">
        <v>705</v>
      </c>
      <c r="H509" s="9" t="s">
        <v>710</v>
      </c>
      <c r="I509" s="9" t="s">
        <v>714</v>
      </c>
      <c r="J509" s="9" t="s">
        <v>729</v>
      </c>
      <c r="K509" t="s">
        <v>1240</v>
      </c>
      <c r="L509" s="7">
        <v>1331.77</v>
      </c>
      <c r="M509" s="7">
        <v>2606.11</v>
      </c>
      <c r="N509" s="5">
        <v>0.02</v>
      </c>
      <c r="O509">
        <v>6</v>
      </c>
      <c r="P509" s="2">
        <f t="shared" si="63"/>
        <v>45593</v>
      </c>
      <c r="Q509" t="str">
        <f t="shared" si="64"/>
        <v>Ok</v>
      </c>
      <c r="R509">
        <f>ABS(Table2[[#This Row],[UnitPrice]])</f>
        <v>2606.11</v>
      </c>
      <c r="S509">
        <f t="shared" si="65"/>
        <v>4</v>
      </c>
      <c r="T509" s="12">
        <f t="shared" si="66"/>
        <v>15323.926799999999</v>
      </c>
      <c r="U509">
        <f>Table2[[#This Row],[UnitCost]]*Table2[[#This Row],[Quantity]]</f>
        <v>7990.62</v>
      </c>
      <c r="V509" s="13">
        <f t="shared" si="67"/>
        <v>7333.3067999999994</v>
      </c>
      <c r="W509" s="5">
        <f t="shared" si="68"/>
        <v>0.47855271665745619</v>
      </c>
      <c r="X509" s="17" t="str">
        <f t="shared" si="69"/>
        <v>Oct-2024</v>
      </c>
      <c r="Z509" t="str">
        <f t="shared" si="70"/>
        <v>Asia. China. Shanghai</v>
      </c>
      <c r="AA509" t="str">
        <f t="shared" si="71"/>
        <v>High</v>
      </c>
      <c r="AB509" t="str">
        <f t="array" ref="AB509">TEXT(MIN(IF($E$2:$E$633=E509, $B$2:$B$633)), "YYYY-MM")</f>
        <v>2023-01</v>
      </c>
      <c r="AC509" s="13">
        <f>SUM($T$2:T509)</f>
        <v>8736800.6680900045</v>
      </c>
    </row>
    <row r="510" spans="1:29" x14ac:dyDescent="0.45">
      <c r="A510" t="s">
        <v>522</v>
      </c>
      <c r="B510" s="2">
        <v>45029</v>
      </c>
      <c r="C510" s="2">
        <v>45036</v>
      </c>
      <c r="D510" t="s">
        <v>649</v>
      </c>
      <c r="E510" t="s">
        <v>657</v>
      </c>
      <c r="F510" t="s">
        <v>679</v>
      </c>
      <c r="G510" t="s">
        <v>705</v>
      </c>
      <c r="H510" s="9" t="s">
        <v>708</v>
      </c>
      <c r="I510" s="9" t="s">
        <v>720</v>
      </c>
      <c r="J510" s="9" t="s">
        <v>731</v>
      </c>
      <c r="K510" t="s">
        <v>1241</v>
      </c>
      <c r="L510" s="7">
        <v>227.02</v>
      </c>
      <c r="M510" s="7">
        <v>434.72</v>
      </c>
      <c r="N510" s="5">
        <v>9.8000000000000004E-2</v>
      </c>
      <c r="O510">
        <v>10</v>
      </c>
      <c r="P510" s="2">
        <f t="shared" si="63"/>
        <v>45036</v>
      </c>
      <c r="Q510" t="str">
        <f t="shared" si="64"/>
        <v>Ok</v>
      </c>
      <c r="R510">
        <f>ABS(Table2[[#This Row],[UnitPrice]])</f>
        <v>434.72</v>
      </c>
      <c r="S510">
        <f t="shared" si="65"/>
        <v>7</v>
      </c>
      <c r="T510" s="12">
        <f t="shared" si="66"/>
        <v>3921.1744000000008</v>
      </c>
      <c r="U510">
        <f>Table2[[#This Row],[UnitCost]]*Table2[[#This Row],[Quantity]]</f>
        <v>2270.2000000000003</v>
      </c>
      <c r="V510" s="13">
        <f t="shared" si="67"/>
        <v>1650.9744000000005</v>
      </c>
      <c r="W510" s="5">
        <f t="shared" si="68"/>
        <v>0.42104079838938052</v>
      </c>
      <c r="X510" s="17" t="str">
        <f t="shared" si="69"/>
        <v>Apr-2023</v>
      </c>
      <c r="Z510" t="str">
        <f t="shared" si="70"/>
        <v>Europe. France. Lyon</v>
      </c>
      <c r="AA510" t="str">
        <f t="shared" si="71"/>
        <v>Low</v>
      </c>
      <c r="AB510" t="str">
        <f t="array" ref="AB510">TEXT(MIN(IF($E$2:$E$633=E510, $B$2:$B$633)), "YYYY-MM")</f>
        <v>2023-01</v>
      </c>
      <c r="AC510" s="13">
        <f>SUM($T$2:T510)</f>
        <v>8740721.8424900044</v>
      </c>
    </row>
    <row r="511" spans="1:29" x14ac:dyDescent="0.45">
      <c r="A511" t="s">
        <v>523</v>
      </c>
      <c r="B511" s="2">
        <v>45608</v>
      </c>
      <c r="C511" s="2">
        <v>45617</v>
      </c>
      <c r="D511" t="s">
        <v>647</v>
      </c>
      <c r="E511" t="s">
        <v>654</v>
      </c>
      <c r="F511" t="s">
        <v>691</v>
      </c>
      <c r="G511" t="s">
        <v>701</v>
      </c>
      <c r="H511" s="9" t="s">
        <v>711</v>
      </c>
      <c r="I511" s="9" t="s">
        <v>722</v>
      </c>
      <c r="J511" s="9" t="s">
        <v>731</v>
      </c>
      <c r="K511" t="s">
        <v>1242</v>
      </c>
      <c r="L511" s="7">
        <v>903.41</v>
      </c>
      <c r="M511" s="7">
        <v>1860.41</v>
      </c>
      <c r="N511" s="5">
        <v>0.108</v>
      </c>
      <c r="O511">
        <v>5</v>
      </c>
      <c r="P511" s="2">
        <f t="shared" si="63"/>
        <v>45617</v>
      </c>
      <c r="Q511" t="str">
        <f t="shared" si="64"/>
        <v>Ok</v>
      </c>
      <c r="R511">
        <f>ABS(Table2[[#This Row],[UnitPrice]])</f>
        <v>1860.41</v>
      </c>
      <c r="S511">
        <f t="shared" si="65"/>
        <v>9</v>
      </c>
      <c r="T511" s="12">
        <f t="shared" si="66"/>
        <v>8297.4286000000011</v>
      </c>
      <c r="U511">
        <f>Table2[[#This Row],[UnitCost]]*Table2[[#This Row],[Quantity]]</f>
        <v>4517.05</v>
      </c>
      <c r="V511" s="13">
        <f t="shared" si="67"/>
        <v>3780.3786000000009</v>
      </c>
      <c r="W511" s="5">
        <f t="shared" si="68"/>
        <v>0.455608451996803</v>
      </c>
      <c r="X511" s="17" t="str">
        <f t="shared" si="69"/>
        <v>Nov-2024</v>
      </c>
      <c r="Z511" t="str">
        <f t="shared" si="70"/>
        <v>Asia. India. Mumbai</v>
      </c>
      <c r="AA511" t="str">
        <f t="shared" si="71"/>
        <v>High</v>
      </c>
      <c r="AB511" t="str">
        <f t="array" ref="AB511">TEXT(MIN(IF($E$2:$E$633=E511, $B$2:$B$633)), "YYYY-MM")</f>
        <v>2023-01</v>
      </c>
      <c r="AC511" s="13">
        <f>SUM($T$2:T511)</f>
        <v>8749019.2710900046</v>
      </c>
    </row>
    <row r="512" spans="1:29" x14ac:dyDescent="0.45">
      <c r="A512" t="s">
        <v>524</v>
      </c>
      <c r="B512" s="2">
        <v>45056</v>
      </c>
      <c r="C512" s="2">
        <v>45060</v>
      </c>
      <c r="D512" t="s">
        <v>647</v>
      </c>
      <c r="E512" t="s">
        <v>654</v>
      </c>
      <c r="F512" t="s">
        <v>680</v>
      </c>
      <c r="G512" t="s">
        <v>703</v>
      </c>
      <c r="H512" s="9" t="s">
        <v>710</v>
      </c>
      <c r="I512" s="9" t="s">
        <v>712</v>
      </c>
      <c r="J512" s="9" t="s">
        <v>732</v>
      </c>
      <c r="K512" t="s">
        <v>1243</v>
      </c>
      <c r="L512" s="7">
        <v>622.6</v>
      </c>
      <c r="M512" s="7">
        <v>833.69</v>
      </c>
      <c r="N512" s="5">
        <v>0.20899999999999999</v>
      </c>
      <c r="O512">
        <v>14</v>
      </c>
      <c r="P512" s="2">
        <f t="shared" si="63"/>
        <v>45060</v>
      </c>
      <c r="Q512" t="str">
        <f t="shared" si="64"/>
        <v>Ok</v>
      </c>
      <c r="R512">
        <f>ABS(Table2[[#This Row],[UnitPrice]])</f>
        <v>833.69</v>
      </c>
      <c r="S512">
        <f t="shared" si="65"/>
        <v>4</v>
      </c>
      <c r="T512" s="12">
        <f t="shared" si="66"/>
        <v>9232.2830599999998</v>
      </c>
      <c r="U512">
        <f>Table2[[#This Row],[UnitCost]]*Table2[[#This Row],[Quantity]]</f>
        <v>8716.4</v>
      </c>
      <c r="V512" s="13">
        <f t="shared" si="67"/>
        <v>515.88306000000011</v>
      </c>
      <c r="W512" s="5">
        <f t="shared" si="68"/>
        <v>5.5878167582959715E-2</v>
      </c>
      <c r="X512" s="17" t="str">
        <f t="shared" si="69"/>
        <v>May-2023</v>
      </c>
      <c r="Z512" t="str">
        <f t="shared" si="70"/>
        <v>Asia. India. Delhi</v>
      </c>
      <c r="AA512" t="str">
        <f t="shared" si="71"/>
        <v>Low</v>
      </c>
      <c r="AB512" t="str">
        <f t="array" ref="AB512">TEXT(MIN(IF($E$2:$E$633=E512, $B$2:$B$633)), "YYYY-MM")</f>
        <v>2023-01</v>
      </c>
      <c r="AC512" s="13">
        <f>SUM($T$2:T512)</f>
        <v>8758251.5541500039</v>
      </c>
    </row>
    <row r="513" spans="1:29" x14ac:dyDescent="0.45">
      <c r="A513" t="s">
        <v>525</v>
      </c>
      <c r="B513" s="2">
        <v>45353</v>
      </c>
      <c r="C513" s="2">
        <v>45374</v>
      </c>
      <c r="D513" t="s">
        <v>648</v>
      </c>
      <c r="E513" t="s">
        <v>660</v>
      </c>
      <c r="F513" t="s">
        <v>677</v>
      </c>
      <c r="G513" t="s">
        <v>705</v>
      </c>
      <c r="H513" s="9" t="s">
        <v>708</v>
      </c>
      <c r="I513" s="9" t="s">
        <v>721</v>
      </c>
      <c r="J513" s="9" t="s">
        <v>727</v>
      </c>
      <c r="K513" t="s">
        <v>1244</v>
      </c>
      <c r="L513" s="7">
        <v>225.01</v>
      </c>
      <c r="M513" s="7">
        <v>333.48</v>
      </c>
      <c r="N513" s="5">
        <v>0.11899999999999999</v>
      </c>
      <c r="O513">
        <v>12</v>
      </c>
      <c r="P513" s="2">
        <f t="shared" si="63"/>
        <v>45374</v>
      </c>
      <c r="Q513" t="str">
        <f t="shared" si="64"/>
        <v>Ok</v>
      </c>
      <c r="R513">
        <f>ABS(Table2[[#This Row],[UnitPrice]])</f>
        <v>333.48</v>
      </c>
      <c r="S513">
        <f t="shared" si="65"/>
        <v>21</v>
      </c>
      <c r="T513" s="12">
        <f t="shared" si="66"/>
        <v>3525.5505600000001</v>
      </c>
      <c r="U513">
        <f>Table2[[#This Row],[UnitCost]]*Table2[[#This Row],[Quantity]]</f>
        <v>2700.12</v>
      </c>
      <c r="V513" s="13">
        <f t="shared" si="67"/>
        <v>825.43056000000024</v>
      </c>
      <c r="W513" s="5">
        <f t="shared" si="68"/>
        <v>0.23412813004729685</v>
      </c>
      <c r="X513" s="17" t="str">
        <f t="shared" si="69"/>
        <v>Mar-2024</v>
      </c>
      <c r="Z513" t="str">
        <f t="shared" si="70"/>
        <v>Americas. USA. Chicago</v>
      </c>
      <c r="AA513" t="str">
        <f t="shared" si="71"/>
        <v>Low</v>
      </c>
      <c r="AB513" t="str">
        <f t="array" ref="AB513">TEXT(MIN(IF($E$2:$E$633=E513, $B$2:$B$633)), "YYYY-MM")</f>
        <v>2023-01</v>
      </c>
      <c r="AC513" s="13">
        <f>SUM($T$2:T513)</f>
        <v>8761777.1047100034</v>
      </c>
    </row>
    <row r="514" spans="1:29" x14ac:dyDescent="0.45">
      <c r="A514" t="s">
        <v>526</v>
      </c>
      <c r="B514" s="2">
        <v>45575</v>
      </c>
      <c r="C514" s="2">
        <v>45576</v>
      </c>
      <c r="D514" t="s">
        <v>649</v>
      </c>
      <c r="E514" t="s">
        <v>658</v>
      </c>
      <c r="F514" t="s">
        <v>693</v>
      </c>
      <c r="G514" t="s">
        <v>703</v>
      </c>
      <c r="H514" s="9" t="s">
        <v>710</v>
      </c>
      <c r="I514" s="9" t="s">
        <v>716</v>
      </c>
      <c r="J514" s="9" t="s">
        <v>727</v>
      </c>
      <c r="K514" t="s">
        <v>1245</v>
      </c>
      <c r="L514" s="7">
        <v>1389.46</v>
      </c>
      <c r="M514" s="7">
        <v>1784.7</v>
      </c>
      <c r="N514" s="5">
        <v>0.14599999999999999</v>
      </c>
      <c r="O514">
        <v>33</v>
      </c>
      <c r="P514" s="2">
        <f t="shared" ref="P514:P577" si="72">IF(C514&lt;B514,B514+7,C514)</f>
        <v>45576</v>
      </c>
      <c r="Q514" t="str">
        <f t="shared" ref="Q514:Q577" si="73">IF(M514&lt;0, "Invalid Price","Ok")</f>
        <v>Ok</v>
      </c>
      <c r="R514">
        <f>ABS(Table2[[#This Row],[UnitPrice]])</f>
        <v>1784.7</v>
      </c>
      <c r="S514">
        <f t="shared" si="65"/>
        <v>1</v>
      </c>
      <c r="T514" s="12">
        <f t="shared" si="66"/>
        <v>50296.415399999998</v>
      </c>
      <c r="U514">
        <f>Table2[[#This Row],[UnitCost]]*Table2[[#This Row],[Quantity]]</f>
        <v>45852.18</v>
      </c>
      <c r="V514" s="13">
        <f t="shared" si="67"/>
        <v>4444.2353999999978</v>
      </c>
      <c r="W514" s="5">
        <f t="shared" si="68"/>
        <v>8.8360877503011831E-2</v>
      </c>
      <c r="X514" s="17" t="str">
        <f t="shared" si="69"/>
        <v>Oct-2024</v>
      </c>
      <c r="Z514" t="str">
        <f t="shared" si="70"/>
        <v>Europe. United Kingdom. Manchester</v>
      </c>
      <c r="AA514" t="str">
        <f t="shared" si="71"/>
        <v>High</v>
      </c>
      <c r="AB514" t="str">
        <f t="array" ref="AB514">TEXT(MIN(IF($E$2:$E$633=E514, $B$2:$B$633)), "YYYY-MM")</f>
        <v>2023-01</v>
      </c>
      <c r="AC514" s="13">
        <f>SUM($T$2:T514)</f>
        <v>8812073.5201100037</v>
      </c>
    </row>
    <row r="515" spans="1:29" x14ac:dyDescent="0.45">
      <c r="A515" t="s">
        <v>527</v>
      </c>
      <c r="B515" s="2">
        <v>45078</v>
      </c>
      <c r="C515" s="2">
        <v>45085</v>
      </c>
      <c r="D515" t="s">
        <v>649</v>
      </c>
      <c r="E515" t="s">
        <v>656</v>
      </c>
      <c r="F515" t="s">
        <v>698</v>
      </c>
      <c r="G515" t="s">
        <v>704</v>
      </c>
      <c r="H515" s="9" t="s">
        <v>708</v>
      </c>
      <c r="I515" s="9" t="s">
        <v>720</v>
      </c>
      <c r="J515" s="9" t="s">
        <v>730</v>
      </c>
      <c r="K515" t="s">
        <v>1246</v>
      </c>
      <c r="L515" s="7">
        <v>804.17</v>
      </c>
      <c r="M515" s="7">
        <v>1072.29</v>
      </c>
      <c r="N515" s="5">
        <v>3.2000000000000001E-2</v>
      </c>
      <c r="O515">
        <v>5</v>
      </c>
      <c r="P515" s="2">
        <f t="shared" si="72"/>
        <v>45085</v>
      </c>
      <c r="Q515" t="str">
        <f t="shared" si="73"/>
        <v>Ok</v>
      </c>
      <c r="R515">
        <f>ABS(Table2[[#This Row],[UnitPrice]])</f>
        <v>1072.29</v>
      </c>
      <c r="S515">
        <f t="shared" ref="S515:S578" si="74">P515-B515</f>
        <v>7</v>
      </c>
      <c r="T515" s="12">
        <f t="shared" ref="T515:T578" si="75">R515*O515*(1-N515)</f>
        <v>5189.8836000000001</v>
      </c>
      <c r="U515">
        <f>Table2[[#This Row],[UnitCost]]*Table2[[#This Row],[Quantity]]</f>
        <v>4020.85</v>
      </c>
      <c r="V515" s="13">
        <f t="shared" ref="V515:V578" si="76">T515-U515</f>
        <v>1169.0336000000002</v>
      </c>
      <c r="W515" s="5">
        <f t="shared" ref="W515:W578" si="77">IF(V515=0,0,V515/T515)</f>
        <v>0.2252523736755869</v>
      </c>
      <c r="X515" s="17" t="str">
        <f t="shared" ref="X515:X578" si="78">TEXT(B515,"mmm-yyyy")</f>
        <v>Jun-2023</v>
      </c>
      <c r="Z515" t="str">
        <f t="shared" ref="Z515:Z578" si="79">CONCATENATE(D515,". ",E515,". ",F515)</f>
        <v>Europe. Germany. Frankfurt</v>
      </c>
      <c r="AA515" t="str">
        <f t="shared" ref="AA515:AA578" si="80">IF(M515&lt;1193.87, "Low",IF(M515&gt;1193.87,"High","Medium"))</f>
        <v>Low</v>
      </c>
      <c r="AB515" t="str">
        <f t="array" ref="AB515">TEXT(MIN(IF($E$2:$E$633=E515, $B$2:$B$633)), "YYYY-MM")</f>
        <v>2023-01</v>
      </c>
      <c r="AC515" s="13">
        <f>SUM($T$2:T515)</f>
        <v>8817263.4037100039</v>
      </c>
    </row>
    <row r="516" spans="1:29" x14ac:dyDescent="0.45">
      <c r="A516" t="s">
        <v>528</v>
      </c>
      <c r="B516" s="2">
        <v>45661</v>
      </c>
      <c r="C516" s="2">
        <v>45662</v>
      </c>
      <c r="D516" t="s">
        <v>647</v>
      </c>
      <c r="E516" t="s">
        <v>654</v>
      </c>
      <c r="F516" t="s">
        <v>680</v>
      </c>
      <c r="G516" t="s">
        <v>702</v>
      </c>
      <c r="H516" s="9" t="s">
        <v>707</v>
      </c>
      <c r="I516" s="9" t="s">
        <v>714</v>
      </c>
      <c r="J516" s="9" t="s">
        <v>727</v>
      </c>
      <c r="K516" t="s">
        <v>1247</v>
      </c>
      <c r="L516" s="7">
        <v>1428.33</v>
      </c>
      <c r="M516" s="7">
        <v>3028.05</v>
      </c>
      <c r="N516" s="5">
        <v>0</v>
      </c>
      <c r="O516">
        <v>11</v>
      </c>
      <c r="P516" s="2">
        <f t="shared" si="72"/>
        <v>45662</v>
      </c>
      <c r="Q516" t="str">
        <f t="shared" si="73"/>
        <v>Ok</v>
      </c>
      <c r="R516">
        <f>ABS(Table2[[#This Row],[UnitPrice]])</f>
        <v>3028.05</v>
      </c>
      <c r="S516">
        <f t="shared" si="74"/>
        <v>1</v>
      </c>
      <c r="T516" s="12">
        <f t="shared" si="75"/>
        <v>33308.550000000003</v>
      </c>
      <c r="U516">
        <f>Table2[[#This Row],[UnitCost]]*Table2[[#This Row],[Quantity]]</f>
        <v>15711.63</v>
      </c>
      <c r="V516" s="13">
        <f t="shared" si="76"/>
        <v>17596.920000000006</v>
      </c>
      <c r="W516" s="5">
        <f t="shared" si="77"/>
        <v>0.52830039134096207</v>
      </c>
      <c r="X516" s="17" t="str">
        <f t="shared" si="78"/>
        <v>Jan-2025</v>
      </c>
      <c r="Z516" t="str">
        <f t="shared" si="79"/>
        <v>Asia. India. Delhi</v>
      </c>
      <c r="AA516" t="str">
        <f t="shared" si="80"/>
        <v>High</v>
      </c>
      <c r="AB516" t="str">
        <f t="array" ref="AB516">TEXT(MIN(IF($E$2:$E$633=E516, $B$2:$B$633)), "YYYY-MM")</f>
        <v>2023-01</v>
      </c>
      <c r="AC516" s="13">
        <f>SUM($T$2:T516)</f>
        <v>8850571.9537100047</v>
      </c>
    </row>
    <row r="517" spans="1:29" x14ac:dyDescent="0.45">
      <c r="A517" t="s">
        <v>529</v>
      </c>
      <c r="B517" s="2">
        <v>45874</v>
      </c>
      <c r="C517" s="2">
        <v>45897</v>
      </c>
      <c r="D517" t="s">
        <v>647</v>
      </c>
      <c r="E517" t="s">
        <v>654</v>
      </c>
      <c r="F517" t="s">
        <v>691</v>
      </c>
      <c r="G517" t="s">
        <v>703</v>
      </c>
      <c r="H517" s="9" t="s">
        <v>710</v>
      </c>
      <c r="I517" s="9" t="s">
        <v>725</v>
      </c>
      <c r="J517" s="9" t="s">
        <v>731</v>
      </c>
      <c r="K517" t="s">
        <v>1248</v>
      </c>
      <c r="L517" s="7">
        <v>638.54</v>
      </c>
      <c r="M517" s="7">
        <v>987.24</v>
      </c>
      <c r="N517" s="5">
        <v>0</v>
      </c>
      <c r="O517">
        <v>11</v>
      </c>
      <c r="P517" s="2">
        <f t="shared" si="72"/>
        <v>45897</v>
      </c>
      <c r="Q517" t="str">
        <f t="shared" si="73"/>
        <v>Ok</v>
      </c>
      <c r="R517">
        <f>ABS(Table2[[#This Row],[UnitPrice]])</f>
        <v>987.24</v>
      </c>
      <c r="S517">
        <f t="shared" si="74"/>
        <v>23</v>
      </c>
      <c r="T517" s="12">
        <f t="shared" si="75"/>
        <v>10859.64</v>
      </c>
      <c r="U517">
        <f>Table2[[#This Row],[UnitCost]]*Table2[[#This Row],[Quantity]]</f>
        <v>7023.94</v>
      </c>
      <c r="V517" s="13">
        <f t="shared" si="76"/>
        <v>3835.7</v>
      </c>
      <c r="W517" s="5">
        <f t="shared" si="77"/>
        <v>0.35320692030306716</v>
      </c>
      <c r="X517" s="17" t="str">
        <f t="shared" si="78"/>
        <v>Aug-2025</v>
      </c>
      <c r="Z517" t="str">
        <f t="shared" si="79"/>
        <v>Asia. India. Mumbai</v>
      </c>
      <c r="AA517" t="str">
        <f t="shared" si="80"/>
        <v>Low</v>
      </c>
      <c r="AB517" t="str">
        <f t="array" ref="AB517">TEXT(MIN(IF($E$2:$E$633=E517, $B$2:$B$633)), "YYYY-MM")</f>
        <v>2023-01</v>
      </c>
      <c r="AC517" s="13">
        <f>SUM($T$2:T517)</f>
        <v>8861431.5937100053</v>
      </c>
    </row>
    <row r="518" spans="1:29" x14ac:dyDescent="0.45">
      <c r="A518" t="s">
        <v>530</v>
      </c>
      <c r="B518" s="2">
        <v>45199</v>
      </c>
      <c r="C518" s="2">
        <v>45229</v>
      </c>
      <c r="D518" t="s">
        <v>647</v>
      </c>
      <c r="E518" t="s">
        <v>652</v>
      </c>
      <c r="F518" t="s">
        <v>689</v>
      </c>
      <c r="G518" t="s">
        <v>706</v>
      </c>
      <c r="H518" s="9" t="s">
        <v>708</v>
      </c>
      <c r="I518" s="9" t="s">
        <v>726</v>
      </c>
      <c r="J518" s="9" t="s">
        <v>728</v>
      </c>
      <c r="K518" t="s">
        <v>1249</v>
      </c>
      <c r="L518" s="7">
        <v>649.13</v>
      </c>
      <c r="M518" s="7">
        <v>975.43</v>
      </c>
      <c r="N518" s="5">
        <v>0.157</v>
      </c>
      <c r="O518">
        <v>27</v>
      </c>
      <c r="P518" s="2">
        <f t="shared" si="72"/>
        <v>45229</v>
      </c>
      <c r="Q518" t="str">
        <f t="shared" si="73"/>
        <v>Ok</v>
      </c>
      <c r="R518">
        <f>ABS(Table2[[#This Row],[UnitPrice]])</f>
        <v>975.43</v>
      </c>
      <c r="S518">
        <f t="shared" si="74"/>
        <v>30</v>
      </c>
      <c r="T518" s="12">
        <f t="shared" si="75"/>
        <v>22201.762229999997</v>
      </c>
      <c r="U518">
        <f>Table2[[#This Row],[UnitCost]]*Table2[[#This Row],[Quantity]]</f>
        <v>17526.509999999998</v>
      </c>
      <c r="V518" s="13">
        <f t="shared" si="76"/>
        <v>4675.2522299999982</v>
      </c>
      <c r="W518" s="5">
        <f t="shared" si="77"/>
        <v>0.21058023149543473</v>
      </c>
      <c r="X518" s="17" t="str">
        <f t="shared" si="78"/>
        <v>Sep-2023</v>
      </c>
      <c r="Z518" t="str">
        <f t="shared" si="79"/>
        <v>Asia. Japan. Tokyo</v>
      </c>
      <c r="AA518" t="str">
        <f t="shared" si="80"/>
        <v>Low</v>
      </c>
      <c r="AB518" t="str">
        <f t="array" ref="AB518">TEXT(MIN(IF($E$2:$E$633=E518, $B$2:$B$633)), "YYYY-MM")</f>
        <v>2023-03</v>
      </c>
      <c r="AC518" s="13">
        <f>SUM($T$2:T518)</f>
        <v>8883633.3559400048</v>
      </c>
    </row>
    <row r="519" spans="1:29" x14ac:dyDescent="0.45">
      <c r="A519" t="s">
        <v>531</v>
      </c>
      <c r="B519" s="2">
        <v>45794</v>
      </c>
      <c r="C519" s="2">
        <v>45807</v>
      </c>
      <c r="D519" t="s">
        <v>646</v>
      </c>
      <c r="E519" t="s">
        <v>651</v>
      </c>
      <c r="F519" t="s">
        <v>665</v>
      </c>
      <c r="G519" t="s">
        <v>704</v>
      </c>
      <c r="H519" s="9" t="s">
        <v>710</v>
      </c>
      <c r="I519" s="9" t="s">
        <v>721</v>
      </c>
      <c r="J519" s="9" t="s">
        <v>733</v>
      </c>
      <c r="K519" t="s">
        <v>1250</v>
      </c>
      <c r="L519" s="7">
        <v>66.400000000000006</v>
      </c>
      <c r="M519" s="7">
        <v>141.43</v>
      </c>
      <c r="N519" s="5">
        <v>0.107</v>
      </c>
      <c r="O519">
        <v>8</v>
      </c>
      <c r="P519" s="2">
        <f t="shared" si="72"/>
        <v>45807</v>
      </c>
      <c r="Q519" t="str">
        <f t="shared" si="73"/>
        <v>Ok</v>
      </c>
      <c r="R519">
        <f>ABS(Table2[[#This Row],[UnitPrice]])</f>
        <v>141.43</v>
      </c>
      <c r="S519">
        <f t="shared" si="74"/>
        <v>13</v>
      </c>
      <c r="T519" s="12">
        <f t="shared" si="75"/>
        <v>1010.3759200000001</v>
      </c>
      <c r="U519">
        <f>Table2[[#This Row],[UnitCost]]*Table2[[#This Row],[Quantity]]</f>
        <v>531.20000000000005</v>
      </c>
      <c r="V519" s="13">
        <f t="shared" si="76"/>
        <v>479.17592000000002</v>
      </c>
      <c r="W519" s="5">
        <f t="shared" si="77"/>
        <v>0.47425508715607551</v>
      </c>
      <c r="X519" s="17" t="str">
        <f t="shared" si="78"/>
        <v>May-2025</v>
      </c>
      <c r="Z519" t="str">
        <f t="shared" si="79"/>
        <v>Africa. Nigeria. Lagos</v>
      </c>
      <c r="AA519" t="str">
        <f t="shared" si="80"/>
        <v>Low</v>
      </c>
      <c r="AB519" t="str">
        <f t="array" ref="AB519">TEXT(MIN(IF($E$2:$E$633=E519, $B$2:$B$633)), "YYYY-MM")</f>
        <v>2023-01</v>
      </c>
      <c r="AC519" s="13">
        <f>SUM($T$2:T519)</f>
        <v>8884643.7318600044</v>
      </c>
    </row>
    <row r="520" spans="1:29" x14ac:dyDescent="0.45">
      <c r="A520" t="s">
        <v>532</v>
      </c>
      <c r="B520" s="2">
        <v>45413</v>
      </c>
      <c r="C520" s="2">
        <v>45438</v>
      </c>
      <c r="D520" t="s">
        <v>649</v>
      </c>
      <c r="E520" t="s">
        <v>656</v>
      </c>
      <c r="F520" t="s">
        <v>671</v>
      </c>
      <c r="G520" t="s">
        <v>703</v>
      </c>
      <c r="H520" s="9" t="s">
        <v>707</v>
      </c>
      <c r="I520" s="9" t="s">
        <v>717</v>
      </c>
      <c r="J520" s="9" t="s">
        <v>729</v>
      </c>
      <c r="K520" t="s">
        <v>1251</v>
      </c>
      <c r="L520" s="7">
        <v>930.71</v>
      </c>
      <c r="M520" s="7">
        <v>1625.42</v>
      </c>
      <c r="N520" s="5">
        <v>0.13800000000000001</v>
      </c>
      <c r="O520">
        <v>7</v>
      </c>
      <c r="P520" s="2">
        <f t="shared" si="72"/>
        <v>45438</v>
      </c>
      <c r="Q520" t="str">
        <f t="shared" si="73"/>
        <v>Ok</v>
      </c>
      <c r="R520">
        <f>ABS(Table2[[#This Row],[UnitPrice]])</f>
        <v>1625.42</v>
      </c>
      <c r="S520">
        <f t="shared" si="74"/>
        <v>25</v>
      </c>
      <c r="T520" s="12">
        <f t="shared" si="75"/>
        <v>9807.7842799999999</v>
      </c>
      <c r="U520">
        <f>Table2[[#This Row],[UnitCost]]*Table2[[#This Row],[Quantity]]</f>
        <v>6514.97</v>
      </c>
      <c r="V520" s="13">
        <f t="shared" si="76"/>
        <v>3292.8142799999996</v>
      </c>
      <c r="W520" s="5">
        <f t="shared" si="77"/>
        <v>0.33573477821231196</v>
      </c>
      <c r="X520" s="17" t="str">
        <f t="shared" si="78"/>
        <v>May-2024</v>
      </c>
      <c r="Z520" t="str">
        <f t="shared" si="79"/>
        <v>Europe. Germany. Berlin</v>
      </c>
      <c r="AA520" t="str">
        <f t="shared" si="80"/>
        <v>High</v>
      </c>
      <c r="AB520" t="str">
        <f t="array" ref="AB520">TEXT(MIN(IF($E$2:$E$633=E520, $B$2:$B$633)), "YYYY-MM")</f>
        <v>2023-01</v>
      </c>
      <c r="AC520" s="13">
        <f>SUM($T$2:T520)</f>
        <v>8894451.5161400046</v>
      </c>
    </row>
    <row r="521" spans="1:29" x14ac:dyDescent="0.45">
      <c r="A521" t="s">
        <v>533</v>
      </c>
      <c r="B521" s="2">
        <v>45047</v>
      </c>
      <c r="C521" s="2">
        <v>45064</v>
      </c>
      <c r="D521" t="s">
        <v>646</v>
      </c>
      <c r="E521" t="s">
        <v>651</v>
      </c>
      <c r="F521" t="s">
        <v>663</v>
      </c>
      <c r="G521" t="s">
        <v>701</v>
      </c>
      <c r="H521" s="9" t="s">
        <v>711</v>
      </c>
      <c r="I521" s="9" t="s">
        <v>721</v>
      </c>
      <c r="J521" s="9" t="s">
        <v>727</v>
      </c>
      <c r="K521" t="s">
        <v>1252</v>
      </c>
      <c r="L521" s="7">
        <v>327.97</v>
      </c>
      <c r="M521" s="7">
        <v>299.94</v>
      </c>
      <c r="N521" s="5">
        <v>4.9000000000000002E-2</v>
      </c>
      <c r="O521">
        <v>3</v>
      </c>
      <c r="P521" s="2">
        <f t="shared" si="72"/>
        <v>45064</v>
      </c>
      <c r="Q521" t="str">
        <f t="shared" si="73"/>
        <v>Ok</v>
      </c>
      <c r="R521">
        <f>ABS(Table2[[#This Row],[UnitPrice]])</f>
        <v>299.94</v>
      </c>
      <c r="S521">
        <f t="shared" si="74"/>
        <v>17</v>
      </c>
      <c r="T521" s="12">
        <f t="shared" si="75"/>
        <v>855.72881999999993</v>
      </c>
      <c r="U521">
        <f>Table2[[#This Row],[UnitCost]]*Table2[[#This Row],[Quantity]]</f>
        <v>983.91000000000008</v>
      </c>
      <c r="V521" s="13">
        <f t="shared" si="76"/>
        <v>-128.18118000000015</v>
      </c>
      <c r="W521" s="5">
        <f t="shared" si="77"/>
        <v>-0.14979182306843442</v>
      </c>
      <c r="X521" s="17" t="str">
        <f t="shared" si="78"/>
        <v>May-2023</v>
      </c>
      <c r="Z521" t="str">
        <f t="shared" si="79"/>
        <v>Africa. Nigeria. Port Harcourt</v>
      </c>
      <c r="AA521" t="str">
        <f t="shared" si="80"/>
        <v>Low</v>
      </c>
      <c r="AB521" t="str">
        <f t="array" ref="AB521">TEXT(MIN(IF($E$2:$E$633=E521, $B$2:$B$633)), "YYYY-MM")</f>
        <v>2023-01</v>
      </c>
      <c r="AC521" s="13">
        <f>SUM($T$2:T521)</f>
        <v>8895307.2449600045</v>
      </c>
    </row>
    <row r="522" spans="1:29" x14ac:dyDescent="0.45">
      <c r="A522" t="s">
        <v>534</v>
      </c>
      <c r="B522" s="2">
        <v>45482</v>
      </c>
      <c r="C522" s="2">
        <v>45512</v>
      </c>
      <c r="D522" t="s">
        <v>649</v>
      </c>
      <c r="E522" t="s">
        <v>657</v>
      </c>
      <c r="F522" t="s">
        <v>673</v>
      </c>
      <c r="G522" t="s">
        <v>701</v>
      </c>
      <c r="H522" s="9" t="s">
        <v>711</v>
      </c>
      <c r="I522" s="9" t="s">
        <v>713</v>
      </c>
      <c r="J522" s="9" t="s">
        <v>727</v>
      </c>
      <c r="K522" t="s">
        <v>1253</v>
      </c>
      <c r="L522" s="7">
        <v>1062.3800000000001</v>
      </c>
      <c r="M522" s="7">
        <v>1503.96</v>
      </c>
      <c r="N522" s="5">
        <v>0.18</v>
      </c>
      <c r="O522">
        <v>6</v>
      </c>
      <c r="P522" s="2">
        <f t="shared" si="72"/>
        <v>45512</v>
      </c>
      <c r="Q522" t="str">
        <f t="shared" si="73"/>
        <v>Ok</v>
      </c>
      <c r="R522">
        <f>ABS(Table2[[#This Row],[UnitPrice]])</f>
        <v>1503.96</v>
      </c>
      <c r="S522">
        <f t="shared" si="74"/>
        <v>30</v>
      </c>
      <c r="T522" s="12">
        <f t="shared" si="75"/>
        <v>7399.4832000000006</v>
      </c>
      <c r="U522">
        <f>Table2[[#This Row],[UnitCost]]*Table2[[#This Row],[Quantity]]</f>
        <v>6374.2800000000007</v>
      </c>
      <c r="V522" s="13">
        <f t="shared" si="76"/>
        <v>1025.2031999999999</v>
      </c>
      <c r="W522" s="5">
        <f t="shared" si="77"/>
        <v>0.13855064905073369</v>
      </c>
      <c r="X522" s="17" t="str">
        <f t="shared" si="78"/>
        <v>Jul-2024</v>
      </c>
      <c r="Z522" t="str">
        <f t="shared" si="79"/>
        <v>Europe. France. Marseille</v>
      </c>
      <c r="AA522" t="str">
        <f t="shared" si="80"/>
        <v>High</v>
      </c>
      <c r="AB522" t="str">
        <f t="array" ref="AB522">TEXT(MIN(IF($E$2:$E$633=E522, $B$2:$B$633)), "YYYY-MM")</f>
        <v>2023-01</v>
      </c>
      <c r="AC522" s="13">
        <f>SUM($T$2:T522)</f>
        <v>8902706.7281600051</v>
      </c>
    </row>
    <row r="523" spans="1:29" x14ac:dyDescent="0.45">
      <c r="A523" t="s">
        <v>535</v>
      </c>
      <c r="B523" s="2">
        <v>45056</v>
      </c>
      <c r="C523" s="2">
        <v>45073</v>
      </c>
      <c r="D523" t="s">
        <v>647</v>
      </c>
      <c r="E523" t="s">
        <v>654</v>
      </c>
      <c r="F523" t="s">
        <v>691</v>
      </c>
      <c r="G523" t="s">
        <v>704</v>
      </c>
      <c r="H523" s="9" t="s">
        <v>707</v>
      </c>
      <c r="I523" s="9" t="s">
        <v>724</v>
      </c>
      <c r="J523" s="9" t="s">
        <v>731</v>
      </c>
      <c r="K523" t="s">
        <v>1254</v>
      </c>
      <c r="L523" s="7">
        <v>1286.1600000000001</v>
      </c>
      <c r="M523" s="7">
        <v>3101.11</v>
      </c>
      <c r="N523" s="5">
        <v>0.1</v>
      </c>
      <c r="O523">
        <v>23</v>
      </c>
      <c r="P523" s="2">
        <f t="shared" si="72"/>
        <v>45073</v>
      </c>
      <c r="Q523" t="str">
        <f t="shared" si="73"/>
        <v>Ok</v>
      </c>
      <c r="R523">
        <f>ABS(Table2[[#This Row],[UnitPrice]])</f>
        <v>3101.11</v>
      </c>
      <c r="S523">
        <f t="shared" si="74"/>
        <v>17</v>
      </c>
      <c r="T523" s="12">
        <f t="shared" si="75"/>
        <v>64192.976999999999</v>
      </c>
      <c r="U523">
        <f>Table2[[#This Row],[UnitCost]]*Table2[[#This Row],[Quantity]]</f>
        <v>29581.68</v>
      </c>
      <c r="V523" s="13">
        <f t="shared" si="76"/>
        <v>34611.296999999999</v>
      </c>
      <c r="W523" s="5">
        <f t="shared" si="77"/>
        <v>0.53917575749758417</v>
      </c>
      <c r="X523" s="17" t="str">
        <f t="shared" si="78"/>
        <v>May-2023</v>
      </c>
      <c r="Z523" t="str">
        <f t="shared" si="79"/>
        <v>Asia. India. Mumbai</v>
      </c>
      <c r="AA523" t="str">
        <f t="shared" si="80"/>
        <v>High</v>
      </c>
      <c r="AB523" t="str">
        <f t="array" ref="AB523">TEXT(MIN(IF($E$2:$E$633=E523, $B$2:$B$633)), "YYYY-MM")</f>
        <v>2023-01</v>
      </c>
      <c r="AC523" s="13">
        <f>SUM($T$2:T523)</f>
        <v>8966899.705160005</v>
      </c>
    </row>
    <row r="524" spans="1:29" x14ac:dyDescent="0.45">
      <c r="A524" t="s">
        <v>536</v>
      </c>
      <c r="B524" s="2">
        <v>45482</v>
      </c>
      <c r="C524" s="2">
        <v>45485</v>
      </c>
      <c r="D524" t="s">
        <v>647</v>
      </c>
      <c r="E524" t="s">
        <v>659</v>
      </c>
      <c r="F524" t="s">
        <v>685</v>
      </c>
      <c r="G524" t="s">
        <v>705</v>
      </c>
      <c r="H524" s="9" t="s">
        <v>707</v>
      </c>
      <c r="I524" s="9" t="s">
        <v>726</v>
      </c>
      <c r="J524" s="9" t="s">
        <v>733</v>
      </c>
      <c r="K524" t="s">
        <v>1255</v>
      </c>
      <c r="L524" s="7">
        <v>748.39</v>
      </c>
      <c r="M524" s="7">
        <v>979.42</v>
      </c>
      <c r="N524" s="5">
        <v>0</v>
      </c>
      <c r="O524">
        <v>23</v>
      </c>
      <c r="P524" s="2">
        <f t="shared" si="72"/>
        <v>45485</v>
      </c>
      <c r="Q524" t="str">
        <f t="shared" si="73"/>
        <v>Ok</v>
      </c>
      <c r="R524">
        <f>ABS(Table2[[#This Row],[UnitPrice]])</f>
        <v>979.42</v>
      </c>
      <c r="S524">
        <f t="shared" si="74"/>
        <v>3</v>
      </c>
      <c r="T524" s="12">
        <f t="shared" si="75"/>
        <v>22526.66</v>
      </c>
      <c r="U524">
        <f>Table2[[#This Row],[UnitCost]]*Table2[[#This Row],[Quantity]]</f>
        <v>17212.97</v>
      </c>
      <c r="V524" s="13">
        <f t="shared" si="76"/>
        <v>5313.6899999999987</v>
      </c>
      <c r="W524" s="5">
        <f t="shared" si="77"/>
        <v>0.23588450307324738</v>
      </c>
      <c r="X524" s="17" t="str">
        <f t="shared" si="78"/>
        <v>Jul-2024</v>
      </c>
      <c r="Z524" t="str">
        <f t="shared" si="79"/>
        <v>Asia. China. Shanghai</v>
      </c>
      <c r="AA524" t="str">
        <f t="shared" si="80"/>
        <v>Low</v>
      </c>
      <c r="AB524" t="str">
        <f t="array" ref="AB524">TEXT(MIN(IF($E$2:$E$633=E524, $B$2:$B$633)), "YYYY-MM")</f>
        <v>2023-01</v>
      </c>
      <c r="AC524" s="13">
        <f>SUM($T$2:T524)</f>
        <v>8989426.3651600052</v>
      </c>
    </row>
    <row r="525" spans="1:29" x14ac:dyDescent="0.45">
      <c r="A525" t="s">
        <v>537</v>
      </c>
      <c r="B525" s="2">
        <v>45406</v>
      </c>
      <c r="C525" s="2">
        <v>45422</v>
      </c>
      <c r="D525" t="s">
        <v>646</v>
      </c>
      <c r="E525" t="s">
        <v>650</v>
      </c>
      <c r="F525" t="s">
        <v>662</v>
      </c>
      <c r="G525" t="s">
        <v>703</v>
      </c>
      <c r="H525" s="9" t="s">
        <v>708</v>
      </c>
      <c r="I525" s="9" t="s">
        <v>725</v>
      </c>
      <c r="J525" s="9" t="s">
        <v>732</v>
      </c>
      <c r="K525" t="s">
        <v>1256</v>
      </c>
      <c r="L525" s="7">
        <v>513.30999999999995</v>
      </c>
      <c r="M525" s="7">
        <v>1186.26</v>
      </c>
      <c r="N525" s="5">
        <v>9.4E-2</v>
      </c>
      <c r="O525">
        <v>15</v>
      </c>
      <c r="P525" s="2">
        <f t="shared" si="72"/>
        <v>45422</v>
      </c>
      <c r="Q525" t="str">
        <f t="shared" si="73"/>
        <v>Ok</v>
      </c>
      <c r="R525">
        <f>ABS(Table2[[#This Row],[UnitPrice]])</f>
        <v>1186.26</v>
      </c>
      <c r="S525">
        <f t="shared" si="74"/>
        <v>16</v>
      </c>
      <c r="T525" s="12">
        <f t="shared" si="75"/>
        <v>16121.273400000002</v>
      </c>
      <c r="U525">
        <f>Table2[[#This Row],[UnitCost]]*Table2[[#This Row],[Quantity]]</f>
        <v>7699.65</v>
      </c>
      <c r="V525" s="13">
        <f t="shared" si="76"/>
        <v>8421.6234000000022</v>
      </c>
      <c r="W525" s="5">
        <f t="shared" si="77"/>
        <v>0.52239194702820446</v>
      </c>
      <c r="X525" s="17" t="str">
        <f t="shared" si="78"/>
        <v>Apr-2024</v>
      </c>
      <c r="Z525" t="str">
        <f t="shared" si="79"/>
        <v>Africa. Kenya. Kisumu</v>
      </c>
      <c r="AA525" t="str">
        <f t="shared" si="80"/>
        <v>Low</v>
      </c>
      <c r="AB525" t="str">
        <f t="array" ref="AB525">TEXT(MIN(IF($E$2:$E$633=E525, $B$2:$B$633)), "YYYY-MM")</f>
        <v>2023-01</v>
      </c>
      <c r="AC525" s="13">
        <f>SUM($T$2:T525)</f>
        <v>9005547.6385600045</v>
      </c>
    </row>
    <row r="526" spans="1:29" x14ac:dyDescent="0.45">
      <c r="A526" t="s">
        <v>538</v>
      </c>
      <c r="B526" s="2">
        <v>45304</v>
      </c>
      <c r="C526" s="2">
        <v>45306</v>
      </c>
      <c r="D526" t="s">
        <v>648</v>
      </c>
      <c r="E526" t="s">
        <v>660</v>
      </c>
      <c r="F526" t="s">
        <v>686</v>
      </c>
      <c r="G526" t="s">
        <v>703</v>
      </c>
      <c r="H526" s="9" t="s">
        <v>711</v>
      </c>
      <c r="I526" s="9" t="s">
        <v>718</v>
      </c>
      <c r="J526" s="9" t="s">
        <v>727</v>
      </c>
      <c r="K526" t="s">
        <v>1257</v>
      </c>
      <c r="L526" s="7">
        <v>1061.3699999999999</v>
      </c>
      <c r="M526" s="7">
        <v>1938.33</v>
      </c>
      <c r="N526" s="5">
        <v>0.17</v>
      </c>
      <c r="O526">
        <v>4</v>
      </c>
      <c r="P526" s="2">
        <f t="shared" si="72"/>
        <v>45306</v>
      </c>
      <c r="Q526" t="str">
        <f t="shared" si="73"/>
        <v>Ok</v>
      </c>
      <c r="R526">
        <f>ABS(Table2[[#This Row],[UnitPrice]])</f>
        <v>1938.33</v>
      </c>
      <c r="S526">
        <f t="shared" si="74"/>
        <v>2</v>
      </c>
      <c r="T526" s="12">
        <f t="shared" si="75"/>
        <v>6435.2555999999995</v>
      </c>
      <c r="U526">
        <f>Table2[[#This Row],[UnitCost]]*Table2[[#This Row],[Quantity]]</f>
        <v>4245.4799999999996</v>
      </c>
      <c r="V526" s="13">
        <f t="shared" si="76"/>
        <v>2189.7755999999999</v>
      </c>
      <c r="W526" s="5">
        <f t="shared" si="77"/>
        <v>0.34027795259600879</v>
      </c>
      <c r="X526" s="17" t="str">
        <f t="shared" si="78"/>
        <v>Jan-2024</v>
      </c>
      <c r="Z526" t="str">
        <f t="shared" si="79"/>
        <v>Americas. USA. San Francisco</v>
      </c>
      <c r="AA526" t="str">
        <f t="shared" si="80"/>
        <v>High</v>
      </c>
      <c r="AB526" t="str">
        <f t="array" ref="AB526">TEXT(MIN(IF($E$2:$E$633=E526, $B$2:$B$633)), "YYYY-MM")</f>
        <v>2023-01</v>
      </c>
      <c r="AC526" s="13">
        <f>SUM($T$2:T526)</f>
        <v>9011982.8941600043</v>
      </c>
    </row>
    <row r="527" spans="1:29" x14ac:dyDescent="0.45">
      <c r="A527" t="s">
        <v>539</v>
      </c>
      <c r="B527" s="2">
        <v>45398</v>
      </c>
      <c r="C527" s="2">
        <v>45409</v>
      </c>
      <c r="D527" t="s">
        <v>646</v>
      </c>
      <c r="E527" t="s">
        <v>650</v>
      </c>
      <c r="F527" t="s">
        <v>678</v>
      </c>
      <c r="G527" t="s">
        <v>706</v>
      </c>
      <c r="H527" s="9" t="s">
        <v>708</v>
      </c>
      <c r="I527" s="9" t="s">
        <v>726</v>
      </c>
      <c r="J527" s="9" t="s">
        <v>728</v>
      </c>
      <c r="K527" t="s">
        <v>1258</v>
      </c>
      <c r="L527" s="7">
        <v>401.3</v>
      </c>
      <c r="M527" s="7">
        <v>826.47</v>
      </c>
      <c r="N527" s="5">
        <v>0.22500000000000001</v>
      </c>
      <c r="O527">
        <v>13</v>
      </c>
      <c r="P527" s="2">
        <f t="shared" si="72"/>
        <v>45409</v>
      </c>
      <c r="Q527" t="str">
        <f t="shared" si="73"/>
        <v>Ok</v>
      </c>
      <c r="R527">
        <f>ABS(Table2[[#This Row],[UnitPrice]])</f>
        <v>826.47</v>
      </c>
      <c r="S527">
        <f t="shared" si="74"/>
        <v>11</v>
      </c>
      <c r="T527" s="12">
        <f t="shared" si="75"/>
        <v>8326.6852500000005</v>
      </c>
      <c r="U527">
        <f>Table2[[#This Row],[UnitCost]]*Table2[[#This Row],[Quantity]]</f>
        <v>5216.9000000000005</v>
      </c>
      <c r="V527" s="13">
        <f t="shared" si="76"/>
        <v>3109.7852499999999</v>
      </c>
      <c r="W527" s="5">
        <f t="shared" si="77"/>
        <v>0.37347217489696755</v>
      </c>
      <c r="X527" s="17" t="str">
        <f t="shared" si="78"/>
        <v>Apr-2024</v>
      </c>
      <c r="Z527" t="str">
        <f t="shared" si="79"/>
        <v>Africa. Kenya. Nakuru</v>
      </c>
      <c r="AA527" t="str">
        <f t="shared" si="80"/>
        <v>Low</v>
      </c>
      <c r="AB527" t="str">
        <f t="array" ref="AB527">TEXT(MIN(IF($E$2:$E$633=E527, $B$2:$B$633)), "YYYY-MM")</f>
        <v>2023-01</v>
      </c>
      <c r="AC527" s="13">
        <f>SUM($T$2:T527)</f>
        <v>9020309.5794100035</v>
      </c>
    </row>
    <row r="528" spans="1:29" x14ac:dyDescent="0.45">
      <c r="A528" t="s">
        <v>540</v>
      </c>
      <c r="B528" s="2">
        <v>45695</v>
      </c>
      <c r="C528" s="2">
        <v>45704</v>
      </c>
      <c r="D528" t="s">
        <v>646</v>
      </c>
      <c r="E528" t="s">
        <v>651</v>
      </c>
      <c r="F528" t="s">
        <v>665</v>
      </c>
      <c r="G528" t="s">
        <v>705</v>
      </c>
      <c r="H528" s="9" t="s">
        <v>710</v>
      </c>
      <c r="I528" s="9" t="s">
        <v>712</v>
      </c>
      <c r="J528" s="9" t="s">
        <v>728</v>
      </c>
      <c r="K528" t="s">
        <v>1259</v>
      </c>
      <c r="L528" s="7">
        <v>90.68</v>
      </c>
      <c r="M528" s="7">
        <v>118.17</v>
      </c>
      <c r="N528" s="5">
        <v>0.13500000000000001</v>
      </c>
      <c r="O528">
        <v>21</v>
      </c>
      <c r="P528" s="2">
        <f t="shared" si="72"/>
        <v>45704</v>
      </c>
      <c r="Q528" t="str">
        <f t="shared" si="73"/>
        <v>Ok</v>
      </c>
      <c r="R528">
        <f>ABS(Table2[[#This Row],[UnitPrice]])</f>
        <v>118.17</v>
      </c>
      <c r="S528">
        <f t="shared" si="74"/>
        <v>9</v>
      </c>
      <c r="T528" s="12">
        <f t="shared" si="75"/>
        <v>2146.5580500000001</v>
      </c>
      <c r="U528">
        <f>Table2[[#This Row],[UnitCost]]*Table2[[#This Row],[Quantity]]</f>
        <v>1904.2800000000002</v>
      </c>
      <c r="V528" s="13">
        <f t="shared" si="76"/>
        <v>242.27804999999989</v>
      </c>
      <c r="W528" s="5">
        <f t="shared" si="77"/>
        <v>0.11286815653552899</v>
      </c>
      <c r="X528" s="17" t="str">
        <f t="shared" si="78"/>
        <v>Feb-2025</v>
      </c>
      <c r="Z528" t="str">
        <f t="shared" si="79"/>
        <v>Africa. Nigeria. Lagos</v>
      </c>
      <c r="AA528" t="str">
        <f t="shared" si="80"/>
        <v>Low</v>
      </c>
      <c r="AB528" t="str">
        <f t="array" ref="AB528">TEXT(MIN(IF($E$2:$E$633=E528, $B$2:$B$633)), "YYYY-MM")</f>
        <v>2023-01</v>
      </c>
      <c r="AC528" s="13">
        <f>SUM($T$2:T528)</f>
        <v>9022456.1374600027</v>
      </c>
    </row>
    <row r="529" spans="1:29" x14ac:dyDescent="0.45">
      <c r="A529" t="s">
        <v>541</v>
      </c>
      <c r="B529" s="2">
        <v>44938</v>
      </c>
      <c r="C529" s="2">
        <v>44952</v>
      </c>
      <c r="D529" t="s">
        <v>647</v>
      </c>
      <c r="E529" t="s">
        <v>659</v>
      </c>
      <c r="F529" t="s">
        <v>676</v>
      </c>
      <c r="G529" t="s">
        <v>703</v>
      </c>
      <c r="H529" s="9" t="s">
        <v>707</v>
      </c>
      <c r="I529" s="9" t="s">
        <v>724</v>
      </c>
      <c r="J529" s="9" t="s">
        <v>728</v>
      </c>
      <c r="K529" t="s">
        <v>1260</v>
      </c>
      <c r="L529" s="7">
        <v>1083.0899999999999</v>
      </c>
      <c r="M529" s="7">
        <v>1425.87</v>
      </c>
      <c r="N529" s="5">
        <v>0</v>
      </c>
      <c r="O529">
        <v>8</v>
      </c>
      <c r="P529" s="2">
        <f t="shared" si="72"/>
        <v>44952</v>
      </c>
      <c r="Q529" t="str">
        <f t="shared" si="73"/>
        <v>Ok</v>
      </c>
      <c r="R529">
        <f>ABS(Table2[[#This Row],[UnitPrice]])</f>
        <v>1425.87</v>
      </c>
      <c r="S529">
        <f t="shared" si="74"/>
        <v>14</v>
      </c>
      <c r="T529" s="12">
        <f t="shared" si="75"/>
        <v>11406.96</v>
      </c>
      <c r="U529">
        <f>Table2[[#This Row],[UnitCost]]*Table2[[#This Row],[Quantity]]</f>
        <v>8664.7199999999993</v>
      </c>
      <c r="V529" s="13">
        <f t="shared" si="76"/>
        <v>2742.24</v>
      </c>
      <c r="W529" s="5">
        <f t="shared" si="77"/>
        <v>0.24040059752992909</v>
      </c>
      <c r="X529" s="17" t="str">
        <f t="shared" si="78"/>
        <v>Jan-2023</v>
      </c>
      <c r="Z529" t="str">
        <f t="shared" si="79"/>
        <v>Asia. China. Shenzhen</v>
      </c>
      <c r="AA529" t="str">
        <f t="shared" si="80"/>
        <v>High</v>
      </c>
      <c r="AB529" t="str">
        <f t="array" ref="AB529">TEXT(MIN(IF($E$2:$E$633=E529, $B$2:$B$633)), "YYYY-MM")</f>
        <v>2023-01</v>
      </c>
      <c r="AC529" s="13">
        <f>SUM($T$2:T529)</f>
        <v>9033863.0974600036</v>
      </c>
    </row>
    <row r="530" spans="1:29" x14ac:dyDescent="0.45">
      <c r="A530" t="s">
        <v>542</v>
      </c>
      <c r="B530" s="2">
        <v>45448</v>
      </c>
      <c r="C530" s="2">
        <v>45466</v>
      </c>
      <c r="D530" t="s">
        <v>646</v>
      </c>
      <c r="E530" t="s">
        <v>650</v>
      </c>
      <c r="F530" t="s">
        <v>664</v>
      </c>
      <c r="G530" t="s">
        <v>704</v>
      </c>
      <c r="H530" s="9" t="s">
        <v>710</v>
      </c>
      <c r="I530" s="9" t="s">
        <v>726</v>
      </c>
      <c r="J530" s="9" t="s">
        <v>731</v>
      </c>
      <c r="K530" t="s">
        <v>1261</v>
      </c>
      <c r="L530" s="7">
        <v>1208.74</v>
      </c>
      <c r="M530" s="7">
        <v>1594.78</v>
      </c>
      <c r="N530" s="5">
        <v>5.8999999999999997E-2</v>
      </c>
      <c r="O530">
        <v>39</v>
      </c>
      <c r="P530" s="2">
        <f t="shared" si="72"/>
        <v>45466</v>
      </c>
      <c r="Q530" t="str">
        <f t="shared" si="73"/>
        <v>Ok</v>
      </c>
      <c r="R530">
        <f>ABS(Table2[[#This Row],[UnitPrice]])</f>
        <v>1594.78</v>
      </c>
      <c r="S530">
        <f t="shared" si="74"/>
        <v>18</v>
      </c>
      <c r="T530" s="12">
        <f t="shared" si="75"/>
        <v>58526.83122</v>
      </c>
      <c r="U530">
        <f>Table2[[#This Row],[UnitCost]]*Table2[[#This Row],[Quantity]]</f>
        <v>47140.86</v>
      </c>
      <c r="V530" s="13">
        <f t="shared" si="76"/>
        <v>11385.971219999999</v>
      </c>
      <c r="W530" s="5">
        <f t="shared" si="77"/>
        <v>0.1945427589817838</v>
      </c>
      <c r="X530" s="17" t="str">
        <f t="shared" si="78"/>
        <v>Jun-2024</v>
      </c>
      <c r="Z530" t="str">
        <f t="shared" si="79"/>
        <v>Africa. Kenya. Nairobi</v>
      </c>
      <c r="AA530" t="str">
        <f t="shared" si="80"/>
        <v>High</v>
      </c>
      <c r="AB530" t="str">
        <f t="array" ref="AB530">TEXT(MIN(IF($E$2:$E$633=E530, $B$2:$B$633)), "YYYY-MM")</f>
        <v>2023-01</v>
      </c>
      <c r="AC530" s="13">
        <f>SUM($T$2:T530)</f>
        <v>9092389.9286800027</v>
      </c>
    </row>
    <row r="531" spans="1:29" x14ac:dyDescent="0.45">
      <c r="A531" t="s">
        <v>543</v>
      </c>
      <c r="B531" s="2">
        <v>45162</v>
      </c>
      <c r="C531" s="2">
        <v>45189</v>
      </c>
      <c r="D531" t="s">
        <v>646</v>
      </c>
      <c r="E531" t="s">
        <v>661</v>
      </c>
      <c r="F531" t="s">
        <v>687</v>
      </c>
      <c r="G531" t="s">
        <v>705</v>
      </c>
      <c r="H531" s="9" t="s">
        <v>709</v>
      </c>
      <c r="I531" s="9" t="s">
        <v>724</v>
      </c>
      <c r="J531" s="9" t="s">
        <v>728</v>
      </c>
      <c r="K531" t="s">
        <v>1262</v>
      </c>
      <c r="L531" s="7">
        <v>1399.64</v>
      </c>
      <c r="M531" s="7">
        <v>3342.11</v>
      </c>
      <c r="N531" s="5">
        <v>0</v>
      </c>
      <c r="O531">
        <v>10</v>
      </c>
      <c r="P531" s="2">
        <f t="shared" si="72"/>
        <v>45189</v>
      </c>
      <c r="Q531" t="str">
        <f t="shared" si="73"/>
        <v>Ok</v>
      </c>
      <c r="R531">
        <f>ABS(Table2[[#This Row],[UnitPrice]])</f>
        <v>3342.11</v>
      </c>
      <c r="S531">
        <f t="shared" si="74"/>
        <v>27</v>
      </c>
      <c r="T531" s="12">
        <f t="shared" si="75"/>
        <v>33421.1</v>
      </c>
      <c r="U531">
        <f>Table2[[#This Row],[UnitCost]]*Table2[[#This Row],[Quantity]]</f>
        <v>13996.400000000001</v>
      </c>
      <c r="V531" s="13">
        <f t="shared" si="76"/>
        <v>19424.699999999997</v>
      </c>
      <c r="W531" s="5">
        <f t="shared" si="77"/>
        <v>0.58121067229983447</v>
      </c>
      <c r="X531" s="17" t="str">
        <f t="shared" si="78"/>
        <v>Aug-2023</v>
      </c>
      <c r="Z531" t="str">
        <f t="shared" si="79"/>
        <v>Africa. South Africa. Durban</v>
      </c>
      <c r="AA531" t="str">
        <f t="shared" si="80"/>
        <v>High</v>
      </c>
      <c r="AB531" t="str">
        <f t="array" ref="AB531">TEXT(MIN(IF($E$2:$E$633=E531, $B$2:$B$633)), "YYYY-MM")</f>
        <v>2023-01</v>
      </c>
      <c r="AC531" s="13">
        <f>SUM($T$2:T531)</f>
        <v>9125811.0286800023</v>
      </c>
    </row>
    <row r="532" spans="1:29" x14ac:dyDescent="0.45">
      <c r="A532" t="s">
        <v>544</v>
      </c>
      <c r="B532" s="2">
        <v>45316</v>
      </c>
      <c r="C532" s="2">
        <v>45330</v>
      </c>
      <c r="D532" t="s">
        <v>647</v>
      </c>
      <c r="E532" t="s">
        <v>652</v>
      </c>
      <c r="F532" t="s">
        <v>666</v>
      </c>
      <c r="G532" t="s">
        <v>704</v>
      </c>
      <c r="H532" s="9" t="s">
        <v>709</v>
      </c>
      <c r="I532" s="9" t="s">
        <v>714</v>
      </c>
      <c r="J532" s="9" t="s">
        <v>729</v>
      </c>
      <c r="K532" t="s">
        <v>1263</v>
      </c>
      <c r="L532" s="7">
        <v>937.16</v>
      </c>
      <c r="M532" s="7">
        <v>1069.77</v>
      </c>
      <c r="N532" s="5">
        <v>3.7999999999999999E-2</v>
      </c>
      <c r="O532">
        <v>9</v>
      </c>
      <c r="P532" s="2">
        <f t="shared" si="72"/>
        <v>45330</v>
      </c>
      <c r="Q532" t="str">
        <f t="shared" si="73"/>
        <v>Ok</v>
      </c>
      <c r="R532">
        <f>ABS(Table2[[#This Row],[UnitPrice]])</f>
        <v>1069.77</v>
      </c>
      <c r="S532">
        <f t="shared" si="74"/>
        <v>14</v>
      </c>
      <c r="T532" s="12">
        <f t="shared" si="75"/>
        <v>9262.0686600000008</v>
      </c>
      <c r="U532">
        <f>Table2[[#This Row],[UnitCost]]*Table2[[#This Row],[Quantity]]</f>
        <v>8434.44</v>
      </c>
      <c r="V532" s="13">
        <f t="shared" si="76"/>
        <v>827.62866000000031</v>
      </c>
      <c r="W532" s="5">
        <f t="shared" si="77"/>
        <v>8.9356783066645962E-2</v>
      </c>
      <c r="X532" s="17" t="str">
        <f t="shared" si="78"/>
        <v>Jan-2024</v>
      </c>
      <c r="Z532" t="str">
        <f t="shared" si="79"/>
        <v>Asia. Japan. Osaka</v>
      </c>
      <c r="AA532" t="str">
        <f t="shared" si="80"/>
        <v>Low</v>
      </c>
      <c r="AB532" t="str">
        <f t="array" ref="AB532">TEXT(MIN(IF($E$2:$E$633=E532, $B$2:$B$633)), "YYYY-MM")</f>
        <v>2023-03</v>
      </c>
      <c r="AC532" s="13">
        <f>SUM($T$2:T532)</f>
        <v>9135073.0973400027</v>
      </c>
    </row>
    <row r="533" spans="1:29" x14ac:dyDescent="0.45">
      <c r="A533" t="s">
        <v>545</v>
      </c>
      <c r="B533" s="2">
        <v>45727</v>
      </c>
      <c r="C533" s="2">
        <v>45742</v>
      </c>
      <c r="D533" t="s">
        <v>649</v>
      </c>
      <c r="E533" t="s">
        <v>656</v>
      </c>
      <c r="F533" t="s">
        <v>671</v>
      </c>
      <c r="G533" t="s">
        <v>705</v>
      </c>
      <c r="H533" s="9" t="s">
        <v>708</v>
      </c>
      <c r="I533" s="9" t="s">
        <v>714</v>
      </c>
      <c r="J533" s="9" t="s">
        <v>730</v>
      </c>
      <c r="K533" t="s">
        <v>1264</v>
      </c>
      <c r="L533" s="7">
        <v>116.97</v>
      </c>
      <c r="M533" s="7">
        <v>140.82</v>
      </c>
      <c r="N533" s="5">
        <v>0.122</v>
      </c>
      <c r="O533">
        <v>5</v>
      </c>
      <c r="P533" s="2">
        <f t="shared" si="72"/>
        <v>45742</v>
      </c>
      <c r="Q533" t="str">
        <f t="shared" si="73"/>
        <v>Ok</v>
      </c>
      <c r="R533">
        <f>ABS(Table2[[#This Row],[UnitPrice]])</f>
        <v>140.82</v>
      </c>
      <c r="S533">
        <f t="shared" si="74"/>
        <v>15</v>
      </c>
      <c r="T533" s="12">
        <f t="shared" si="75"/>
        <v>618.19979999999987</v>
      </c>
      <c r="U533">
        <f>Table2[[#This Row],[UnitCost]]*Table2[[#This Row],[Quantity]]</f>
        <v>584.85</v>
      </c>
      <c r="V533" s="13">
        <f t="shared" si="76"/>
        <v>33.349799999999846</v>
      </c>
      <c r="W533" s="5">
        <f t="shared" si="77"/>
        <v>5.3946636669891926E-2</v>
      </c>
      <c r="X533" s="17" t="str">
        <f t="shared" si="78"/>
        <v>Mar-2025</v>
      </c>
      <c r="Z533" t="str">
        <f t="shared" si="79"/>
        <v>Europe. Germany. Berlin</v>
      </c>
      <c r="AA533" t="str">
        <f t="shared" si="80"/>
        <v>Low</v>
      </c>
      <c r="AB533" t="str">
        <f t="array" ref="AB533">TEXT(MIN(IF($E$2:$E$633=E533, $B$2:$B$633)), "YYYY-MM")</f>
        <v>2023-01</v>
      </c>
      <c r="AC533" s="13">
        <f>SUM($T$2:T533)</f>
        <v>9135691.2971400023</v>
      </c>
    </row>
    <row r="534" spans="1:29" x14ac:dyDescent="0.45">
      <c r="A534" t="s">
        <v>546</v>
      </c>
      <c r="B534" s="2">
        <v>45769</v>
      </c>
      <c r="C534" s="2">
        <v>45789</v>
      </c>
      <c r="D534" t="s">
        <v>649</v>
      </c>
      <c r="E534" t="s">
        <v>657</v>
      </c>
      <c r="F534" t="s">
        <v>679</v>
      </c>
      <c r="G534" t="s">
        <v>706</v>
      </c>
      <c r="H534" s="9" t="s">
        <v>709</v>
      </c>
      <c r="I534" s="9" t="s">
        <v>723</v>
      </c>
      <c r="J534" s="9" t="s">
        <v>732</v>
      </c>
      <c r="K534" t="s">
        <v>1265</v>
      </c>
      <c r="L534" s="7">
        <v>59.51</v>
      </c>
      <c r="M534" s="7">
        <v>67.040000000000006</v>
      </c>
      <c r="N534" s="5">
        <v>0.114</v>
      </c>
      <c r="O534">
        <v>9</v>
      </c>
      <c r="P534" s="2">
        <f t="shared" si="72"/>
        <v>45789</v>
      </c>
      <c r="Q534" t="str">
        <f t="shared" si="73"/>
        <v>Ok</v>
      </c>
      <c r="R534">
        <f>ABS(Table2[[#This Row],[UnitPrice]])</f>
        <v>67.040000000000006</v>
      </c>
      <c r="S534">
        <f t="shared" si="74"/>
        <v>20</v>
      </c>
      <c r="T534" s="12">
        <f t="shared" si="75"/>
        <v>534.57695999999999</v>
      </c>
      <c r="U534">
        <f>Table2[[#This Row],[UnitCost]]*Table2[[#This Row],[Quantity]]</f>
        <v>535.59</v>
      </c>
      <c r="V534" s="13">
        <f t="shared" si="76"/>
        <v>-1.0130400000000463</v>
      </c>
      <c r="W534" s="5">
        <f t="shared" si="77"/>
        <v>-1.8950311663264469E-3</v>
      </c>
      <c r="X534" s="17" t="str">
        <f t="shared" si="78"/>
        <v>Apr-2025</v>
      </c>
      <c r="Z534" t="str">
        <f t="shared" si="79"/>
        <v>Europe. France. Lyon</v>
      </c>
      <c r="AA534" t="str">
        <f t="shared" si="80"/>
        <v>Low</v>
      </c>
      <c r="AB534" t="str">
        <f t="array" ref="AB534">TEXT(MIN(IF($E$2:$E$633=E534, $B$2:$B$633)), "YYYY-MM")</f>
        <v>2023-01</v>
      </c>
      <c r="AC534" s="13">
        <f>SUM($T$2:T534)</f>
        <v>9136225.8741000015</v>
      </c>
    </row>
    <row r="535" spans="1:29" x14ac:dyDescent="0.45">
      <c r="A535" t="s">
        <v>547</v>
      </c>
      <c r="B535" s="2">
        <v>45155</v>
      </c>
      <c r="C535" s="2">
        <v>45172</v>
      </c>
      <c r="D535" t="s">
        <v>646</v>
      </c>
      <c r="E535" t="s">
        <v>661</v>
      </c>
      <c r="F535" t="s">
        <v>687</v>
      </c>
      <c r="G535" t="s">
        <v>706</v>
      </c>
      <c r="H535" s="9" t="s">
        <v>707</v>
      </c>
      <c r="I535" s="9" t="s">
        <v>720</v>
      </c>
      <c r="J535" s="9" t="s">
        <v>730</v>
      </c>
      <c r="K535" t="s">
        <v>1266</v>
      </c>
      <c r="L535" s="7">
        <v>676.37</v>
      </c>
      <c r="M535" s="7">
        <v>1276.67</v>
      </c>
      <c r="N535" s="5">
        <v>6.6000000000000003E-2</v>
      </c>
      <c r="O535">
        <v>10</v>
      </c>
      <c r="P535" s="2">
        <f t="shared" si="72"/>
        <v>45172</v>
      </c>
      <c r="Q535" t="str">
        <f t="shared" si="73"/>
        <v>Ok</v>
      </c>
      <c r="R535">
        <f>ABS(Table2[[#This Row],[UnitPrice]])</f>
        <v>1276.67</v>
      </c>
      <c r="S535">
        <f t="shared" si="74"/>
        <v>17</v>
      </c>
      <c r="T535" s="12">
        <f t="shared" si="75"/>
        <v>11924.0978</v>
      </c>
      <c r="U535">
        <f>Table2[[#This Row],[UnitCost]]*Table2[[#This Row],[Quantity]]</f>
        <v>6763.7</v>
      </c>
      <c r="V535" s="13">
        <f t="shared" si="76"/>
        <v>5160.3977999999997</v>
      </c>
      <c r="W535" s="5">
        <f t="shared" si="77"/>
        <v>0.4327705027712872</v>
      </c>
      <c r="X535" s="17" t="str">
        <f t="shared" si="78"/>
        <v>Aug-2023</v>
      </c>
      <c r="Z535" t="str">
        <f t="shared" si="79"/>
        <v>Africa. South Africa. Durban</v>
      </c>
      <c r="AA535" t="str">
        <f t="shared" si="80"/>
        <v>High</v>
      </c>
      <c r="AB535" t="str">
        <f t="array" ref="AB535">TEXT(MIN(IF($E$2:$E$633=E535, $B$2:$B$633)), "YYYY-MM")</f>
        <v>2023-01</v>
      </c>
      <c r="AC535" s="13">
        <f>SUM($T$2:T535)</f>
        <v>9148149.9719000012</v>
      </c>
    </row>
    <row r="536" spans="1:29" x14ac:dyDescent="0.45">
      <c r="A536" t="s">
        <v>548</v>
      </c>
      <c r="B536" s="2">
        <v>45832</v>
      </c>
      <c r="C536" s="2">
        <v>45852</v>
      </c>
      <c r="D536" t="s">
        <v>646</v>
      </c>
      <c r="E536" t="s">
        <v>661</v>
      </c>
      <c r="F536" t="s">
        <v>682</v>
      </c>
      <c r="G536" t="s">
        <v>706</v>
      </c>
      <c r="H536" s="9" t="s">
        <v>709</v>
      </c>
      <c r="I536" s="9" t="s">
        <v>713</v>
      </c>
      <c r="J536" s="9" t="s">
        <v>731</v>
      </c>
      <c r="K536" t="s">
        <v>1267</v>
      </c>
      <c r="L536" s="7">
        <v>1151.06</v>
      </c>
      <c r="M536" s="7">
        <v>2821.36</v>
      </c>
      <c r="N536" s="5">
        <v>0.248</v>
      </c>
      <c r="O536">
        <v>20</v>
      </c>
      <c r="P536" s="2">
        <f t="shared" si="72"/>
        <v>45852</v>
      </c>
      <c r="Q536" t="str">
        <f t="shared" si="73"/>
        <v>Ok</v>
      </c>
      <c r="R536">
        <f>ABS(Table2[[#This Row],[UnitPrice]])</f>
        <v>2821.36</v>
      </c>
      <c r="S536">
        <f t="shared" si="74"/>
        <v>20</v>
      </c>
      <c r="T536" s="12">
        <f t="shared" si="75"/>
        <v>42433.254400000005</v>
      </c>
      <c r="U536">
        <f>Table2[[#This Row],[UnitCost]]*Table2[[#This Row],[Quantity]]</f>
        <v>23021.199999999997</v>
      </c>
      <c r="V536" s="13">
        <f t="shared" si="76"/>
        <v>19412.054400000008</v>
      </c>
      <c r="W536" s="5">
        <f t="shared" si="77"/>
        <v>0.45747267501594235</v>
      </c>
      <c r="X536" s="17" t="str">
        <f t="shared" si="78"/>
        <v>Jun-2025</v>
      </c>
      <c r="Z536" t="str">
        <f t="shared" si="79"/>
        <v>Africa. South Africa. Johannesburg</v>
      </c>
      <c r="AA536" t="str">
        <f t="shared" si="80"/>
        <v>High</v>
      </c>
      <c r="AB536" t="str">
        <f t="array" ref="AB536">TEXT(MIN(IF($E$2:$E$633=E536, $B$2:$B$633)), "YYYY-MM")</f>
        <v>2023-01</v>
      </c>
      <c r="AC536" s="13">
        <f>SUM($T$2:T536)</f>
        <v>9190583.2263000011</v>
      </c>
    </row>
    <row r="537" spans="1:29" x14ac:dyDescent="0.45">
      <c r="A537" t="s">
        <v>549</v>
      </c>
      <c r="B537" s="2">
        <v>45667</v>
      </c>
      <c r="C537" s="2">
        <v>45694</v>
      </c>
      <c r="D537" t="s">
        <v>648</v>
      </c>
      <c r="E537" t="s">
        <v>655</v>
      </c>
      <c r="F537" t="s">
        <v>672</v>
      </c>
      <c r="G537" t="s">
        <v>703</v>
      </c>
      <c r="H537" s="9" t="s">
        <v>707</v>
      </c>
      <c r="I537" s="9" t="s">
        <v>717</v>
      </c>
      <c r="J537" s="9" t="s">
        <v>731</v>
      </c>
      <c r="K537" t="s">
        <v>1268</v>
      </c>
      <c r="L537" s="7">
        <v>725.62</v>
      </c>
      <c r="M537" s="7">
        <v>1559.19</v>
      </c>
      <c r="N537" s="5">
        <v>0.19</v>
      </c>
      <c r="O537">
        <v>12</v>
      </c>
      <c r="P537" s="2">
        <f t="shared" si="72"/>
        <v>45694</v>
      </c>
      <c r="Q537" t="str">
        <f t="shared" si="73"/>
        <v>Ok</v>
      </c>
      <c r="R537">
        <f>ABS(Table2[[#This Row],[UnitPrice]])</f>
        <v>1559.19</v>
      </c>
      <c r="S537">
        <f t="shared" si="74"/>
        <v>27</v>
      </c>
      <c r="T537" s="12">
        <f t="shared" si="75"/>
        <v>15155.326800000001</v>
      </c>
      <c r="U537">
        <f>Table2[[#This Row],[UnitCost]]*Table2[[#This Row],[Quantity]]</f>
        <v>8707.44</v>
      </c>
      <c r="V537" s="13">
        <f t="shared" si="76"/>
        <v>6447.8868000000002</v>
      </c>
      <c r="W537" s="5">
        <f t="shared" si="77"/>
        <v>0.42545349797405885</v>
      </c>
      <c r="X537" s="17" t="str">
        <f t="shared" si="78"/>
        <v>Jan-2025</v>
      </c>
      <c r="Z537" t="str">
        <f t="shared" si="79"/>
        <v>Americas. Brazil. Brasília</v>
      </c>
      <c r="AA537" t="str">
        <f t="shared" si="80"/>
        <v>High</v>
      </c>
      <c r="AB537" t="str">
        <f t="array" ref="AB537">TEXT(MIN(IF($E$2:$E$633=E537, $B$2:$B$633)), "YYYY-MM")</f>
        <v>2023-01</v>
      </c>
      <c r="AC537" s="13">
        <f>SUM($T$2:T537)</f>
        <v>9205738.5531000011</v>
      </c>
    </row>
    <row r="538" spans="1:29" x14ac:dyDescent="0.45">
      <c r="A538" t="s">
        <v>550</v>
      </c>
      <c r="B538" s="2">
        <v>45108</v>
      </c>
      <c r="C538" s="2">
        <v>45118</v>
      </c>
      <c r="D538" t="s">
        <v>649</v>
      </c>
      <c r="E538" t="s">
        <v>657</v>
      </c>
      <c r="F538" t="s">
        <v>690</v>
      </c>
      <c r="G538" t="s">
        <v>701</v>
      </c>
      <c r="H538" s="9" t="s">
        <v>711</v>
      </c>
      <c r="I538" s="9" t="s">
        <v>721</v>
      </c>
      <c r="J538" s="9" t="s">
        <v>729</v>
      </c>
      <c r="K538" t="s">
        <v>1269</v>
      </c>
      <c r="L538" s="7">
        <v>479.5</v>
      </c>
      <c r="M538" s="7">
        <v>656.66</v>
      </c>
      <c r="N538" s="5">
        <v>0.14899999999999999</v>
      </c>
      <c r="O538">
        <v>14</v>
      </c>
      <c r="P538" s="2">
        <f t="shared" si="72"/>
        <v>45118</v>
      </c>
      <c r="Q538" t="str">
        <f t="shared" si="73"/>
        <v>Ok</v>
      </c>
      <c r="R538">
        <f>ABS(Table2[[#This Row],[UnitPrice]])</f>
        <v>656.66</v>
      </c>
      <c r="S538">
        <f t="shared" si="74"/>
        <v>10</v>
      </c>
      <c r="T538" s="12">
        <f t="shared" si="75"/>
        <v>7823.4472399999995</v>
      </c>
      <c r="U538">
        <f>Table2[[#This Row],[UnitCost]]*Table2[[#This Row],[Quantity]]</f>
        <v>6713</v>
      </c>
      <c r="V538" s="13">
        <f t="shared" si="76"/>
        <v>1110.4472399999995</v>
      </c>
      <c r="W538" s="5">
        <f t="shared" si="77"/>
        <v>0.14193835606412289</v>
      </c>
      <c r="X538" s="17" t="str">
        <f t="shared" si="78"/>
        <v>Jul-2023</v>
      </c>
      <c r="Z538" t="str">
        <f t="shared" si="79"/>
        <v>Europe. France. Paris</v>
      </c>
      <c r="AA538" t="str">
        <f t="shared" si="80"/>
        <v>Low</v>
      </c>
      <c r="AB538" t="str">
        <f t="array" ref="AB538">TEXT(MIN(IF($E$2:$E$633=E538, $B$2:$B$633)), "YYYY-MM")</f>
        <v>2023-01</v>
      </c>
      <c r="AC538" s="13">
        <f>SUM($T$2:T538)</f>
        <v>9213562.0003400017</v>
      </c>
    </row>
    <row r="539" spans="1:29" x14ac:dyDescent="0.45">
      <c r="A539" t="s">
        <v>551</v>
      </c>
      <c r="B539" s="2">
        <v>45520</v>
      </c>
      <c r="C539" s="2">
        <v>45530</v>
      </c>
      <c r="D539" t="s">
        <v>648</v>
      </c>
      <c r="E539" t="s">
        <v>660</v>
      </c>
      <c r="F539" t="s">
        <v>677</v>
      </c>
      <c r="G539" t="s">
        <v>701</v>
      </c>
      <c r="H539" s="9" t="s">
        <v>710</v>
      </c>
      <c r="I539" s="9" t="s">
        <v>716</v>
      </c>
      <c r="J539" s="9" t="s">
        <v>731</v>
      </c>
      <c r="K539" t="s">
        <v>1121</v>
      </c>
      <c r="L539" s="7">
        <v>1291.7</v>
      </c>
      <c r="M539" s="7">
        <v>2657.84</v>
      </c>
      <c r="N539" s="5">
        <v>8.6999999999999994E-2</v>
      </c>
      <c r="O539">
        <v>21</v>
      </c>
      <c r="P539" s="2">
        <f t="shared" si="72"/>
        <v>45530</v>
      </c>
      <c r="Q539" t="str">
        <f t="shared" si="73"/>
        <v>Ok</v>
      </c>
      <c r="R539">
        <f>ABS(Table2[[#This Row],[UnitPrice]])</f>
        <v>2657.84</v>
      </c>
      <c r="S539">
        <f t="shared" si="74"/>
        <v>10</v>
      </c>
      <c r="T539" s="12">
        <f t="shared" si="75"/>
        <v>50958.766320000002</v>
      </c>
      <c r="U539">
        <f>Table2[[#This Row],[UnitCost]]*Table2[[#This Row],[Quantity]]</f>
        <v>27125.7</v>
      </c>
      <c r="V539" s="13">
        <f t="shared" si="76"/>
        <v>23833.066320000002</v>
      </c>
      <c r="W539" s="5">
        <f t="shared" si="77"/>
        <v>0.46769315745083367</v>
      </c>
      <c r="X539" s="17" t="str">
        <f t="shared" si="78"/>
        <v>Aug-2024</v>
      </c>
      <c r="Z539" t="str">
        <f t="shared" si="79"/>
        <v>Americas. USA. Chicago</v>
      </c>
      <c r="AA539" t="str">
        <f t="shared" si="80"/>
        <v>High</v>
      </c>
      <c r="AB539" t="str">
        <f t="array" ref="AB539">TEXT(MIN(IF($E$2:$E$633=E539, $B$2:$B$633)), "YYYY-MM")</f>
        <v>2023-01</v>
      </c>
      <c r="AC539" s="13">
        <f>SUM($T$2:T539)</f>
        <v>9264520.7666600011</v>
      </c>
    </row>
    <row r="540" spans="1:29" x14ac:dyDescent="0.45">
      <c r="A540" t="s">
        <v>552</v>
      </c>
      <c r="B540" s="2">
        <v>45114</v>
      </c>
      <c r="C540" s="2">
        <v>45120</v>
      </c>
      <c r="D540" t="s">
        <v>646</v>
      </c>
      <c r="E540" t="s">
        <v>661</v>
      </c>
      <c r="F540" t="s">
        <v>695</v>
      </c>
      <c r="G540" t="s">
        <v>705</v>
      </c>
      <c r="H540" s="9" t="s">
        <v>709</v>
      </c>
      <c r="I540" s="9" t="s">
        <v>717</v>
      </c>
      <c r="J540" s="9" t="s">
        <v>733</v>
      </c>
      <c r="K540" t="s">
        <v>1270</v>
      </c>
      <c r="L540" s="7">
        <v>612.59</v>
      </c>
      <c r="M540" s="7">
        <v>1424.74</v>
      </c>
      <c r="N540" s="5">
        <v>4.3999999999999997E-2</v>
      </c>
      <c r="O540">
        <v>15</v>
      </c>
      <c r="P540" s="2">
        <f t="shared" si="72"/>
        <v>45120</v>
      </c>
      <c r="Q540" t="str">
        <f t="shared" si="73"/>
        <v>Ok</v>
      </c>
      <c r="R540">
        <f>ABS(Table2[[#This Row],[UnitPrice]])</f>
        <v>1424.74</v>
      </c>
      <c r="S540">
        <f t="shared" si="74"/>
        <v>6</v>
      </c>
      <c r="T540" s="12">
        <f t="shared" si="75"/>
        <v>20430.771599999996</v>
      </c>
      <c r="U540">
        <f>Table2[[#This Row],[UnitCost]]*Table2[[#This Row],[Quantity]]</f>
        <v>9188.85</v>
      </c>
      <c r="V540" s="13">
        <f t="shared" si="76"/>
        <v>11241.921599999996</v>
      </c>
      <c r="W540" s="5">
        <f t="shared" si="77"/>
        <v>0.55024459281802152</v>
      </c>
      <c r="X540" s="17" t="str">
        <f t="shared" si="78"/>
        <v>Jul-2023</v>
      </c>
      <c r="Z540" t="str">
        <f t="shared" si="79"/>
        <v>Africa. South Africa. Cape Town</v>
      </c>
      <c r="AA540" t="str">
        <f t="shared" si="80"/>
        <v>High</v>
      </c>
      <c r="AB540" t="str">
        <f t="array" ref="AB540">TEXT(MIN(IF($E$2:$E$633=E540, $B$2:$B$633)), "YYYY-MM")</f>
        <v>2023-01</v>
      </c>
      <c r="AC540" s="13">
        <f>SUM($T$2:T540)</f>
        <v>9284951.5382600017</v>
      </c>
    </row>
    <row r="541" spans="1:29" x14ac:dyDescent="0.45">
      <c r="A541" t="s">
        <v>553</v>
      </c>
      <c r="B541" s="2">
        <v>45288</v>
      </c>
      <c r="C541" s="2">
        <v>45292</v>
      </c>
      <c r="D541" t="s">
        <v>646</v>
      </c>
      <c r="E541" t="s">
        <v>661</v>
      </c>
      <c r="F541" t="s">
        <v>695</v>
      </c>
      <c r="G541" t="s">
        <v>702</v>
      </c>
      <c r="H541" s="9" t="s">
        <v>710</v>
      </c>
      <c r="I541" s="9" t="s">
        <v>720</v>
      </c>
      <c r="J541" s="9" t="s">
        <v>728</v>
      </c>
      <c r="K541" t="s">
        <v>1271</v>
      </c>
      <c r="L541" s="7">
        <v>1141.8</v>
      </c>
      <c r="M541" s="7">
        <v>2318.7399999999998</v>
      </c>
      <c r="N541" s="5">
        <v>0.107</v>
      </c>
      <c r="O541">
        <v>32</v>
      </c>
      <c r="P541" s="2">
        <f t="shared" si="72"/>
        <v>45292</v>
      </c>
      <c r="Q541" t="str">
        <f t="shared" si="73"/>
        <v>Ok</v>
      </c>
      <c r="R541">
        <f>ABS(Table2[[#This Row],[UnitPrice]])</f>
        <v>2318.7399999999998</v>
      </c>
      <c r="S541">
        <f t="shared" si="74"/>
        <v>4</v>
      </c>
      <c r="T541" s="12">
        <f t="shared" si="75"/>
        <v>66260.314239999992</v>
      </c>
      <c r="U541">
        <f>Table2[[#This Row],[UnitCost]]*Table2[[#This Row],[Quantity]]</f>
        <v>36537.599999999999</v>
      </c>
      <c r="V541" s="13">
        <f t="shared" si="76"/>
        <v>29722.714239999994</v>
      </c>
      <c r="W541" s="5">
        <f t="shared" si="77"/>
        <v>0.44857490612468304</v>
      </c>
      <c r="X541" s="17" t="str">
        <f t="shared" si="78"/>
        <v>Dec-2023</v>
      </c>
      <c r="Z541" t="str">
        <f t="shared" si="79"/>
        <v>Africa. South Africa. Cape Town</v>
      </c>
      <c r="AA541" t="str">
        <f t="shared" si="80"/>
        <v>High</v>
      </c>
      <c r="AB541" t="str">
        <f t="array" ref="AB541">TEXT(MIN(IF($E$2:$E$633=E541, $B$2:$B$633)), "YYYY-MM")</f>
        <v>2023-01</v>
      </c>
      <c r="AC541" s="13">
        <f>SUM($T$2:T541)</f>
        <v>9351211.852500001</v>
      </c>
    </row>
    <row r="542" spans="1:29" x14ac:dyDescent="0.45">
      <c r="A542" t="s">
        <v>554</v>
      </c>
      <c r="B542" s="2">
        <v>44952</v>
      </c>
      <c r="C542" s="2">
        <v>44972</v>
      </c>
      <c r="D542" t="s">
        <v>649</v>
      </c>
      <c r="E542" t="s">
        <v>656</v>
      </c>
      <c r="F542" t="s">
        <v>671</v>
      </c>
      <c r="G542" t="s">
        <v>705</v>
      </c>
      <c r="H542" s="9" t="s">
        <v>708</v>
      </c>
      <c r="I542" s="9" t="s">
        <v>719</v>
      </c>
      <c r="J542" s="9" t="s">
        <v>729</v>
      </c>
      <c r="K542" t="s">
        <v>1272</v>
      </c>
      <c r="L542" s="7">
        <v>492.62</v>
      </c>
      <c r="M542" s="7">
        <v>366.7</v>
      </c>
      <c r="N542" s="5">
        <v>8.8999999999999996E-2</v>
      </c>
      <c r="O542">
        <v>10</v>
      </c>
      <c r="P542" s="2">
        <f t="shared" si="72"/>
        <v>44972</v>
      </c>
      <c r="Q542" t="str">
        <f t="shared" si="73"/>
        <v>Ok</v>
      </c>
      <c r="R542">
        <f>ABS(Table2[[#This Row],[UnitPrice]])</f>
        <v>366.7</v>
      </c>
      <c r="S542">
        <f t="shared" si="74"/>
        <v>20</v>
      </c>
      <c r="T542" s="12">
        <f t="shared" si="75"/>
        <v>3340.6370000000002</v>
      </c>
      <c r="U542">
        <f>Table2[[#This Row],[UnitCost]]*Table2[[#This Row],[Quantity]]</f>
        <v>4926.2</v>
      </c>
      <c r="V542" s="13">
        <f t="shared" si="76"/>
        <v>-1585.5629999999996</v>
      </c>
      <c r="W542" s="5">
        <f t="shared" si="77"/>
        <v>-0.47462894052840809</v>
      </c>
      <c r="X542" s="17" t="str">
        <f t="shared" si="78"/>
        <v>Jan-2023</v>
      </c>
      <c r="Z542" t="str">
        <f t="shared" si="79"/>
        <v>Europe. Germany. Berlin</v>
      </c>
      <c r="AA542" t="str">
        <f t="shared" si="80"/>
        <v>Low</v>
      </c>
      <c r="AB542" t="str">
        <f t="array" ref="AB542">TEXT(MIN(IF($E$2:$E$633=E542, $B$2:$B$633)), "YYYY-MM")</f>
        <v>2023-01</v>
      </c>
      <c r="AC542" s="13">
        <f>SUM($T$2:T542)</f>
        <v>9354552.4895000011</v>
      </c>
    </row>
    <row r="543" spans="1:29" x14ac:dyDescent="0.45">
      <c r="A543" t="s">
        <v>555</v>
      </c>
      <c r="B543" s="2">
        <v>45115</v>
      </c>
      <c r="C543" s="2">
        <v>45116</v>
      </c>
      <c r="D543" t="s">
        <v>646</v>
      </c>
      <c r="E543" t="s">
        <v>650</v>
      </c>
      <c r="F543" t="s">
        <v>664</v>
      </c>
      <c r="G543" t="s">
        <v>704</v>
      </c>
      <c r="H543" s="9" t="s">
        <v>708</v>
      </c>
      <c r="I543" s="9" t="s">
        <v>726</v>
      </c>
      <c r="J543" s="9" t="s">
        <v>731</v>
      </c>
      <c r="K543" t="s">
        <v>1273</v>
      </c>
      <c r="L543" s="7">
        <v>1258.72</v>
      </c>
      <c r="M543" s="7">
        <v>2797.41</v>
      </c>
      <c r="N543" s="5">
        <v>0</v>
      </c>
      <c r="O543">
        <v>7</v>
      </c>
      <c r="P543" s="2">
        <f t="shared" si="72"/>
        <v>45116</v>
      </c>
      <c r="Q543" t="str">
        <f t="shared" si="73"/>
        <v>Ok</v>
      </c>
      <c r="R543">
        <f>ABS(Table2[[#This Row],[UnitPrice]])</f>
        <v>2797.41</v>
      </c>
      <c r="S543">
        <f t="shared" si="74"/>
        <v>1</v>
      </c>
      <c r="T543" s="12">
        <f t="shared" si="75"/>
        <v>19581.87</v>
      </c>
      <c r="U543">
        <f>Table2[[#This Row],[UnitCost]]*Table2[[#This Row],[Quantity]]</f>
        <v>8811.0400000000009</v>
      </c>
      <c r="V543" s="13">
        <f t="shared" si="76"/>
        <v>10770.829999999998</v>
      </c>
      <c r="W543" s="5">
        <f t="shared" si="77"/>
        <v>0.55004093071805704</v>
      </c>
      <c r="X543" s="17" t="str">
        <f t="shared" si="78"/>
        <v>Jul-2023</v>
      </c>
      <c r="Z543" t="str">
        <f t="shared" si="79"/>
        <v>Africa. Kenya. Nairobi</v>
      </c>
      <c r="AA543" t="str">
        <f t="shared" si="80"/>
        <v>High</v>
      </c>
      <c r="AB543" t="str">
        <f t="array" ref="AB543">TEXT(MIN(IF($E$2:$E$633=E543, $B$2:$B$633)), "YYYY-MM")</f>
        <v>2023-01</v>
      </c>
      <c r="AC543" s="13">
        <f>SUM($T$2:T543)</f>
        <v>9374134.3595000003</v>
      </c>
    </row>
    <row r="544" spans="1:29" x14ac:dyDescent="0.45">
      <c r="A544" t="s">
        <v>556</v>
      </c>
      <c r="B544" s="2">
        <v>45450</v>
      </c>
      <c r="C544" s="2">
        <v>45452</v>
      </c>
      <c r="D544" t="s">
        <v>647</v>
      </c>
      <c r="E544" t="s">
        <v>659</v>
      </c>
      <c r="F544" t="s">
        <v>685</v>
      </c>
      <c r="G544" t="s">
        <v>701</v>
      </c>
      <c r="H544" s="9" t="s">
        <v>707</v>
      </c>
      <c r="I544" s="9" t="s">
        <v>719</v>
      </c>
      <c r="J544" s="9" t="s">
        <v>732</v>
      </c>
      <c r="K544" t="s">
        <v>1274</v>
      </c>
      <c r="L544" s="7">
        <v>1370.28</v>
      </c>
      <c r="M544" s="7">
        <v>2209.66</v>
      </c>
      <c r="N544" s="5">
        <v>0.13300000000000001</v>
      </c>
      <c r="O544">
        <v>16</v>
      </c>
      <c r="P544" s="2">
        <f t="shared" si="72"/>
        <v>45452</v>
      </c>
      <c r="Q544" t="str">
        <f t="shared" si="73"/>
        <v>Ok</v>
      </c>
      <c r="R544">
        <f>ABS(Table2[[#This Row],[UnitPrice]])</f>
        <v>2209.66</v>
      </c>
      <c r="S544">
        <f t="shared" si="74"/>
        <v>2</v>
      </c>
      <c r="T544" s="12">
        <f t="shared" si="75"/>
        <v>30652.403519999996</v>
      </c>
      <c r="U544">
        <f>Table2[[#This Row],[UnitCost]]*Table2[[#This Row],[Quantity]]</f>
        <v>21924.48</v>
      </c>
      <c r="V544" s="13">
        <f t="shared" si="76"/>
        <v>8727.9235199999966</v>
      </c>
      <c r="W544" s="5">
        <f t="shared" si="77"/>
        <v>0.28473863442079589</v>
      </c>
      <c r="X544" s="17" t="str">
        <f t="shared" si="78"/>
        <v>Jun-2024</v>
      </c>
      <c r="Z544" t="str">
        <f t="shared" si="79"/>
        <v>Asia. China. Shanghai</v>
      </c>
      <c r="AA544" t="str">
        <f t="shared" si="80"/>
        <v>High</v>
      </c>
      <c r="AB544" t="str">
        <f t="array" ref="AB544">TEXT(MIN(IF($E$2:$E$633=E544, $B$2:$B$633)), "YYYY-MM")</f>
        <v>2023-01</v>
      </c>
      <c r="AC544" s="13">
        <f>SUM($T$2:T544)</f>
        <v>9404786.7630199995</v>
      </c>
    </row>
    <row r="545" spans="1:29" x14ac:dyDescent="0.45">
      <c r="A545" t="s">
        <v>557</v>
      </c>
      <c r="B545" s="2">
        <v>44968</v>
      </c>
      <c r="C545" s="2">
        <v>44969</v>
      </c>
      <c r="D545" t="s">
        <v>646</v>
      </c>
      <c r="E545" t="s">
        <v>651</v>
      </c>
      <c r="F545" t="s">
        <v>663</v>
      </c>
      <c r="G545" t="s">
        <v>703</v>
      </c>
      <c r="H545" s="9" t="s">
        <v>711</v>
      </c>
      <c r="I545" s="9" t="s">
        <v>726</v>
      </c>
      <c r="J545" s="9" t="s">
        <v>733</v>
      </c>
      <c r="K545" t="s">
        <v>1275</v>
      </c>
      <c r="L545" s="7">
        <v>944.61</v>
      </c>
      <c r="M545" s="7">
        <v>839.04</v>
      </c>
      <c r="N545" s="5">
        <v>5.8999999999999997E-2</v>
      </c>
      <c r="O545">
        <v>6</v>
      </c>
      <c r="P545" s="2">
        <f t="shared" si="72"/>
        <v>44969</v>
      </c>
      <c r="Q545" t="str">
        <f t="shared" si="73"/>
        <v>Ok</v>
      </c>
      <c r="R545">
        <f>ABS(Table2[[#This Row],[UnitPrice]])</f>
        <v>839.04</v>
      </c>
      <c r="S545">
        <f t="shared" si="74"/>
        <v>1</v>
      </c>
      <c r="T545" s="12">
        <f t="shared" si="75"/>
        <v>4737.2198399999997</v>
      </c>
      <c r="U545">
        <f>Table2[[#This Row],[UnitCost]]*Table2[[#This Row],[Quantity]]</f>
        <v>5667.66</v>
      </c>
      <c r="V545" s="13">
        <f t="shared" si="76"/>
        <v>-930.44016000000011</v>
      </c>
      <c r="W545" s="5">
        <f t="shared" si="77"/>
        <v>-0.19641059343363726</v>
      </c>
      <c r="X545" s="17" t="str">
        <f t="shared" si="78"/>
        <v>Feb-2023</v>
      </c>
      <c r="Z545" t="str">
        <f t="shared" si="79"/>
        <v>Africa. Nigeria. Port Harcourt</v>
      </c>
      <c r="AA545" t="str">
        <f t="shared" si="80"/>
        <v>Low</v>
      </c>
      <c r="AB545" t="str">
        <f t="array" ref="AB545">TEXT(MIN(IF($E$2:$E$633=E545, $B$2:$B$633)), "YYYY-MM")</f>
        <v>2023-01</v>
      </c>
      <c r="AC545" s="13">
        <f>SUM($T$2:T545)</f>
        <v>9409523.9828599989</v>
      </c>
    </row>
    <row r="546" spans="1:29" x14ac:dyDescent="0.45">
      <c r="A546" t="s">
        <v>558</v>
      </c>
      <c r="B546" s="2">
        <v>45108</v>
      </c>
      <c r="C546" s="2">
        <v>45115</v>
      </c>
      <c r="D546" t="s">
        <v>649</v>
      </c>
      <c r="E546" t="s">
        <v>656</v>
      </c>
      <c r="F546" t="s">
        <v>698</v>
      </c>
      <c r="G546" t="s">
        <v>705</v>
      </c>
      <c r="H546" s="9" t="s">
        <v>710</v>
      </c>
      <c r="I546" s="9" t="s">
        <v>725</v>
      </c>
      <c r="J546" s="9" t="s">
        <v>731</v>
      </c>
      <c r="K546" t="s">
        <v>1276</v>
      </c>
      <c r="L546" s="7">
        <v>460.21</v>
      </c>
      <c r="M546" s="7">
        <v>1139.1500000000001</v>
      </c>
      <c r="N546" s="5">
        <v>0.115</v>
      </c>
      <c r="O546">
        <v>14</v>
      </c>
      <c r="P546" s="2">
        <f t="shared" si="72"/>
        <v>45115</v>
      </c>
      <c r="Q546" t="str">
        <f t="shared" si="73"/>
        <v>Ok</v>
      </c>
      <c r="R546">
        <f>ABS(Table2[[#This Row],[UnitPrice]])</f>
        <v>1139.1500000000001</v>
      </c>
      <c r="S546">
        <f t="shared" si="74"/>
        <v>7</v>
      </c>
      <c r="T546" s="12">
        <f t="shared" si="75"/>
        <v>14114.068500000001</v>
      </c>
      <c r="U546">
        <f>Table2[[#This Row],[UnitCost]]*Table2[[#This Row],[Quantity]]</f>
        <v>6442.94</v>
      </c>
      <c r="V546" s="13">
        <f t="shared" si="76"/>
        <v>7671.1285000000016</v>
      </c>
      <c r="W546" s="5">
        <f t="shared" si="77"/>
        <v>0.54350937151821255</v>
      </c>
      <c r="X546" s="17" t="str">
        <f t="shared" si="78"/>
        <v>Jul-2023</v>
      </c>
      <c r="Z546" t="str">
        <f t="shared" si="79"/>
        <v>Europe. Germany. Frankfurt</v>
      </c>
      <c r="AA546" t="str">
        <f t="shared" si="80"/>
        <v>Low</v>
      </c>
      <c r="AB546" t="str">
        <f t="array" ref="AB546">TEXT(MIN(IF($E$2:$E$633=E546, $B$2:$B$633)), "YYYY-MM")</f>
        <v>2023-01</v>
      </c>
      <c r="AC546" s="13">
        <f>SUM($T$2:T546)</f>
        <v>9423638.0513599981</v>
      </c>
    </row>
    <row r="547" spans="1:29" x14ac:dyDescent="0.45">
      <c r="A547" t="s">
        <v>559</v>
      </c>
      <c r="B547" s="2">
        <v>45889</v>
      </c>
      <c r="C547" s="2">
        <v>45895</v>
      </c>
      <c r="D547" t="s">
        <v>648</v>
      </c>
      <c r="E547" t="s">
        <v>660</v>
      </c>
      <c r="F547" t="s">
        <v>700</v>
      </c>
      <c r="G547" t="s">
        <v>701</v>
      </c>
      <c r="H547" s="9" t="s">
        <v>707</v>
      </c>
      <c r="I547" s="9" t="s">
        <v>724</v>
      </c>
      <c r="J547" s="9" t="s">
        <v>729</v>
      </c>
      <c r="K547" t="s">
        <v>1277</v>
      </c>
      <c r="L547" s="7">
        <v>1304.95</v>
      </c>
      <c r="M547" s="7">
        <v>1712.03</v>
      </c>
      <c r="N547" s="5">
        <v>0.21199999999999999</v>
      </c>
      <c r="O547">
        <v>8</v>
      </c>
      <c r="P547" s="2">
        <f t="shared" si="72"/>
        <v>45895</v>
      </c>
      <c r="Q547" t="str">
        <f t="shared" si="73"/>
        <v>Ok</v>
      </c>
      <c r="R547">
        <f>ABS(Table2[[#This Row],[UnitPrice]])</f>
        <v>1712.03</v>
      </c>
      <c r="S547">
        <f t="shared" si="74"/>
        <v>6</v>
      </c>
      <c r="T547" s="12">
        <f t="shared" si="75"/>
        <v>10792.637119999999</v>
      </c>
      <c r="U547">
        <f>Table2[[#This Row],[UnitCost]]*Table2[[#This Row],[Quantity]]</f>
        <v>10439.6</v>
      </c>
      <c r="V547" s="13">
        <f t="shared" si="76"/>
        <v>353.03711999999905</v>
      </c>
      <c r="W547" s="5">
        <f t="shared" si="77"/>
        <v>3.2710922833287949E-2</v>
      </c>
      <c r="X547" s="17" t="str">
        <f t="shared" si="78"/>
        <v>Aug-2025</v>
      </c>
      <c r="Z547" t="str">
        <f t="shared" si="79"/>
        <v>Americas. USA. New York</v>
      </c>
      <c r="AA547" t="str">
        <f t="shared" si="80"/>
        <v>High</v>
      </c>
      <c r="AB547" t="str">
        <f t="array" ref="AB547">TEXT(MIN(IF($E$2:$E$633=E547, $B$2:$B$633)), "YYYY-MM")</f>
        <v>2023-01</v>
      </c>
      <c r="AC547" s="13">
        <f>SUM($T$2:T547)</f>
        <v>9434430.6884799972</v>
      </c>
    </row>
    <row r="548" spans="1:29" x14ac:dyDescent="0.45">
      <c r="A548" t="s">
        <v>560</v>
      </c>
      <c r="B548" s="2">
        <v>45355</v>
      </c>
      <c r="C548" s="2">
        <v>45367</v>
      </c>
      <c r="D548" t="s">
        <v>646</v>
      </c>
      <c r="E548" t="s">
        <v>661</v>
      </c>
      <c r="F548" t="s">
        <v>682</v>
      </c>
      <c r="G548" t="s">
        <v>706</v>
      </c>
      <c r="H548" s="9" t="s">
        <v>710</v>
      </c>
      <c r="I548" s="9" t="s">
        <v>724</v>
      </c>
      <c r="J548" s="9" t="s">
        <v>732</v>
      </c>
      <c r="K548" t="s">
        <v>1278</v>
      </c>
      <c r="L548" s="7">
        <v>441.08</v>
      </c>
      <c r="M548" s="7">
        <v>1054.29</v>
      </c>
      <c r="N548" s="5">
        <v>0.23699999999999999</v>
      </c>
      <c r="O548">
        <v>6</v>
      </c>
      <c r="P548" s="2">
        <f t="shared" si="72"/>
        <v>45367</v>
      </c>
      <c r="Q548" t="str">
        <f t="shared" si="73"/>
        <v>Ok</v>
      </c>
      <c r="R548">
        <f>ABS(Table2[[#This Row],[UnitPrice]])</f>
        <v>1054.29</v>
      </c>
      <c r="S548">
        <f t="shared" si="74"/>
        <v>12</v>
      </c>
      <c r="T548" s="12">
        <f t="shared" si="75"/>
        <v>4826.5396199999996</v>
      </c>
      <c r="U548">
        <f>Table2[[#This Row],[UnitCost]]*Table2[[#This Row],[Quantity]]</f>
        <v>2646.48</v>
      </c>
      <c r="V548" s="13">
        <f t="shared" si="76"/>
        <v>2180.0596199999995</v>
      </c>
      <c r="W548" s="5">
        <f t="shared" si="77"/>
        <v>0.45168169985932899</v>
      </c>
      <c r="X548" s="17" t="str">
        <f t="shared" si="78"/>
        <v>Mar-2024</v>
      </c>
      <c r="Z548" t="str">
        <f t="shared" si="79"/>
        <v>Africa. South Africa. Johannesburg</v>
      </c>
      <c r="AA548" t="str">
        <f t="shared" si="80"/>
        <v>Low</v>
      </c>
      <c r="AB548" t="str">
        <f t="array" ref="AB548">TEXT(MIN(IF($E$2:$E$633=E548, $B$2:$B$633)), "YYYY-MM")</f>
        <v>2023-01</v>
      </c>
      <c r="AC548" s="13">
        <f>SUM($T$2:T548)</f>
        <v>9439257.2280999981</v>
      </c>
    </row>
    <row r="549" spans="1:29" x14ac:dyDescent="0.45">
      <c r="A549" t="s">
        <v>561</v>
      </c>
      <c r="B549" s="2">
        <v>45177</v>
      </c>
      <c r="C549" s="2">
        <v>45201</v>
      </c>
      <c r="D549" t="s">
        <v>648</v>
      </c>
      <c r="E549" t="s">
        <v>653</v>
      </c>
      <c r="F549" t="s">
        <v>667</v>
      </c>
      <c r="G549" t="s">
        <v>702</v>
      </c>
      <c r="H549" s="9" t="s">
        <v>711</v>
      </c>
      <c r="I549" s="9" t="s">
        <v>720</v>
      </c>
      <c r="J549" s="9" t="s">
        <v>733</v>
      </c>
      <c r="K549" t="s">
        <v>1279</v>
      </c>
      <c r="L549" s="7">
        <v>1299.03</v>
      </c>
      <c r="M549" s="7">
        <v>2451.2199999999998</v>
      </c>
      <c r="N549" s="5">
        <v>0.20799999999999999</v>
      </c>
      <c r="O549">
        <v>8</v>
      </c>
      <c r="P549" s="2">
        <f t="shared" si="72"/>
        <v>45201</v>
      </c>
      <c r="Q549" t="str">
        <f t="shared" si="73"/>
        <v>Ok</v>
      </c>
      <c r="R549">
        <f>ABS(Table2[[#This Row],[UnitPrice]])</f>
        <v>2451.2199999999998</v>
      </c>
      <c r="S549">
        <f t="shared" si="74"/>
        <v>24</v>
      </c>
      <c r="T549" s="12">
        <f t="shared" si="75"/>
        <v>15530.929919999999</v>
      </c>
      <c r="U549">
        <f>Table2[[#This Row],[UnitCost]]*Table2[[#This Row],[Quantity]]</f>
        <v>10392.24</v>
      </c>
      <c r="V549" s="13">
        <f t="shared" si="76"/>
        <v>5138.6899199999989</v>
      </c>
      <c r="W549" s="5">
        <f t="shared" si="77"/>
        <v>0.3308681416032041</v>
      </c>
      <c r="X549" s="17" t="str">
        <f t="shared" si="78"/>
        <v>Sep-2023</v>
      </c>
      <c r="Z549" t="str">
        <f t="shared" si="79"/>
        <v>Americas. Canada. Toronto</v>
      </c>
      <c r="AA549" t="str">
        <f t="shared" si="80"/>
        <v>High</v>
      </c>
      <c r="AB549" t="str">
        <f t="array" ref="AB549">TEXT(MIN(IF($E$2:$E$633=E549, $B$2:$B$633)), "YYYY-MM")</f>
        <v>2023-01</v>
      </c>
      <c r="AC549" s="13">
        <f>SUM($T$2:T549)</f>
        <v>9454788.1580199972</v>
      </c>
    </row>
    <row r="550" spans="1:29" x14ac:dyDescent="0.45">
      <c r="A550" t="s">
        <v>562</v>
      </c>
      <c r="B550" s="2">
        <v>44985</v>
      </c>
      <c r="C550" s="2">
        <v>44991</v>
      </c>
      <c r="D550" t="s">
        <v>649</v>
      </c>
      <c r="E550" t="s">
        <v>656</v>
      </c>
      <c r="F550" t="s">
        <v>698</v>
      </c>
      <c r="G550" t="s">
        <v>705</v>
      </c>
      <c r="H550" s="9" t="s">
        <v>709</v>
      </c>
      <c r="I550" s="9" t="s">
        <v>726</v>
      </c>
      <c r="J550" s="9" t="s">
        <v>728</v>
      </c>
      <c r="K550" t="s">
        <v>1280</v>
      </c>
      <c r="L550" s="7">
        <v>880.02</v>
      </c>
      <c r="M550" s="7">
        <v>1251.21</v>
      </c>
      <c r="N550" s="5">
        <v>0.123</v>
      </c>
      <c r="O550">
        <v>29</v>
      </c>
      <c r="P550" s="2">
        <f t="shared" si="72"/>
        <v>44991</v>
      </c>
      <c r="Q550" t="str">
        <f t="shared" si="73"/>
        <v>Ok</v>
      </c>
      <c r="R550">
        <f>ABS(Table2[[#This Row],[UnitPrice]])</f>
        <v>1251.21</v>
      </c>
      <c r="S550">
        <f t="shared" si="74"/>
        <v>6</v>
      </c>
      <c r="T550" s="12">
        <f t="shared" si="75"/>
        <v>31822.023930000003</v>
      </c>
      <c r="U550">
        <f>Table2[[#This Row],[UnitCost]]*Table2[[#This Row],[Quantity]]</f>
        <v>25520.579999999998</v>
      </c>
      <c r="V550" s="13">
        <f t="shared" si="76"/>
        <v>6301.4439300000049</v>
      </c>
      <c r="W550" s="5">
        <f t="shared" si="77"/>
        <v>0.19802146915172672</v>
      </c>
      <c r="X550" s="17" t="str">
        <f t="shared" si="78"/>
        <v>Feb-2023</v>
      </c>
      <c r="Z550" t="str">
        <f t="shared" si="79"/>
        <v>Europe. Germany. Frankfurt</v>
      </c>
      <c r="AA550" t="str">
        <f t="shared" si="80"/>
        <v>High</v>
      </c>
      <c r="AB550" t="str">
        <f t="array" ref="AB550">TEXT(MIN(IF($E$2:$E$633=E550, $B$2:$B$633)), "YYYY-MM")</f>
        <v>2023-01</v>
      </c>
      <c r="AC550" s="13">
        <f>SUM($T$2:T550)</f>
        <v>9486610.1819499973</v>
      </c>
    </row>
    <row r="551" spans="1:29" x14ac:dyDescent="0.45">
      <c r="A551" t="s">
        <v>563</v>
      </c>
      <c r="B551" s="2">
        <v>45486</v>
      </c>
      <c r="C551" s="2">
        <v>45507</v>
      </c>
      <c r="D551" t="s">
        <v>648</v>
      </c>
      <c r="E551" t="s">
        <v>655</v>
      </c>
      <c r="F551" t="s">
        <v>692</v>
      </c>
      <c r="G551" t="s">
        <v>701</v>
      </c>
      <c r="H551" s="9" t="s">
        <v>709</v>
      </c>
      <c r="I551" s="9" t="s">
        <v>724</v>
      </c>
      <c r="J551" s="9" t="s">
        <v>732</v>
      </c>
      <c r="K551" t="s">
        <v>1281</v>
      </c>
      <c r="L551" s="7">
        <v>702.98</v>
      </c>
      <c r="M551" s="7">
        <v>1104.8</v>
      </c>
      <c r="N551" s="5">
        <v>0.17499999999999999</v>
      </c>
      <c r="O551">
        <v>12</v>
      </c>
      <c r="P551" s="2">
        <f t="shared" si="72"/>
        <v>45507</v>
      </c>
      <c r="Q551" t="str">
        <f t="shared" si="73"/>
        <v>Ok</v>
      </c>
      <c r="R551">
        <f>ABS(Table2[[#This Row],[UnitPrice]])</f>
        <v>1104.8</v>
      </c>
      <c r="S551">
        <f t="shared" si="74"/>
        <v>21</v>
      </c>
      <c r="T551" s="12">
        <f t="shared" si="75"/>
        <v>10937.519999999999</v>
      </c>
      <c r="U551">
        <f>Table2[[#This Row],[UnitCost]]*Table2[[#This Row],[Quantity]]</f>
        <v>8435.76</v>
      </c>
      <c r="V551" s="13">
        <f t="shared" si="76"/>
        <v>2501.7599999999984</v>
      </c>
      <c r="W551" s="5">
        <f t="shared" si="77"/>
        <v>0.22873192460448061</v>
      </c>
      <c r="X551" s="17" t="str">
        <f t="shared" si="78"/>
        <v>Jul-2024</v>
      </c>
      <c r="Z551" t="str">
        <f t="shared" si="79"/>
        <v>Americas. Brazil. Rio de Janeiro</v>
      </c>
      <c r="AA551" t="str">
        <f t="shared" si="80"/>
        <v>Low</v>
      </c>
      <c r="AB551" t="str">
        <f t="array" ref="AB551">TEXT(MIN(IF($E$2:$E$633=E551, $B$2:$B$633)), "YYYY-MM")</f>
        <v>2023-01</v>
      </c>
      <c r="AC551" s="13">
        <f>SUM($T$2:T551)</f>
        <v>9497547.7019499969</v>
      </c>
    </row>
    <row r="552" spans="1:29" x14ac:dyDescent="0.45">
      <c r="A552" t="s">
        <v>564</v>
      </c>
      <c r="B552" s="2">
        <v>45633</v>
      </c>
      <c r="C552" s="2">
        <v>45652</v>
      </c>
      <c r="D552" t="s">
        <v>649</v>
      </c>
      <c r="E552" t="s">
        <v>658</v>
      </c>
      <c r="F552" t="s">
        <v>683</v>
      </c>
      <c r="G552" t="s">
        <v>706</v>
      </c>
      <c r="H552" s="9" t="s">
        <v>708</v>
      </c>
      <c r="I552" s="9" t="s">
        <v>726</v>
      </c>
      <c r="J552" s="9" t="s">
        <v>729</v>
      </c>
      <c r="K552" t="s">
        <v>1282</v>
      </c>
      <c r="L552" s="7">
        <v>1035.24</v>
      </c>
      <c r="M552" s="7">
        <v>2383.41</v>
      </c>
      <c r="N552" s="5">
        <v>0.17</v>
      </c>
      <c r="O552">
        <v>15</v>
      </c>
      <c r="P552" s="2">
        <f t="shared" si="72"/>
        <v>45652</v>
      </c>
      <c r="Q552" t="str">
        <f t="shared" si="73"/>
        <v>Ok</v>
      </c>
      <c r="R552">
        <f>ABS(Table2[[#This Row],[UnitPrice]])</f>
        <v>2383.41</v>
      </c>
      <c r="S552">
        <f t="shared" si="74"/>
        <v>19</v>
      </c>
      <c r="T552" s="12">
        <f t="shared" si="75"/>
        <v>29673.454499999993</v>
      </c>
      <c r="U552">
        <f>Table2[[#This Row],[UnitCost]]*Table2[[#This Row],[Quantity]]</f>
        <v>15528.6</v>
      </c>
      <c r="V552" s="13">
        <f t="shared" si="76"/>
        <v>14144.854499999992</v>
      </c>
      <c r="W552" s="5">
        <f t="shared" si="77"/>
        <v>0.47668378145860962</v>
      </c>
      <c r="X552" s="17" t="str">
        <f t="shared" si="78"/>
        <v>Dec-2024</v>
      </c>
      <c r="Z552" t="str">
        <f t="shared" si="79"/>
        <v>Europe. United Kingdom. London</v>
      </c>
      <c r="AA552" t="str">
        <f t="shared" si="80"/>
        <v>High</v>
      </c>
      <c r="AB552" t="str">
        <f t="array" ref="AB552">TEXT(MIN(IF($E$2:$E$633=E552, $B$2:$B$633)), "YYYY-MM")</f>
        <v>2023-01</v>
      </c>
      <c r="AC552" s="13">
        <f>SUM($T$2:T552)</f>
        <v>9527221.1564499959</v>
      </c>
    </row>
    <row r="553" spans="1:29" x14ac:dyDescent="0.45">
      <c r="A553" t="s">
        <v>565</v>
      </c>
      <c r="B553" s="2">
        <v>45875</v>
      </c>
      <c r="C553" s="2">
        <v>45892</v>
      </c>
      <c r="D553" t="s">
        <v>648</v>
      </c>
      <c r="E553" t="s">
        <v>655</v>
      </c>
      <c r="F553" t="s">
        <v>672</v>
      </c>
      <c r="G553" t="s">
        <v>704</v>
      </c>
      <c r="H553" s="9" t="s">
        <v>710</v>
      </c>
      <c r="I553" s="9" t="s">
        <v>720</v>
      </c>
      <c r="J553" s="9" t="s">
        <v>732</v>
      </c>
      <c r="K553" t="s">
        <v>1283</v>
      </c>
      <c r="L553" s="7">
        <v>86.64</v>
      </c>
      <c r="M553" s="7">
        <v>213.06</v>
      </c>
      <c r="N553" s="5">
        <v>0.21199999999999999</v>
      </c>
      <c r="O553">
        <v>11</v>
      </c>
      <c r="P553" s="2">
        <f t="shared" si="72"/>
        <v>45892</v>
      </c>
      <c r="Q553" t="str">
        <f t="shared" si="73"/>
        <v>Ok</v>
      </c>
      <c r="R553">
        <f>ABS(Table2[[#This Row],[UnitPrice]])</f>
        <v>213.06</v>
      </c>
      <c r="S553">
        <f t="shared" si="74"/>
        <v>17</v>
      </c>
      <c r="T553" s="12">
        <f t="shared" si="75"/>
        <v>1846.8040799999999</v>
      </c>
      <c r="U553">
        <f>Table2[[#This Row],[UnitCost]]*Table2[[#This Row],[Quantity]]</f>
        <v>953.04</v>
      </c>
      <c r="V553" s="13">
        <f t="shared" si="76"/>
        <v>893.76407999999992</v>
      </c>
      <c r="W553" s="5">
        <f t="shared" si="77"/>
        <v>0.48395175735154322</v>
      </c>
      <c r="X553" s="17" t="str">
        <f t="shared" si="78"/>
        <v>Aug-2025</v>
      </c>
      <c r="Z553" t="str">
        <f t="shared" si="79"/>
        <v>Americas. Brazil. Brasília</v>
      </c>
      <c r="AA553" t="str">
        <f t="shared" si="80"/>
        <v>Low</v>
      </c>
      <c r="AB553" t="str">
        <f t="array" ref="AB553">TEXT(MIN(IF($E$2:$E$633=E553, $B$2:$B$633)), "YYYY-MM")</f>
        <v>2023-01</v>
      </c>
      <c r="AC553" s="13">
        <f>SUM($T$2:T553)</f>
        <v>9529067.9605299961</v>
      </c>
    </row>
    <row r="554" spans="1:29" x14ac:dyDescent="0.45">
      <c r="A554" t="s">
        <v>566</v>
      </c>
      <c r="B554" s="2">
        <v>44988</v>
      </c>
      <c r="C554" s="2">
        <v>45005</v>
      </c>
      <c r="D554" t="s">
        <v>647</v>
      </c>
      <c r="E554" t="s">
        <v>652</v>
      </c>
      <c r="F554" t="s">
        <v>694</v>
      </c>
      <c r="G554" t="s">
        <v>705</v>
      </c>
      <c r="H554" s="9" t="s">
        <v>708</v>
      </c>
      <c r="I554" s="9" t="s">
        <v>726</v>
      </c>
      <c r="J554" s="9" t="s">
        <v>729</v>
      </c>
      <c r="K554" t="s">
        <v>1284</v>
      </c>
      <c r="L554" s="7">
        <v>1171.17</v>
      </c>
      <c r="M554" s="7">
        <v>2030.64</v>
      </c>
      <c r="N554" s="5">
        <v>0.157</v>
      </c>
      <c r="O554">
        <v>11</v>
      </c>
      <c r="P554" s="2">
        <f t="shared" si="72"/>
        <v>45005</v>
      </c>
      <c r="Q554" t="str">
        <f t="shared" si="73"/>
        <v>Ok</v>
      </c>
      <c r="R554">
        <f>ABS(Table2[[#This Row],[UnitPrice]])</f>
        <v>2030.64</v>
      </c>
      <c r="S554">
        <f t="shared" si="74"/>
        <v>17</v>
      </c>
      <c r="T554" s="12">
        <f t="shared" si="75"/>
        <v>18830.12472</v>
      </c>
      <c r="U554">
        <f>Table2[[#This Row],[UnitCost]]*Table2[[#This Row],[Quantity]]</f>
        <v>12882.87</v>
      </c>
      <c r="V554" s="13">
        <f t="shared" si="76"/>
        <v>5947.254719999999</v>
      </c>
      <c r="W554" s="5">
        <f t="shared" si="77"/>
        <v>0.31583724528830415</v>
      </c>
      <c r="X554" s="17" t="str">
        <f t="shared" si="78"/>
        <v>Mar-2023</v>
      </c>
      <c r="Z554" t="str">
        <f t="shared" si="79"/>
        <v>Asia. Japan. Nagoya</v>
      </c>
      <c r="AA554" t="str">
        <f t="shared" si="80"/>
        <v>High</v>
      </c>
      <c r="AB554" t="str">
        <f t="array" ref="AB554">TEXT(MIN(IF($E$2:$E$633=E554, $B$2:$B$633)), "YYYY-MM")</f>
        <v>2023-03</v>
      </c>
      <c r="AC554" s="13">
        <f>SUM($T$2:T554)</f>
        <v>9547898.0852499958</v>
      </c>
    </row>
    <row r="555" spans="1:29" x14ac:dyDescent="0.45">
      <c r="A555" t="s">
        <v>567</v>
      </c>
      <c r="B555" s="2">
        <v>45704</v>
      </c>
      <c r="C555" s="2">
        <v>45733</v>
      </c>
      <c r="D555" t="s">
        <v>649</v>
      </c>
      <c r="E555" t="s">
        <v>656</v>
      </c>
      <c r="F555" t="s">
        <v>684</v>
      </c>
      <c r="G555" t="s">
        <v>704</v>
      </c>
      <c r="H555" s="9" t="s">
        <v>707</v>
      </c>
      <c r="I555" s="9" t="s">
        <v>716</v>
      </c>
      <c r="J555" s="9" t="s">
        <v>733</v>
      </c>
      <c r="K555" t="s">
        <v>1285</v>
      </c>
      <c r="L555" s="7">
        <v>730.42</v>
      </c>
      <c r="M555" s="7">
        <v>956.7</v>
      </c>
      <c r="N555" s="5">
        <v>4.2000000000000003E-2</v>
      </c>
      <c r="O555">
        <v>22</v>
      </c>
      <c r="P555" s="2">
        <f t="shared" si="72"/>
        <v>45733</v>
      </c>
      <c r="Q555" t="str">
        <f t="shared" si="73"/>
        <v>Ok</v>
      </c>
      <c r="R555">
        <f>ABS(Table2[[#This Row],[UnitPrice]])</f>
        <v>956.7</v>
      </c>
      <c r="S555">
        <f t="shared" si="74"/>
        <v>29</v>
      </c>
      <c r="T555" s="12">
        <f t="shared" si="75"/>
        <v>20163.409200000002</v>
      </c>
      <c r="U555">
        <f>Table2[[#This Row],[UnitCost]]*Table2[[#This Row],[Quantity]]</f>
        <v>16069.24</v>
      </c>
      <c r="V555" s="13">
        <f t="shared" si="76"/>
        <v>4094.1692000000021</v>
      </c>
      <c r="W555" s="5">
        <f t="shared" si="77"/>
        <v>0.20304945256975698</v>
      </c>
      <c r="X555" s="17" t="str">
        <f t="shared" si="78"/>
        <v>Feb-2025</v>
      </c>
      <c r="Z555" t="str">
        <f t="shared" si="79"/>
        <v>Europe. Germany. Munich</v>
      </c>
      <c r="AA555" t="str">
        <f t="shared" si="80"/>
        <v>Low</v>
      </c>
      <c r="AB555" t="str">
        <f t="array" ref="AB555">TEXT(MIN(IF($E$2:$E$633=E555, $B$2:$B$633)), "YYYY-MM")</f>
        <v>2023-01</v>
      </c>
      <c r="AC555" s="13">
        <f>SUM($T$2:T555)</f>
        <v>9568061.4944499955</v>
      </c>
    </row>
    <row r="556" spans="1:29" x14ac:dyDescent="0.45">
      <c r="A556" t="s">
        <v>568</v>
      </c>
      <c r="B556" s="2">
        <v>45703</v>
      </c>
      <c r="C556" s="2">
        <v>45717</v>
      </c>
      <c r="D556" t="s">
        <v>646</v>
      </c>
      <c r="E556" t="s">
        <v>650</v>
      </c>
      <c r="F556" t="s">
        <v>675</v>
      </c>
      <c r="G556" t="s">
        <v>702</v>
      </c>
      <c r="H556" s="9" t="s">
        <v>711</v>
      </c>
      <c r="I556" s="9" t="s">
        <v>716</v>
      </c>
      <c r="J556" s="9" t="s">
        <v>733</v>
      </c>
      <c r="K556" t="s">
        <v>1286</v>
      </c>
      <c r="L556" s="7">
        <v>1162.8599999999999</v>
      </c>
      <c r="M556" s="7">
        <v>1447.68</v>
      </c>
      <c r="N556" s="5">
        <v>8.6999999999999994E-2</v>
      </c>
      <c r="O556">
        <v>12</v>
      </c>
      <c r="P556" s="2">
        <f t="shared" si="72"/>
        <v>45717</v>
      </c>
      <c r="Q556" t="str">
        <f t="shared" si="73"/>
        <v>Ok</v>
      </c>
      <c r="R556">
        <f>ABS(Table2[[#This Row],[UnitPrice]])</f>
        <v>1447.68</v>
      </c>
      <c r="S556">
        <f t="shared" si="74"/>
        <v>14</v>
      </c>
      <c r="T556" s="12">
        <f t="shared" si="75"/>
        <v>15860.782080000001</v>
      </c>
      <c r="U556">
        <f>Table2[[#This Row],[UnitCost]]*Table2[[#This Row],[Quantity]]</f>
        <v>13954.32</v>
      </c>
      <c r="V556" s="13">
        <f t="shared" si="76"/>
        <v>1906.4620800000012</v>
      </c>
      <c r="W556" s="5">
        <f t="shared" si="77"/>
        <v>0.12019975247021369</v>
      </c>
      <c r="X556" s="17" t="str">
        <f t="shared" si="78"/>
        <v>Feb-2025</v>
      </c>
      <c r="Z556" t="str">
        <f t="shared" si="79"/>
        <v>Africa. Kenya. Mombasa</v>
      </c>
      <c r="AA556" t="str">
        <f t="shared" si="80"/>
        <v>High</v>
      </c>
      <c r="AB556" t="str">
        <f t="array" ref="AB556">TEXT(MIN(IF($E$2:$E$633=E556, $B$2:$B$633)), "YYYY-MM")</f>
        <v>2023-01</v>
      </c>
      <c r="AC556" s="13">
        <f>SUM($T$2:T556)</f>
        <v>9583922.2765299957</v>
      </c>
    </row>
    <row r="557" spans="1:29" x14ac:dyDescent="0.45">
      <c r="A557" t="s">
        <v>569</v>
      </c>
      <c r="B557" s="2">
        <v>45535</v>
      </c>
      <c r="C557" s="2">
        <v>45561</v>
      </c>
      <c r="D557" t="s">
        <v>647</v>
      </c>
      <c r="E557" t="s">
        <v>652</v>
      </c>
      <c r="F557" t="s">
        <v>689</v>
      </c>
      <c r="G557" t="s">
        <v>702</v>
      </c>
      <c r="H557" s="9" t="s">
        <v>708</v>
      </c>
      <c r="I557" s="9" t="s">
        <v>714</v>
      </c>
      <c r="J557" s="9" t="s">
        <v>730</v>
      </c>
      <c r="K557" t="s">
        <v>1287</v>
      </c>
      <c r="L557" s="7">
        <v>1189.03</v>
      </c>
      <c r="M557" s="7">
        <v>2949.62</v>
      </c>
      <c r="N557" s="5">
        <v>0.125</v>
      </c>
      <c r="O557">
        <v>13</v>
      </c>
      <c r="P557" s="2">
        <f t="shared" si="72"/>
        <v>45561</v>
      </c>
      <c r="Q557" t="str">
        <f t="shared" si="73"/>
        <v>Ok</v>
      </c>
      <c r="R557">
        <f>ABS(Table2[[#This Row],[UnitPrice]])</f>
        <v>2949.62</v>
      </c>
      <c r="S557">
        <f t="shared" si="74"/>
        <v>26</v>
      </c>
      <c r="T557" s="12">
        <f t="shared" si="75"/>
        <v>33551.927499999998</v>
      </c>
      <c r="U557">
        <f>Table2[[#This Row],[UnitCost]]*Table2[[#This Row],[Quantity]]</f>
        <v>15457.39</v>
      </c>
      <c r="V557" s="13">
        <f t="shared" si="76"/>
        <v>18094.537499999999</v>
      </c>
      <c r="W557" s="5">
        <f t="shared" si="77"/>
        <v>0.53929949330034765</v>
      </c>
      <c r="X557" s="17" t="str">
        <f t="shared" si="78"/>
        <v>Aug-2024</v>
      </c>
      <c r="Z557" t="str">
        <f t="shared" si="79"/>
        <v>Asia. Japan. Tokyo</v>
      </c>
      <c r="AA557" t="str">
        <f t="shared" si="80"/>
        <v>High</v>
      </c>
      <c r="AB557" t="str">
        <f t="array" ref="AB557">TEXT(MIN(IF($E$2:$E$633=E557, $B$2:$B$633)), "YYYY-MM")</f>
        <v>2023-03</v>
      </c>
      <c r="AC557" s="13">
        <f>SUM($T$2:T557)</f>
        <v>9617474.2040299959</v>
      </c>
    </row>
    <row r="558" spans="1:29" x14ac:dyDescent="0.45">
      <c r="A558" t="s">
        <v>570</v>
      </c>
      <c r="B558" s="2">
        <v>45053</v>
      </c>
      <c r="C558" s="2">
        <v>45066</v>
      </c>
      <c r="D558" t="s">
        <v>647</v>
      </c>
      <c r="E558" t="s">
        <v>654</v>
      </c>
      <c r="F558" t="s">
        <v>691</v>
      </c>
      <c r="G558" t="s">
        <v>706</v>
      </c>
      <c r="H558" s="9" t="s">
        <v>707</v>
      </c>
      <c r="I558" s="9" t="s">
        <v>726</v>
      </c>
      <c r="J558" s="9" t="s">
        <v>733</v>
      </c>
      <c r="K558" t="s">
        <v>1288</v>
      </c>
      <c r="L558" s="7">
        <v>1443.28</v>
      </c>
      <c r="M558" s="7">
        <v>2580.5700000000002</v>
      </c>
      <c r="N558" s="5">
        <v>0</v>
      </c>
      <c r="O558">
        <v>18</v>
      </c>
      <c r="P558" s="2">
        <f t="shared" si="72"/>
        <v>45066</v>
      </c>
      <c r="Q558" t="str">
        <f t="shared" si="73"/>
        <v>Ok</v>
      </c>
      <c r="R558">
        <f>ABS(Table2[[#This Row],[UnitPrice]])</f>
        <v>2580.5700000000002</v>
      </c>
      <c r="S558">
        <f t="shared" si="74"/>
        <v>13</v>
      </c>
      <c r="T558" s="12">
        <f t="shared" si="75"/>
        <v>46450.26</v>
      </c>
      <c r="U558">
        <f>Table2[[#This Row],[UnitCost]]*Table2[[#This Row],[Quantity]]</f>
        <v>25979.040000000001</v>
      </c>
      <c r="V558" s="13">
        <f t="shared" si="76"/>
        <v>20471.22</v>
      </c>
      <c r="W558" s="5">
        <f t="shared" si="77"/>
        <v>0.4407127107577008</v>
      </c>
      <c r="X558" s="17" t="str">
        <f t="shared" si="78"/>
        <v>May-2023</v>
      </c>
      <c r="Z558" t="str">
        <f t="shared" si="79"/>
        <v>Asia. India. Mumbai</v>
      </c>
      <c r="AA558" t="str">
        <f t="shared" si="80"/>
        <v>High</v>
      </c>
      <c r="AB558" t="str">
        <f t="array" ref="AB558">TEXT(MIN(IF($E$2:$E$633=E558, $B$2:$B$633)), "YYYY-MM")</f>
        <v>2023-01</v>
      </c>
      <c r="AC558" s="13">
        <f>SUM($T$2:T558)</f>
        <v>9663924.4640299957</v>
      </c>
    </row>
    <row r="559" spans="1:29" x14ac:dyDescent="0.45">
      <c r="A559" t="s">
        <v>571</v>
      </c>
      <c r="B559" s="2">
        <v>45791</v>
      </c>
      <c r="C559" s="2">
        <v>45789</v>
      </c>
      <c r="D559" t="s">
        <v>648</v>
      </c>
      <c r="E559" t="s">
        <v>653</v>
      </c>
      <c r="F559" t="s">
        <v>688</v>
      </c>
      <c r="G559" t="s">
        <v>703</v>
      </c>
      <c r="H559" s="9" t="s">
        <v>710</v>
      </c>
      <c r="I559" s="9" t="s">
        <v>721</v>
      </c>
      <c r="J559" s="9" t="s">
        <v>728</v>
      </c>
      <c r="K559" t="s">
        <v>1289</v>
      </c>
      <c r="L559" s="7">
        <v>883.5</v>
      </c>
      <c r="M559" s="7">
        <v>1978.91</v>
      </c>
      <c r="N559" s="5">
        <v>5.3999999999999999E-2</v>
      </c>
      <c r="O559">
        <v>27</v>
      </c>
      <c r="P559" s="2">
        <f t="shared" si="72"/>
        <v>45798</v>
      </c>
      <c r="Q559" t="str">
        <f t="shared" si="73"/>
        <v>Ok</v>
      </c>
      <c r="R559">
        <f>ABS(Table2[[#This Row],[UnitPrice]])</f>
        <v>1978.91</v>
      </c>
      <c r="S559">
        <f t="shared" si="74"/>
        <v>7</v>
      </c>
      <c r="T559" s="12">
        <f t="shared" si="75"/>
        <v>50545.319219999998</v>
      </c>
      <c r="U559">
        <f>Table2[[#This Row],[UnitCost]]*Table2[[#This Row],[Quantity]]</f>
        <v>23854.5</v>
      </c>
      <c r="V559" s="13">
        <f t="shared" si="76"/>
        <v>26690.819219999998</v>
      </c>
      <c r="W559" s="5">
        <f t="shared" si="77"/>
        <v>0.52805718970390547</v>
      </c>
      <c r="X559" s="17" t="str">
        <f t="shared" si="78"/>
        <v>May-2025</v>
      </c>
      <c r="Z559" t="str">
        <f t="shared" si="79"/>
        <v>Americas. Canada. Vancouver</v>
      </c>
      <c r="AA559" t="str">
        <f t="shared" si="80"/>
        <v>High</v>
      </c>
      <c r="AB559" t="str">
        <f t="array" ref="AB559">TEXT(MIN(IF($E$2:$E$633=E559, $B$2:$B$633)), "YYYY-MM")</f>
        <v>2023-01</v>
      </c>
      <c r="AC559" s="13">
        <f>SUM($T$2:T559)</f>
        <v>9714469.7832499966</v>
      </c>
    </row>
    <row r="560" spans="1:29" x14ac:dyDescent="0.45">
      <c r="A560" t="s">
        <v>572</v>
      </c>
      <c r="B560" s="2">
        <v>45362</v>
      </c>
      <c r="C560" s="2">
        <v>45380</v>
      </c>
      <c r="D560" t="s">
        <v>648</v>
      </c>
      <c r="E560" t="s">
        <v>660</v>
      </c>
      <c r="F560" t="s">
        <v>700</v>
      </c>
      <c r="G560" t="s">
        <v>701</v>
      </c>
      <c r="H560" s="9" t="s">
        <v>707</v>
      </c>
      <c r="I560" s="9" t="s">
        <v>724</v>
      </c>
      <c r="J560" s="9" t="s">
        <v>732</v>
      </c>
      <c r="K560" t="s">
        <v>1290</v>
      </c>
      <c r="L560" s="7">
        <v>710.98</v>
      </c>
      <c r="M560" s="7">
        <v>1481.45</v>
      </c>
      <c r="N560" s="5">
        <v>0.21099999999999999</v>
      </c>
      <c r="O560">
        <v>9</v>
      </c>
      <c r="P560" s="2">
        <f t="shared" si="72"/>
        <v>45380</v>
      </c>
      <c r="Q560" t="str">
        <f t="shared" si="73"/>
        <v>Ok</v>
      </c>
      <c r="R560">
        <f>ABS(Table2[[#This Row],[UnitPrice]])</f>
        <v>1481.45</v>
      </c>
      <c r="S560">
        <f t="shared" si="74"/>
        <v>18</v>
      </c>
      <c r="T560" s="12">
        <f t="shared" si="75"/>
        <v>10519.776450000001</v>
      </c>
      <c r="U560">
        <f>Table2[[#This Row],[UnitCost]]*Table2[[#This Row],[Quantity]]</f>
        <v>6398.82</v>
      </c>
      <c r="V560" s="13">
        <f t="shared" si="76"/>
        <v>4120.9564500000015</v>
      </c>
      <c r="W560" s="5">
        <f t="shared" si="77"/>
        <v>0.39173422264120461</v>
      </c>
      <c r="X560" s="17" t="str">
        <f t="shared" si="78"/>
        <v>Mar-2024</v>
      </c>
      <c r="Z560" t="str">
        <f t="shared" si="79"/>
        <v>Americas. USA. New York</v>
      </c>
      <c r="AA560" t="str">
        <f t="shared" si="80"/>
        <v>High</v>
      </c>
      <c r="AB560" t="str">
        <f t="array" ref="AB560">TEXT(MIN(IF($E$2:$E$633=E560, $B$2:$B$633)), "YYYY-MM")</f>
        <v>2023-01</v>
      </c>
      <c r="AC560" s="13">
        <f>SUM($T$2:T560)</f>
        <v>9724989.5596999973</v>
      </c>
    </row>
    <row r="561" spans="1:29" x14ac:dyDescent="0.45">
      <c r="A561" t="s">
        <v>573</v>
      </c>
      <c r="B561" s="2">
        <v>45430</v>
      </c>
      <c r="C561" s="2">
        <v>45434</v>
      </c>
      <c r="D561" t="s">
        <v>646</v>
      </c>
      <c r="E561" t="s">
        <v>650</v>
      </c>
      <c r="F561" t="s">
        <v>664</v>
      </c>
      <c r="G561" t="s">
        <v>701</v>
      </c>
      <c r="H561" s="9" t="s">
        <v>711</v>
      </c>
      <c r="I561" s="9" t="s">
        <v>722</v>
      </c>
      <c r="J561" s="9" t="s">
        <v>733</v>
      </c>
      <c r="K561" t="s">
        <v>1291</v>
      </c>
      <c r="L561" s="7">
        <v>857.42</v>
      </c>
      <c r="M561" s="7">
        <v>1658.92</v>
      </c>
      <c r="N561" s="5">
        <v>0.122</v>
      </c>
      <c r="O561">
        <v>9</v>
      </c>
      <c r="P561" s="2">
        <f t="shared" si="72"/>
        <v>45434</v>
      </c>
      <c r="Q561" t="str">
        <f t="shared" si="73"/>
        <v>Ok</v>
      </c>
      <c r="R561">
        <f>ABS(Table2[[#This Row],[UnitPrice]])</f>
        <v>1658.92</v>
      </c>
      <c r="S561">
        <f t="shared" si="74"/>
        <v>4</v>
      </c>
      <c r="T561" s="12">
        <f t="shared" si="75"/>
        <v>13108.78584</v>
      </c>
      <c r="U561">
        <f>Table2[[#This Row],[UnitCost]]*Table2[[#This Row],[Quantity]]</f>
        <v>7716.78</v>
      </c>
      <c r="V561" s="13">
        <f t="shared" si="76"/>
        <v>5392.0058400000007</v>
      </c>
      <c r="W561" s="5">
        <f t="shared" si="77"/>
        <v>0.41132763215544305</v>
      </c>
      <c r="X561" s="17" t="str">
        <f t="shared" si="78"/>
        <v>May-2024</v>
      </c>
      <c r="Z561" t="str">
        <f t="shared" si="79"/>
        <v>Africa. Kenya. Nairobi</v>
      </c>
      <c r="AA561" t="str">
        <f t="shared" si="80"/>
        <v>High</v>
      </c>
      <c r="AB561" t="str">
        <f t="array" ref="AB561">TEXT(MIN(IF($E$2:$E$633=E561, $B$2:$B$633)), "YYYY-MM")</f>
        <v>2023-01</v>
      </c>
      <c r="AC561" s="13">
        <f>SUM($T$2:T561)</f>
        <v>9738098.3455399964</v>
      </c>
    </row>
    <row r="562" spans="1:29" x14ac:dyDescent="0.45">
      <c r="A562" t="s">
        <v>574</v>
      </c>
      <c r="B562" s="2">
        <v>45299</v>
      </c>
      <c r="C562" s="2">
        <v>45303</v>
      </c>
      <c r="D562" t="s">
        <v>647</v>
      </c>
      <c r="E562" t="s">
        <v>654</v>
      </c>
      <c r="F562" t="s">
        <v>668</v>
      </c>
      <c r="G562" t="s">
        <v>701</v>
      </c>
      <c r="H562" s="9" t="s">
        <v>711</v>
      </c>
      <c r="I562" s="9" t="s">
        <v>718</v>
      </c>
      <c r="J562" s="9" t="s">
        <v>728</v>
      </c>
      <c r="K562" t="s">
        <v>1292</v>
      </c>
      <c r="L562" s="7">
        <v>802.32</v>
      </c>
      <c r="M562" s="7">
        <v>602.34</v>
      </c>
      <c r="N562" s="5">
        <v>0.12</v>
      </c>
      <c r="O562">
        <v>25</v>
      </c>
      <c r="P562" s="2">
        <f t="shared" si="72"/>
        <v>45303</v>
      </c>
      <c r="Q562" t="str">
        <f t="shared" si="73"/>
        <v>Ok</v>
      </c>
      <c r="R562">
        <f>ABS(Table2[[#This Row],[UnitPrice]])</f>
        <v>602.34</v>
      </c>
      <c r="S562">
        <f t="shared" si="74"/>
        <v>4</v>
      </c>
      <c r="T562" s="12">
        <f t="shared" si="75"/>
        <v>13251.48</v>
      </c>
      <c r="U562">
        <f>Table2[[#This Row],[UnitCost]]*Table2[[#This Row],[Quantity]]</f>
        <v>20058</v>
      </c>
      <c r="V562" s="13">
        <f t="shared" si="76"/>
        <v>-6806.52</v>
      </c>
      <c r="W562" s="5">
        <f t="shared" si="77"/>
        <v>-0.51364224977134632</v>
      </c>
      <c r="X562" s="17" t="str">
        <f t="shared" si="78"/>
        <v>Jan-2024</v>
      </c>
      <c r="Z562" t="str">
        <f t="shared" si="79"/>
        <v>Asia. India. Bengaluru</v>
      </c>
      <c r="AA562" t="str">
        <f t="shared" si="80"/>
        <v>Low</v>
      </c>
      <c r="AB562" t="str">
        <f t="array" ref="AB562">TEXT(MIN(IF($E$2:$E$633=E562, $B$2:$B$633)), "YYYY-MM")</f>
        <v>2023-01</v>
      </c>
      <c r="AC562" s="13">
        <f>SUM($T$2:T562)</f>
        <v>9751349.8255399968</v>
      </c>
    </row>
    <row r="563" spans="1:29" x14ac:dyDescent="0.45">
      <c r="A563" t="s">
        <v>575</v>
      </c>
      <c r="B563" s="2">
        <v>45590</v>
      </c>
      <c r="C563" s="2">
        <v>45601</v>
      </c>
      <c r="D563" t="s">
        <v>648</v>
      </c>
      <c r="E563" t="s">
        <v>660</v>
      </c>
      <c r="F563" t="s">
        <v>700</v>
      </c>
      <c r="G563" t="s">
        <v>701</v>
      </c>
      <c r="H563" s="9" t="s">
        <v>710</v>
      </c>
      <c r="I563" s="9" t="s">
        <v>725</v>
      </c>
      <c r="J563" s="9" t="s">
        <v>727</v>
      </c>
      <c r="K563" t="s">
        <v>1293</v>
      </c>
      <c r="L563" s="7">
        <v>446.66</v>
      </c>
      <c r="M563" s="7">
        <v>527.64</v>
      </c>
      <c r="N563" s="5">
        <v>0.14499999999999999</v>
      </c>
      <c r="O563">
        <v>15</v>
      </c>
      <c r="P563" s="2">
        <f t="shared" si="72"/>
        <v>45601</v>
      </c>
      <c r="Q563" t="str">
        <f t="shared" si="73"/>
        <v>Ok</v>
      </c>
      <c r="R563">
        <f>ABS(Table2[[#This Row],[UnitPrice]])</f>
        <v>527.64</v>
      </c>
      <c r="S563">
        <f t="shared" si="74"/>
        <v>11</v>
      </c>
      <c r="T563" s="12">
        <f t="shared" si="75"/>
        <v>6766.9829999999993</v>
      </c>
      <c r="U563">
        <f>Table2[[#This Row],[UnitCost]]*Table2[[#This Row],[Quantity]]</f>
        <v>6699.9000000000005</v>
      </c>
      <c r="V563" s="13">
        <f t="shared" si="76"/>
        <v>67.082999999998719</v>
      </c>
      <c r="W563" s="5">
        <f t="shared" si="77"/>
        <v>9.9132804087137105E-3</v>
      </c>
      <c r="X563" s="17" t="str">
        <f t="shared" si="78"/>
        <v>Oct-2024</v>
      </c>
      <c r="Z563" t="str">
        <f t="shared" si="79"/>
        <v>Americas. USA. New York</v>
      </c>
      <c r="AA563" t="str">
        <f t="shared" si="80"/>
        <v>Low</v>
      </c>
      <c r="AB563" t="str">
        <f t="array" ref="AB563">TEXT(MIN(IF($E$2:$E$633=E563, $B$2:$B$633)), "YYYY-MM")</f>
        <v>2023-01</v>
      </c>
      <c r="AC563" s="13">
        <f>SUM($T$2:T563)</f>
        <v>9758116.8085399959</v>
      </c>
    </row>
    <row r="564" spans="1:29" x14ac:dyDescent="0.45">
      <c r="A564" t="s">
        <v>576</v>
      </c>
      <c r="B564" s="2">
        <v>45626</v>
      </c>
      <c r="C564" s="2">
        <v>45645</v>
      </c>
      <c r="D564" t="s">
        <v>646</v>
      </c>
      <c r="E564" t="s">
        <v>650</v>
      </c>
      <c r="F564" t="s">
        <v>662</v>
      </c>
      <c r="G564" t="s">
        <v>701</v>
      </c>
      <c r="H564" s="9" t="s">
        <v>708</v>
      </c>
      <c r="I564" s="9" t="s">
        <v>716</v>
      </c>
      <c r="J564" s="9" t="s">
        <v>730</v>
      </c>
      <c r="K564" t="s">
        <v>1294</v>
      </c>
      <c r="L564" s="7">
        <v>1195.98</v>
      </c>
      <c r="M564" s="7">
        <v>1841.9</v>
      </c>
      <c r="N564" s="5">
        <v>5.5E-2</v>
      </c>
      <c r="O564">
        <v>19</v>
      </c>
      <c r="P564" s="2">
        <f t="shared" si="72"/>
        <v>45645</v>
      </c>
      <c r="Q564" t="str">
        <f t="shared" si="73"/>
        <v>Ok</v>
      </c>
      <c r="R564">
        <f>ABS(Table2[[#This Row],[UnitPrice]])</f>
        <v>1841.9</v>
      </c>
      <c r="S564">
        <f t="shared" si="74"/>
        <v>19</v>
      </c>
      <c r="T564" s="12">
        <f t="shared" si="75"/>
        <v>33071.3145</v>
      </c>
      <c r="U564">
        <f>Table2[[#This Row],[UnitCost]]*Table2[[#This Row],[Quantity]]</f>
        <v>22723.62</v>
      </c>
      <c r="V564" s="13">
        <f t="shared" si="76"/>
        <v>10347.694500000001</v>
      </c>
      <c r="W564" s="5">
        <f t="shared" si="77"/>
        <v>0.31289032977506842</v>
      </c>
      <c r="X564" s="17" t="str">
        <f t="shared" si="78"/>
        <v>Nov-2024</v>
      </c>
      <c r="Z564" t="str">
        <f t="shared" si="79"/>
        <v>Africa. Kenya. Kisumu</v>
      </c>
      <c r="AA564" t="str">
        <f t="shared" si="80"/>
        <v>High</v>
      </c>
      <c r="AB564" t="str">
        <f t="array" ref="AB564">TEXT(MIN(IF($E$2:$E$633=E564, $B$2:$B$633)), "YYYY-MM")</f>
        <v>2023-01</v>
      </c>
      <c r="AC564" s="13">
        <f>SUM($T$2:T564)</f>
        <v>9791188.1230399963</v>
      </c>
    </row>
    <row r="565" spans="1:29" x14ac:dyDescent="0.45">
      <c r="A565" t="s">
        <v>577</v>
      </c>
      <c r="B565" s="2">
        <v>45029</v>
      </c>
      <c r="C565" s="2">
        <v>45048</v>
      </c>
      <c r="D565" t="s">
        <v>648</v>
      </c>
      <c r="E565" t="s">
        <v>653</v>
      </c>
      <c r="F565" t="s">
        <v>681</v>
      </c>
      <c r="G565" t="s">
        <v>704</v>
      </c>
      <c r="H565" s="9" t="s">
        <v>710</v>
      </c>
      <c r="I565" s="9" t="s">
        <v>718</v>
      </c>
      <c r="J565" s="9" t="s">
        <v>732</v>
      </c>
      <c r="K565" t="s">
        <v>1295</v>
      </c>
      <c r="L565" s="7">
        <v>671.05</v>
      </c>
      <c r="M565" s="7">
        <v>1645.48</v>
      </c>
      <c r="N565" s="5">
        <v>0.13700000000000001</v>
      </c>
      <c r="O565">
        <v>6</v>
      </c>
      <c r="P565" s="2">
        <f t="shared" si="72"/>
        <v>45048</v>
      </c>
      <c r="Q565" t="str">
        <f t="shared" si="73"/>
        <v>Ok</v>
      </c>
      <c r="R565">
        <f>ABS(Table2[[#This Row],[UnitPrice]])</f>
        <v>1645.48</v>
      </c>
      <c r="S565">
        <f t="shared" si="74"/>
        <v>19</v>
      </c>
      <c r="T565" s="12">
        <f t="shared" si="75"/>
        <v>8520.2954399999999</v>
      </c>
      <c r="U565">
        <f>Table2[[#This Row],[UnitCost]]*Table2[[#This Row],[Quantity]]</f>
        <v>4026.2999999999997</v>
      </c>
      <c r="V565" s="13">
        <f t="shared" si="76"/>
        <v>4493.9954400000006</v>
      </c>
      <c r="W565" s="5">
        <f t="shared" si="77"/>
        <v>0.52744596377517172</v>
      </c>
      <c r="X565" s="17" t="str">
        <f t="shared" si="78"/>
        <v>Apr-2023</v>
      </c>
      <c r="Z565" t="str">
        <f t="shared" si="79"/>
        <v>Americas. Canada. Montreal</v>
      </c>
      <c r="AA565" t="str">
        <f t="shared" si="80"/>
        <v>High</v>
      </c>
      <c r="AB565" t="str">
        <f t="array" ref="AB565">TEXT(MIN(IF($E$2:$E$633=E565, $B$2:$B$633)), "YYYY-MM")</f>
        <v>2023-01</v>
      </c>
      <c r="AC565" s="13">
        <f>SUM($T$2:T565)</f>
        <v>9799708.4184799958</v>
      </c>
    </row>
    <row r="566" spans="1:29" x14ac:dyDescent="0.45">
      <c r="A566" t="s">
        <v>578</v>
      </c>
      <c r="B566" s="2">
        <v>45692</v>
      </c>
      <c r="C566" s="2">
        <v>45696</v>
      </c>
      <c r="D566" t="s">
        <v>649</v>
      </c>
      <c r="E566" t="s">
        <v>658</v>
      </c>
      <c r="F566" t="s">
        <v>693</v>
      </c>
      <c r="G566" t="s">
        <v>706</v>
      </c>
      <c r="H566" s="9" t="s">
        <v>709</v>
      </c>
      <c r="I566" s="9" t="s">
        <v>716</v>
      </c>
      <c r="J566" s="9" t="s">
        <v>729</v>
      </c>
      <c r="K566" t="s">
        <v>1296</v>
      </c>
      <c r="L566" s="7">
        <v>586.21</v>
      </c>
      <c r="M566" s="7">
        <v>727.22</v>
      </c>
      <c r="N566" s="5">
        <v>6.8000000000000005E-2</v>
      </c>
      <c r="O566">
        <v>15</v>
      </c>
      <c r="P566" s="2">
        <f t="shared" si="72"/>
        <v>45696</v>
      </c>
      <c r="Q566" t="str">
        <f t="shared" si="73"/>
        <v>Ok</v>
      </c>
      <c r="R566">
        <f>ABS(Table2[[#This Row],[UnitPrice]])</f>
        <v>727.22</v>
      </c>
      <c r="S566">
        <f t="shared" si="74"/>
        <v>4</v>
      </c>
      <c r="T566" s="12">
        <f t="shared" si="75"/>
        <v>10166.535600000001</v>
      </c>
      <c r="U566">
        <f>Table2[[#This Row],[UnitCost]]*Table2[[#This Row],[Quantity]]</f>
        <v>8793.1500000000015</v>
      </c>
      <c r="V566" s="13">
        <f t="shared" si="76"/>
        <v>1373.3855999999996</v>
      </c>
      <c r="W566" s="5">
        <f t="shared" si="77"/>
        <v>0.13508884973559721</v>
      </c>
      <c r="X566" s="17" t="str">
        <f t="shared" si="78"/>
        <v>Feb-2025</v>
      </c>
      <c r="Z566" t="str">
        <f t="shared" si="79"/>
        <v>Europe. United Kingdom. Manchester</v>
      </c>
      <c r="AA566" t="str">
        <f t="shared" si="80"/>
        <v>Low</v>
      </c>
      <c r="AB566" t="str">
        <f t="array" ref="AB566">TEXT(MIN(IF($E$2:$E$633=E566, $B$2:$B$633)), "YYYY-MM")</f>
        <v>2023-01</v>
      </c>
      <c r="AC566" s="13">
        <f>SUM($T$2:T566)</f>
        <v>9809874.9540799949</v>
      </c>
    </row>
    <row r="567" spans="1:29" x14ac:dyDescent="0.45">
      <c r="A567" t="s">
        <v>579</v>
      </c>
      <c r="B567" s="2">
        <v>45315</v>
      </c>
      <c r="C567" s="2">
        <v>45326</v>
      </c>
      <c r="D567" t="s">
        <v>649</v>
      </c>
      <c r="E567" t="s">
        <v>658</v>
      </c>
      <c r="F567" t="s">
        <v>693</v>
      </c>
      <c r="G567" t="s">
        <v>704</v>
      </c>
      <c r="H567" s="9" t="s">
        <v>707</v>
      </c>
      <c r="I567" s="9" t="s">
        <v>717</v>
      </c>
      <c r="J567" s="9" t="s">
        <v>731</v>
      </c>
      <c r="K567" t="s">
        <v>1297</v>
      </c>
      <c r="L567" s="7">
        <v>525.34</v>
      </c>
      <c r="M567" s="7">
        <v>1233.79</v>
      </c>
      <c r="N567" s="5">
        <v>0.14299999999999999</v>
      </c>
      <c r="O567">
        <v>4</v>
      </c>
      <c r="P567" s="2">
        <f t="shared" si="72"/>
        <v>45326</v>
      </c>
      <c r="Q567" t="str">
        <f t="shared" si="73"/>
        <v>Ok</v>
      </c>
      <c r="R567">
        <f>ABS(Table2[[#This Row],[UnitPrice]])</f>
        <v>1233.79</v>
      </c>
      <c r="S567">
        <f t="shared" si="74"/>
        <v>11</v>
      </c>
      <c r="T567" s="12">
        <f t="shared" si="75"/>
        <v>4229.4321199999995</v>
      </c>
      <c r="U567">
        <f>Table2[[#This Row],[UnitCost]]*Table2[[#This Row],[Quantity]]</f>
        <v>2101.36</v>
      </c>
      <c r="V567" s="13">
        <f t="shared" si="76"/>
        <v>2128.0721199999994</v>
      </c>
      <c r="W567" s="5">
        <f t="shared" si="77"/>
        <v>0.50315788494082736</v>
      </c>
      <c r="X567" s="17" t="str">
        <f t="shared" si="78"/>
        <v>Jan-2024</v>
      </c>
      <c r="Z567" t="str">
        <f t="shared" si="79"/>
        <v>Europe. United Kingdom. Manchester</v>
      </c>
      <c r="AA567" t="str">
        <f t="shared" si="80"/>
        <v>High</v>
      </c>
      <c r="AB567" t="str">
        <f t="array" ref="AB567">TEXT(MIN(IF($E$2:$E$633=E567, $B$2:$B$633)), "YYYY-MM")</f>
        <v>2023-01</v>
      </c>
      <c r="AC567" s="13">
        <f>SUM($T$2:T567)</f>
        <v>9814104.386199994</v>
      </c>
    </row>
    <row r="568" spans="1:29" x14ac:dyDescent="0.45">
      <c r="A568" t="s">
        <v>580</v>
      </c>
      <c r="B568" s="2">
        <v>45330</v>
      </c>
      <c r="C568" s="2">
        <v>45331</v>
      </c>
      <c r="D568" t="s">
        <v>646</v>
      </c>
      <c r="E568" t="s">
        <v>650</v>
      </c>
      <c r="F568" t="s">
        <v>675</v>
      </c>
      <c r="G568" t="s">
        <v>701</v>
      </c>
      <c r="H568" s="9" t="s">
        <v>711</v>
      </c>
      <c r="I568" s="9" t="s">
        <v>721</v>
      </c>
      <c r="J568" s="9" t="s">
        <v>727</v>
      </c>
      <c r="K568" t="s">
        <v>1298</v>
      </c>
      <c r="L568" s="7">
        <v>1233.52</v>
      </c>
      <c r="M568" s="7">
        <v>1543.76</v>
      </c>
      <c r="N568" s="5">
        <v>0.126</v>
      </c>
      <c r="O568">
        <v>13</v>
      </c>
      <c r="P568" s="2">
        <f t="shared" si="72"/>
        <v>45331</v>
      </c>
      <c r="Q568" t="str">
        <f t="shared" si="73"/>
        <v>Ok</v>
      </c>
      <c r="R568">
        <f>ABS(Table2[[#This Row],[UnitPrice]])</f>
        <v>1543.76</v>
      </c>
      <c r="S568">
        <f t="shared" si="74"/>
        <v>1</v>
      </c>
      <c r="T568" s="12">
        <f t="shared" si="75"/>
        <v>17540.201120000002</v>
      </c>
      <c r="U568">
        <f>Table2[[#This Row],[UnitCost]]*Table2[[#This Row],[Quantity]]</f>
        <v>16035.76</v>
      </c>
      <c r="V568" s="13">
        <f t="shared" si="76"/>
        <v>1504.4411200000013</v>
      </c>
      <c r="W568" s="5">
        <f t="shared" si="77"/>
        <v>8.5771030201277493E-2</v>
      </c>
      <c r="X568" s="17" t="str">
        <f t="shared" si="78"/>
        <v>Feb-2024</v>
      </c>
      <c r="Z568" t="str">
        <f t="shared" si="79"/>
        <v>Africa. Kenya. Mombasa</v>
      </c>
      <c r="AA568" t="str">
        <f t="shared" si="80"/>
        <v>High</v>
      </c>
      <c r="AB568" t="str">
        <f t="array" ref="AB568">TEXT(MIN(IF($E$2:$E$633=E568, $B$2:$B$633)), "YYYY-MM")</f>
        <v>2023-01</v>
      </c>
      <c r="AC568" s="13">
        <f>SUM($T$2:T568)</f>
        <v>9831644.5873199943</v>
      </c>
    </row>
    <row r="569" spans="1:29" x14ac:dyDescent="0.45">
      <c r="A569" t="s">
        <v>581</v>
      </c>
      <c r="B569" s="2">
        <v>45834</v>
      </c>
      <c r="C569" s="2">
        <v>45849</v>
      </c>
      <c r="D569" t="s">
        <v>646</v>
      </c>
      <c r="E569" t="s">
        <v>651</v>
      </c>
      <c r="F569" t="s">
        <v>663</v>
      </c>
      <c r="G569" t="s">
        <v>705</v>
      </c>
      <c r="H569" s="9" t="s">
        <v>708</v>
      </c>
      <c r="I569" s="9" t="s">
        <v>720</v>
      </c>
      <c r="J569" s="9" t="s">
        <v>731</v>
      </c>
      <c r="K569" t="s">
        <v>1299</v>
      </c>
      <c r="L569" s="7">
        <v>1170.1500000000001</v>
      </c>
      <c r="M569" s="7">
        <v>2115.19</v>
      </c>
      <c r="N569" s="5">
        <v>9.1999999999999998E-2</v>
      </c>
      <c r="O569">
        <v>23</v>
      </c>
      <c r="P569" s="2">
        <f t="shared" si="72"/>
        <v>45849</v>
      </c>
      <c r="Q569" t="str">
        <f t="shared" si="73"/>
        <v>Ok</v>
      </c>
      <c r="R569">
        <f>ABS(Table2[[#This Row],[UnitPrice]])</f>
        <v>2115.19</v>
      </c>
      <c r="S569">
        <f t="shared" si="74"/>
        <v>15</v>
      </c>
      <c r="T569" s="12">
        <f t="shared" si="75"/>
        <v>44173.627960000005</v>
      </c>
      <c r="U569">
        <f>Table2[[#This Row],[UnitCost]]*Table2[[#This Row],[Quantity]]</f>
        <v>26913.45</v>
      </c>
      <c r="V569" s="13">
        <f t="shared" si="76"/>
        <v>17260.177960000005</v>
      </c>
      <c r="W569" s="5">
        <f t="shared" si="77"/>
        <v>0.39073489674946776</v>
      </c>
      <c r="X569" s="17" t="str">
        <f t="shared" si="78"/>
        <v>Jun-2025</v>
      </c>
      <c r="Z569" t="str">
        <f t="shared" si="79"/>
        <v>Africa. Nigeria. Port Harcourt</v>
      </c>
      <c r="AA569" t="str">
        <f t="shared" si="80"/>
        <v>High</v>
      </c>
      <c r="AB569" t="str">
        <f t="array" ref="AB569">TEXT(MIN(IF($E$2:$E$633=E569, $B$2:$B$633)), "YYYY-MM")</f>
        <v>2023-01</v>
      </c>
      <c r="AC569" s="13">
        <f>SUM($T$2:T569)</f>
        <v>9875818.2152799945</v>
      </c>
    </row>
    <row r="570" spans="1:29" x14ac:dyDescent="0.45">
      <c r="A570" t="s">
        <v>582</v>
      </c>
      <c r="B570" s="2">
        <v>45600</v>
      </c>
      <c r="C570" s="2">
        <v>45603</v>
      </c>
      <c r="D570" t="s">
        <v>649</v>
      </c>
      <c r="E570" t="s">
        <v>657</v>
      </c>
      <c r="F570" t="s">
        <v>679</v>
      </c>
      <c r="G570" t="s">
        <v>701</v>
      </c>
      <c r="H570" s="9" t="s">
        <v>708</v>
      </c>
      <c r="I570" s="9" t="s">
        <v>719</v>
      </c>
      <c r="J570" s="9" t="s">
        <v>732</v>
      </c>
      <c r="K570" t="s">
        <v>1300</v>
      </c>
      <c r="L570" s="7">
        <v>740.68</v>
      </c>
      <c r="M570" s="7">
        <v>1837.19</v>
      </c>
      <c r="N570" s="5">
        <v>0.19700000000000001</v>
      </c>
      <c r="O570">
        <v>17</v>
      </c>
      <c r="P570" s="2">
        <f t="shared" si="72"/>
        <v>45603</v>
      </c>
      <c r="Q570" t="str">
        <f t="shared" si="73"/>
        <v>Ok</v>
      </c>
      <c r="R570">
        <f>ABS(Table2[[#This Row],[UnitPrice]])</f>
        <v>1837.19</v>
      </c>
      <c r="S570">
        <f t="shared" si="74"/>
        <v>3</v>
      </c>
      <c r="T570" s="12">
        <f t="shared" si="75"/>
        <v>25079.480689999997</v>
      </c>
      <c r="U570">
        <f>Table2[[#This Row],[UnitCost]]*Table2[[#This Row],[Quantity]]</f>
        <v>12591.56</v>
      </c>
      <c r="V570" s="13">
        <f t="shared" si="76"/>
        <v>12487.920689999997</v>
      </c>
      <c r="W570" s="5">
        <f t="shared" si="77"/>
        <v>0.4979337827748298</v>
      </c>
      <c r="X570" s="17" t="str">
        <f t="shared" si="78"/>
        <v>Nov-2024</v>
      </c>
      <c r="Z570" t="str">
        <f t="shared" si="79"/>
        <v>Europe. France. Lyon</v>
      </c>
      <c r="AA570" t="str">
        <f t="shared" si="80"/>
        <v>High</v>
      </c>
      <c r="AB570" t="str">
        <f t="array" ref="AB570">TEXT(MIN(IF($E$2:$E$633=E570, $B$2:$B$633)), "YYYY-MM")</f>
        <v>2023-01</v>
      </c>
      <c r="AC570" s="13">
        <f>SUM($T$2:T570)</f>
        <v>9900897.6959699951</v>
      </c>
    </row>
    <row r="571" spans="1:29" x14ac:dyDescent="0.45">
      <c r="A571" t="s">
        <v>583</v>
      </c>
      <c r="B571" s="2">
        <v>45342</v>
      </c>
      <c r="C571" s="2">
        <v>45342</v>
      </c>
      <c r="D571" t="s">
        <v>648</v>
      </c>
      <c r="E571" t="s">
        <v>660</v>
      </c>
      <c r="F571" t="s">
        <v>700</v>
      </c>
      <c r="G571" t="s">
        <v>706</v>
      </c>
      <c r="H571" s="9" t="s">
        <v>708</v>
      </c>
      <c r="I571" s="9" t="s">
        <v>712</v>
      </c>
      <c r="J571" s="9" t="s">
        <v>729</v>
      </c>
      <c r="K571" t="s">
        <v>1301</v>
      </c>
      <c r="L571" s="7">
        <v>1407.05</v>
      </c>
      <c r="M571" s="7">
        <v>2858.93</v>
      </c>
      <c r="N571" s="5">
        <v>0</v>
      </c>
      <c r="O571">
        <v>12</v>
      </c>
      <c r="P571" s="2">
        <f t="shared" si="72"/>
        <v>45342</v>
      </c>
      <c r="Q571" t="str">
        <f t="shared" si="73"/>
        <v>Ok</v>
      </c>
      <c r="R571">
        <f>ABS(Table2[[#This Row],[UnitPrice]])</f>
        <v>2858.93</v>
      </c>
      <c r="S571">
        <f t="shared" si="74"/>
        <v>0</v>
      </c>
      <c r="T571" s="12">
        <f t="shared" si="75"/>
        <v>34307.159999999996</v>
      </c>
      <c r="U571">
        <f>Table2[[#This Row],[UnitCost]]*Table2[[#This Row],[Quantity]]</f>
        <v>16884.599999999999</v>
      </c>
      <c r="V571" s="13">
        <f t="shared" si="76"/>
        <v>17422.559999999998</v>
      </c>
      <c r="W571" s="5">
        <f t="shared" si="77"/>
        <v>0.50784034586366222</v>
      </c>
      <c r="X571" s="17" t="str">
        <f t="shared" si="78"/>
        <v>Feb-2024</v>
      </c>
      <c r="Z571" t="str">
        <f t="shared" si="79"/>
        <v>Americas. USA. New York</v>
      </c>
      <c r="AA571" t="str">
        <f t="shared" si="80"/>
        <v>High</v>
      </c>
      <c r="AB571" t="str">
        <f t="array" ref="AB571">TEXT(MIN(IF($E$2:$E$633=E571, $B$2:$B$633)), "YYYY-MM")</f>
        <v>2023-01</v>
      </c>
      <c r="AC571" s="13">
        <f>SUM($T$2:T571)</f>
        <v>9935204.8559699953</v>
      </c>
    </row>
    <row r="572" spans="1:29" x14ac:dyDescent="0.45">
      <c r="A572" t="s">
        <v>584</v>
      </c>
      <c r="B572" s="2">
        <v>45760</v>
      </c>
      <c r="C572" s="2">
        <v>45761</v>
      </c>
      <c r="D572" t="s">
        <v>647</v>
      </c>
      <c r="E572" t="s">
        <v>652</v>
      </c>
      <c r="F572" t="s">
        <v>666</v>
      </c>
      <c r="G572" t="s">
        <v>706</v>
      </c>
      <c r="H572" s="9" t="s">
        <v>708</v>
      </c>
      <c r="I572" s="9" t="s">
        <v>715</v>
      </c>
      <c r="J572" s="9" t="s">
        <v>727</v>
      </c>
      <c r="K572" t="s">
        <v>1302</v>
      </c>
      <c r="L572" s="7">
        <v>138.9</v>
      </c>
      <c r="M572" s="7">
        <v>289.92</v>
      </c>
      <c r="N572" s="5">
        <v>2.9000000000000001E-2</v>
      </c>
      <c r="O572">
        <v>12</v>
      </c>
      <c r="P572" s="2">
        <f t="shared" si="72"/>
        <v>45761</v>
      </c>
      <c r="Q572" t="str">
        <f t="shared" si="73"/>
        <v>Ok</v>
      </c>
      <c r="R572">
        <f>ABS(Table2[[#This Row],[UnitPrice]])</f>
        <v>289.92</v>
      </c>
      <c r="S572">
        <f t="shared" si="74"/>
        <v>1</v>
      </c>
      <c r="T572" s="12">
        <f t="shared" si="75"/>
        <v>3378.1478400000001</v>
      </c>
      <c r="U572">
        <f>Table2[[#This Row],[UnitCost]]*Table2[[#This Row],[Quantity]]</f>
        <v>1666.8000000000002</v>
      </c>
      <c r="V572" s="13">
        <f t="shared" si="76"/>
        <v>1711.3478399999999</v>
      </c>
      <c r="W572" s="5">
        <f t="shared" si="77"/>
        <v>0.50659353025828491</v>
      </c>
      <c r="X572" s="17" t="str">
        <f t="shared" si="78"/>
        <v>Apr-2025</v>
      </c>
      <c r="Z572" t="str">
        <f t="shared" si="79"/>
        <v>Asia. Japan. Osaka</v>
      </c>
      <c r="AA572" t="str">
        <f t="shared" si="80"/>
        <v>Low</v>
      </c>
      <c r="AB572" t="str">
        <f t="array" ref="AB572">TEXT(MIN(IF($E$2:$E$633=E572, $B$2:$B$633)), "YYYY-MM")</f>
        <v>2023-03</v>
      </c>
      <c r="AC572" s="13">
        <f>SUM($T$2:T572)</f>
        <v>9938583.0038099959</v>
      </c>
    </row>
    <row r="573" spans="1:29" x14ac:dyDescent="0.45">
      <c r="A573" t="s">
        <v>585</v>
      </c>
      <c r="B573" s="2">
        <v>45078</v>
      </c>
      <c r="C573" s="2">
        <v>45078</v>
      </c>
      <c r="D573" t="s">
        <v>647</v>
      </c>
      <c r="E573" t="s">
        <v>654</v>
      </c>
      <c r="F573" t="s">
        <v>668</v>
      </c>
      <c r="G573" t="s">
        <v>701</v>
      </c>
      <c r="H573" s="9" t="s">
        <v>707</v>
      </c>
      <c r="I573" s="9" t="s">
        <v>718</v>
      </c>
      <c r="J573" s="9" t="s">
        <v>733</v>
      </c>
      <c r="K573" t="s">
        <v>1303</v>
      </c>
      <c r="L573" s="7">
        <v>669.37</v>
      </c>
      <c r="M573" s="7">
        <v>997.2</v>
      </c>
      <c r="N573" s="5">
        <v>8.2000000000000003E-2</v>
      </c>
      <c r="O573">
        <v>5</v>
      </c>
      <c r="P573" s="2">
        <f t="shared" si="72"/>
        <v>45078</v>
      </c>
      <c r="Q573" t="str">
        <f t="shared" si="73"/>
        <v>Ok</v>
      </c>
      <c r="R573">
        <f>ABS(Table2[[#This Row],[UnitPrice]])</f>
        <v>997.2</v>
      </c>
      <c r="S573">
        <f t="shared" si="74"/>
        <v>0</v>
      </c>
      <c r="T573" s="12">
        <f t="shared" si="75"/>
        <v>4577.1480000000001</v>
      </c>
      <c r="U573">
        <f>Table2[[#This Row],[UnitCost]]*Table2[[#This Row],[Quantity]]</f>
        <v>3346.85</v>
      </c>
      <c r="V573" s="13">
        <f t="shared" si="76"/>
        <v>1230.2980000000002</v>
      </c>
      <c r="W573" s="5">
        <f t="shared" si="77"/>
        <v>0.26879139586484863</v>
      </c>
      <c r="X573" s="17" t="str">
        <f t="shared" si="78"/>
        <v>Jun-2023</v>
      </c>
      <c r="Z573" t="str">
        <f t="shared" si="79"/>
        <v>Asia. India. Bengaluru</v>
      </c>
      <c r="AA573" t="str">
        <f t="shared" si="80"/>
        <v>Low</v>
      </c>
      <c r="AB573" t="str">
        <f t="array" ref="AB573">TEXT(MIN(IF($E$2:$E$633=E573, $B$2:$B$633)), "YYYY-MM")</f>
        <v>2023-01</v>
      </c>
      <c r="AC573" s="13">
        <f>SUM($T$2:T573)</f>
        <v>9943160.151809996</v>
      </c>
    </row>
    <row r="574" spans="1:29" x14ac:dyDescent="0.45">
      <c r="A574" t="s">
        <v>586</v>
      </c>
      <c r="B574" s="2">
        <v>45740</v>
      </c>
      <c r="C574" s="2">
        <v>45751</v>
      </c>
      <c r="D574" t="s">
        <v>647</v>
      </c>
      <c r="E574" t="s">
        <v>654</v>
      </c>
      <c r="F574" t="s">
        <v>691</v>
      </c>
      <c r="G574" t="s">
        <v>702</v>
      </c>
      <c r="H574" s="9" t="s">
        <v>709</v>
      </c>
      <c r="I574" s="9" t="s">
        <v>713</v>
      </c>
      <c r="J574" s="9" t="s">
        <v>730</v>
      </c>
      <c r="K574" t="s">
        <v>1304</v>
      </c>
      <c r="L574" s="7">
        <v>23.83</v>
      </c>
      <c r="M574" s="7">
        <v>47.29</v>
      </c>
      <c r="N574" s="5">
        <v>6.4000000000000001E-2</v>
      </c>
      <c r="O574">
        <v>19</v>
      </c>
      <c r="P574" s="2">
        <f t="shared" si="72"/>
        <v>45751</v>
      </c>
      <c r="Q574" t="str">
        <f t="shared" si="73"/>
        <v>Ok</v>
      </c>
      <c r="R574">
        <f>ABS(Table2[[#This Row],[UnitPrice]])</f>
        <v>47.29</v>
      </c>
      <c r="S574">
        <f t="shared" si="74"/>
        <v>11</v>
      </c>
      <c r="T574" s="12">
        <f t="shared" si="75"/>
        <v>841.00536</v>
      </c>
      <c r="U574">
        <f>Table2[[#This Row],[UnitCost]]*Table2[[#This Row],[Quantity]]</f>
        <v>452.77</v>
      </c>
      <c r="V574" s="13">
        <f t="shared" si="76"/>
        <v>388.23536000000001</v>
      </c>
      <c r="W574" s="5">
        <f t="shared" si="77"/>
        <v>0.46163244429262618</v>
      </c>
      <c r="X574" s="17" t="str">
        <f t="shared" si="78"/>
        <v>Mar-2025</v>
      </c>
      <c r="Z574" t="str">
        <f t="shared" si="79"/>
        <v>Asia. India. Mumbai</v>
      </c>
      <c r="AA574" t="str">
        <f t="shared" si="80"/>
        <v>Low</v>
      </c>
      <c r="AB574" t="str">
        <f t="array" ref="AB574">TEXT(MIN(IF($E$2:$E$633=E574, $B$2:$B$633)), "YYYY-MM")</f>
        <v>2023-01</v>
      </c>
      <c r="AC574" s="13">
        <f>SUM($T$2:T574)</f>
        <v>9944001.1571699958</v>
      </c>
    </row>
    <row r="575" spans="1:29" x14ac:dyDescent="0.45">
      <c r="A575" t="s">
        <v>587</v>
      </c>
      <c r="B575" s="2">
        <v>45293</v>
      </c>
      <c r="C575" s="2">
        <v>45293</v>
      </c>
      <c r="D575" t="s">
        <v>648</v>
      </c>
      <c r="E575" t="s">
        <v>653</v>
      </c>
      <c r="F575" t="s">
        <v>688</v>
      </c>
      <c r="G575" t="s">
        <v>702</v>
      </c>
      <c r="H575" s="9" t="s">
        <v>711</v>
      </c>
      <c r="I575" s="9" t="s">
        <v>720</v>
      </c>
      <c r="J575" s="9" t="s">
        <v>731</v>
      </c>
      <c r="K575" t="s">
        <v>1305</v>
      </c>
      <c r="L575" s="7">
        <v>444.41</v>
      </c>
      <c r="M575" s="7">
        <v>754.24</v>
      </c>
      <c r="N575" s="5">
        <v>0.20699999999999999</v>
      </c>
      <c r="O575">
        <v>32</v>
      </c>
      <c r="P575" s="2">
        <f t="shared" si="72"/>
        <v>45293</v>
      </c>
      <c r="Q575" t="str">
        <f t="shared" si="73"/>
        <v>Ok</v>
      </c>
      <c r="R575">
        <f>ABS(Table2[[#This Row],[UnitPrice]])</f>
        <v>754.24</v>
      </c>
      <c r="S575">
        <f t="shared" si="74"/>
        <v>0</v>
      </c>
      <c r="T575" s="12">
        <f t="shared" si="75"/>
        <v>19139.594240000002</v>
      </c>
      <c r="U575">
        <f>Table2[[#This Row],[UnitCost]]*Table2[[#This Row],[Quantity]]</f>
        <v>14221.12</v>
      </c>
      <c r="V575" s="13">
        <f t="shared" si="76"/>
        <v>4918.4742400000014</v>
      </c>
      <c r="W575" s="5">
        <f t="shared" si="77"/>
        <v>0.25697902360546598</v>
      </c>
      <c r="X575" s="17" t="str">
        <f t="shared" si="78"/>
        <v>Jan-2024</v>
      </c>
      <c r="Z575" t="str">
        <f t="shared" si="79"/>
        <v>Americas. Canada. Vancouver</v>
      </c>
      <c r="AA575" t="str">
        <f t="shared" si="80"/>
        <v>Low</v>
      </c>
      <c r="AB575" t="str">
        <f t="array" ref="AB575">TEXT(MIN(IF($E$2:$E$633=E575, $B$2:$B$633)), "YYYY-MM")</f>
        <v>2023-01</v>
      </c>
      <c r="AC575" s="13">
        <f>SUM($T$2:T575)</f>
        <v>9963140.7514099963</v>
      </c>
    </row>
    <row r="576" spans="1:29" x14ac:dyDescent="0.45">
      <c r="A576" t="s">
        <v>588</v>
      </c>
      <c r="B576" s="2">
        <v>45279</v>
      </c>
      <c r="C576" s="2">
        <v>45292</v>
      </c>
      <c r="D576" t="s">
        <v>648</v>
      </c>
      <c r="E576" t="s">
        <v>653</v>
      </c>
      <c r="F576" t="s">
        <v>667</v>
      </c>
      <c r="G576" t="s">
        <v>706</v>
      </c>
      <c r="H576" s="9" t="s">
        <v>707</v>
      </c>
      <c r="I576" s="9" t="s">
        <v>723</v>
      </c>
      <c r="J576" s="9" t="s">
        <v>732</v>
      </c>
      <c r="K576" t="s">
        <v>1306</v>
      </c>
      <c r="L576" s="7">
        <v>856.1</v>
      </c>
      <c r="M576" s="7">
        <v>901.48</v>
      </c>
      <c r="N576" s="5">
        <v>5.6000000000000001E-2</v>
      </c>
      <c r="O576">
        <v>17</v>
      </c>
      <c r="P576" s="2">
        <f t="shared" si="72"/>
        <v>45292</v>
      </c>
      <c r="Q576" t="str">
        <f t="shared" si="73"/>
        <v>Ok</v>
      </c>
      <c r="R576">
        <f>ABS(Table2[[#This Row],[UnitPrice]])</f>
        <v>901.48</v>
      </c>
      <c r="S576">
        <f t="shared" si="74"/>
        <v>13</v>
      </c>
      <c r="T576" s="12">
        <f t="shared" si="75"/>
        <v>14466.95104</v>
      </c>
      <c r="U576">
        <f>Table2[[#This Row],[UnitCost]]*Table2[[#This Row],[Quantity]]</f>
        <v>14553.7</v>
      </c>
      <c r="V576" s="13">
        <f t="shared" si="76"/>
        <v>-86.748960000000807</v>
      </c>
      <c r="W576" s="5">
        <f t="shared" si="77"/>
        <v>-5.9963540182134192E-3</v>
      </c>
      <c r="X576" s="17" t="str">
        <f t="shared" si="78"/>
        <v>Dec-2023</v>
      </c>
      <c r="Z576" t="str">
        <f t="shared" si="79"/>
        <v>Americas. Canada. Toronto</v>
      </c>
      <c r="AA576" t="str">
        <f t="shared" si="80"/>
        <v>Low</v>
      </c>
      <c r="AB576" t="str">
        <f t="array" ref="AB576">TEXT(MIN(IF($E$2:$E$633=E576, $B$2:$B$633)), "YYYY-MM")</f>
        <v>2023-01</v>
      </c>
      <c r="AC576" s="13">
        <f>SUM($T$2:T576)</f>
        <v>9977607.702449996</v>
      </c>
    </row>
    <row r="577" spans="1:29" x14ac:dyDescent="0.45">
      <c r="A577" t="s">
        <v>589</v>
      </c>
      <c r="B577" s="2">
        <v>45042</v>
      </c>
      <c r="C577" s="2">
        <v>45042</v>
      </c>
      <c r="D577" t="s">
        <v>649</v>
      </c>
      <c r="E577" t="s">
        <v>657</v>
      </c>
      <c r="F577" t="s">
        <v>673</v>
      </c>
      <c r="G577" t="s">
        <v>704</v>
      </c>
      <c r="H577" s="9" t="s">
        <v>711</v>
      </c>
      <c r="I577" s="9" t="s">
        <v>724</v>
      </c>
      <c r="J577" s="9" t="s">
        <v>727</v>
      </c>
      <c r="K577" t="s">
        <v>1307</v>
      </c>
      <c r="L577" s="7">
        <v>81.489999999999995</v>
      </c>
      <c r="M577" s="7">
        <v>113.08</v>
      </c>
      <c r="N577" s="5">
        <v>0.121</v>
      </c>
      <c r="O577">
        <v>5</v>
      </c>
      <c r="P577" s="2">
        <f t="shared" si="72"/>
        <v>45042</v>
      </c>
      <c r="Q577" t="str">
        <f t="shared" si="73"/>
        <v>Ok</v>
      </c>
      <c r="R577">
        <f>ABS(Table2[[#This Row],[UnitPrice]])</f>
        <v>113.08</v>
      </c>
      <c r="S577">
        <f t="shared" si="74"/>
        <v>0</v>
      </c>
      <c r="T577" s="12">
        <f t="shared" si="75"/>
        <v>496.98660000000001</v>
      </c>
      <c r="U577">
        <f>Table2[[#This Row],[UnitCost]]*Table2[[#This Row],[Quantity]]</f>
        <v>407.45</v>
      </c>
      <c r="V577" s="13">
        <f t="shared" si="76"/>
        <v>89.536600000000021</v>
      </c>
      <c r="W577" s="5">
        <f t="shared" si="77"/>
        <v>0.18015898215364362</v>
      </c>
      <c r="X577" s="17" t="str">
        <f t="shared" si="78"/>
        <v>Apr-2023</v>
      </c>
      <c r="Z577" t="str">
        <f t="shared" si="79"/>
        <v>Europe. France. Marseille</v>
      </c>
      <c r="AA577" t="str">
        <f t="shared" si="80"/>
        <v>Low</v>
      </c>
      <c r="AB577" t="str">
        <f t="array" ref="AB577">TEXT(MIN(IF($E$2:$E$633=E577, $B$2:$B$633)), "YYYY-MM")</f>
        <v>2023-01</v>
      </c>
      <c r="AC577" s="13">
        <f>SUM($T$2:T577)</f>
        <v>9978104.6890499964</v>
      </c>
    </row>
    <row r="578" spans="1:29" x14ac:dyDescent="0.45">
      <c r="A578" t="s">
        <v>590</v>
      </c>
      <c r="B578" s="2">
        <v>45872</v>
      </c>
      <c r="C578" s="2">
        <v>45885</v>
      </c>
      <c r="D578" t="s">
        <v>648</v>
      </c>
      <c r="E578" t="s">
        <v>653</v>
      </c>
      <c r="F578" t="s">
        <v>681</v>
      </c>
      <c r="G578" t="s">
        <v>706</v>
      </c>
      <c r="H578" s="9" t="s">
        <v>710</v>
      </c>
      <c r="I578" s="9" t="s">
        <v>719</v>
      </c>
      <c r="J578" s="9" t="s">
        <v>729</v>
      </c>
      <c r="K578" t="s">
        <v>1308</v>
      </c>
      <c r="L578" s="7">
        <v>698.66</v>
      </c>
      <c r="M578" s="7">
        <v>868.62</v>
      </c>
      <c r="N578" s="5">
        <v>7.1999999999999995E-2</v>
      </c>
      <c r="O578">
        <v>15</v>
      </c>
      <c r="P578" s="2">
        <f t="shared" ref="P578:P633" si="81">IF(C578&lt;B578,B578+7,C578)</f>
        <v>45885</v>
      </c>
      <c r="Q578" t="str">
        <f t="shared" ref="Q578:Q633" si="82">IF(M578&lt;0, "Invalid Price","Ok")</f>
        <v>Ok</v>
      </c>
      <c r="R578">
        <f>ABS(Table2[[#This Row],[UnitPrice]])</f>
        <v>868.62</v>
      </c>
      <c r="S578">
        <f t="shared" si="74"/>
        <v>13</v>
      </c>
      <c r="T578" s="12">
        <f t="shared" si="75"/>
        <v>12091.190399999999</v>
      </c>
      <c r="U578">
        <f>Table2[[#This Row],[UnitCost]]*Table2[[#This Row],[Quantity]]</f>
        <v>10479.9</v>
      </c>
      <c r="V578" s="13">
        <f t="shared" si="76"/>
        <v>1611.2903999999999</v>
      </c>
      <c r="W578" s="5">
        <f t="shared" si="77"/>
        <v>0.13326151906432637</v>
      </c>
      <c r="X578" s="17" t="str">
        <f t="shared" si="78"/>
        <v>Aug-2025</v>
      </c>
      <c r="Z578" t="str">
        <f t="shared" si="79"/>
        <v>Americas. Canada. Montreal</v>
      </c>
      <c r="AA578" t="str">
        <f t="shared" si="80"/>
        <v>Low</v>
      </c>
      <c r="AB578" t="str">
        <f t="array" ref="AB578">TEXT(MIN(IF($E$2:$E$633=E578, $B$2:$B$633)), "YYYY-MM")</f>
        <v>2023-01</v>
      </c>
      <c r="AC578" s="13">
        <f>SUM($T$2:T578)</f>
        <v>9990195.8794499971</v>
      </c>
    </row>
    <row r="579" spans="1:29" x14ac:dyDescent="0.45">
      <c r="A579" t="s">
        <v>591</v>
      </c>
      <c r="B579" s="2">
        <v>45140</v>
      </c>
      <c r="C579" s="2">
        <v>45157</v>
      </c>
      <c r="D579" t="s">
        <v>648</v>
      </c>
      <c r="E579" t="s">
        <v>653</v>
      </c>
      <c r="F579" t="s">
        <v>688</v>
      </c>
      <c r="G579" t="s">
        <v>701</v>
      </c>
      <c r="H579" s="9" t="s">
        <v>708</v>
      </c>
      <c r="I579" s="9" t="s">
        <v>721</v>
      </c>
      <c r="J579" s="9" t="s">
        <v>729</v>
      </c>
      <c r="K579" t="s">
        <v>1309</v>
      </c>
      <c r="L579" s="7">
        <v>175.38</v>
      </c>
      <c r="M579" s="7">
        <v>347.9</v>
      </c>
      <c r="N579" s="5">
        <v>7.1999999999999995E-2</v>
      </c>
      <c r="O579">
        <v>43</v>
      </c>
      <c r="P579" s="2">
        <f t="shared" si="81"/>
        <v>45157</v>
      </c>
      <c r="Q579" t="str">
        <f t="shared" si="82"/>
        <v>Ok</v>
      </c>
      <c r="R579">
        <f>ABS(Table2[[#This Row],[UnitPrice]])</f>
        <v>347.9</v>
      </c>
      <c r="S579">
        <f t="shared" ref="S579:S633" si="83">P579-B579</f>
        <v>17</v>
      </c>
      <c r="T579" s="12">
        <f t="shared" ref="T579:T633" si="84">R579*O579*(1-N579)</f>
        <v>13882.6016</v>
      </c>
      <c r="U579">
        <f>Table2[[#This Row],[UnitCost]]*Table2[[#This Row],[Quantity]]</f>
        <v>7541.34</v>
      </c>
      <c r="V579" s="13">
        <f t="shared" ref="V579:V633" si="85">T579-U579</f>
        <v>6341.2615999999998</v>
      </c>
      <c r="W579" s="5">
        <f t="shared" ref="W579:W633" si="86">IF(V579=0,0,V579/T579)</f>
        <v>0.45677761148169804</v>
      </c>
      <c r="X579" s="17" t="str">
        <f t="shared" ref="X579:X633" si="87">TEXT(B579,"mmm-yyyy")</f>
        <v>Aug-2023</v>
      </c>
      <c r="Z579" t="str">
        <f t="shared" ref="Z579:Z633" si="88">CONCATENATE(D579,". ",E579,". ",F579)</f>
        <v>Americas. Canada. Vancouver</v>
      </c>
      <c r="AA579" t="str">
        <f t="shared" ref="AA579:AA633" si="89">IF(M579&lt;1193.87, "Low",IF(M579&gt;1193.87,"High","Medium"))</f>
        <v>Low</v>
      </c>
      <c r="AB579" t="str">
        <f t="array" ref="AB579">TEXT(MIN(IF($E$2:$E$633=E579, $B$2:$B$633)), "YYYY-MM")</f>
        <v>2023-01</v>
      </c>
      <c r="AC579" s="13">
        <f>SUM($T$2:T579)</f>
        <v>10004078.481049998</v>
      </c>
    </row>
    <row r="580" spans="1:29" x14ac:dyDescent="0.45">
      <c r="A580" t="s">
        <v>592</v>
      </c>
      <c r="B580" s="2">
        <v>45092</v>
      </c>
      <c r="C580" s="2">
        <v>45119</v>
      </c>
      <c r="D580" t="s">
        <v>649</v>
      </c>
      <c r="E580" t="s">
        <v>658</v>
      </c>
      <c r="F580" t="s">
        <v>693</v>
      </c>
      <c r="G580" t="s">
        <v>704</v>
      </c>
      <c r="H580" s="9" t="s">
        <v>711</v>
      </c>
      <c r="I580" s="9" t="s">
        <v>714</v>
      </c>
      <c r="J580" s="9" t="s">
        <v>733</v>
      </c>
      <c r="K580" t="s">
        <v>1310</v>
      </c>
      <c r="L580" s="7">
        <v>751.28</v>
      </c>
      <c r="M580" s="7">
        <v>1111.8800000000001</v>
      </c>
      <c r="N580" s="5">
        <v>0.13500000000000001</v>
      </c>
      <c r="O580">
        <v>7</v>
      </c>
      <c r="P580" s="2">
        <f t="shared" si="81"/>
        <v>45119</v>
      </c>
      <c r="Q580" t="str">
        <f t="shared" si="82"/>
        <v>Ok</v>
      </c>
      <c r="R580">
        <f>ABS(Table2[[#This Row],[UnitPrice]])</f>
        <v>1111.8800000000001</v>
      </c>
      <c r="S580">
        <f t="shared" si="83"/>
        <v>27</v>
      </c>
      <c r="T580" s="12">
        <f t="shared" si="84"/>
        <v>6732.4334000000008</v>
      </c>
      <c r="U580">
        <f>Table2[[#This Row],[UnitCost]]*Table2[[#This Row],[Quantity]]</f>
        <v>5258.96</v>
      </c>
      <c r="V580" s="13">
        <f t="shared" si="85"/>
        <v>1473.4734000000008</v>
      </c>
      <c r="W580" s="5">
        <f t="shared" si="86"/>
        <v>0.21886193482433863</v>
      </c>
      <c r="X580" s="17" t="str">
        <f t="shared" si="87"/>
        <v>Jun-2023</v>
      </c>
      <c r="Z580" t="str">
        <f t="shared" si="88"/>
        <v>Europe. United Kingdom. Manchester</v>
      </c>
      <c r="AA580" t="str">
        <f t="shared" si="89"/>
        <v>Low</v>
      </c>
      <c r="AB580" t="str">
        <f t="array" ref="AB580">TEXT(MIN(IF($E$2:$E$633=E580, $B$2:$B$633)), "YYYY-MM")</f>
        <v>2023-01</v>
      </c>
      <c r="AC580" s="13">
        <f>SUM($T$2:T580)</f>
        <v>10010810.914449997</v>
      </c>
    </row>
    <row r="581" spans="1:29" x14ac:dyDescent="0.45">
      <c r="A581" t="s">
        <v>593</v>
      </c>
      <c r="B581" s="2">
        <v>45607</v>
      </c>
      <c r="C581" s="2">
        <v>45620</v>
      </c>
      <c r="D581" t="s">
        <v>649</v>
      </c>
      <c r="E581" t="s">
        <v>658</v>
      </c>
      <c r="F581" t="s">
        <v>683</v>
      </c>
      <c r="G581" t="s">
        <v>701</v>
      </c>
      <c r="H581" s="9" t="s">
        <v>707</v>
      </c>
      <c r="I581" s="9" t="s">
        <v>718</v>
      </c>
      <c r="J581" s="9" t="s">
        <v>729</v>
      </c>
      <c r="K581" t="s">
        <v>1311</v>
      </c>
      <c r="L581" s="7">
        <v>164.53</v>
      </c>
      <c r="M581" s="7">
        <v>327.72</v>
      </c>
      <c r="N581" s="5">
        <v>6.7000000000000004E-2</v>
      </c>
      <c r="O581">
        <v>14</v>
      </c>
      <c r="P581" s="2">
        <f t="shared" si="81"/>
        <v>45620</v>
      </c>
      <c r="Q581" t="str">
        <f t="shared" si="82"/>
        <v>Ok</v>
      </c>
      <c r="R581">
        <f>ABS(Table2[[#This Row],[UnitPrice]])</f>
        <v>327.72</v>
      </c>
      <c r="S581">
        <f t="shared" si="83"/>
        <v>13</v>
      </c>
      <c r="T581" s="12">
        <f t="shared" si="84"/>
        <v>4280.6786400000001</v>
      </c>
      <c r="U581">
        <f>Table2[[#This Row],[UnitCost]]*Table2[[#This Row],[Quantity]]</f>
        <v>2303.42</v>
      </c>
      <c r="V581" s="13">
        <f t="shared" si="85"/>
        <v>1977.25864</v>
      </c>
      <c r="W581" s="5">
        <f t="shared" si="86"/>
        <v>0.46190307805960412</v>
      </c>
      <c r="X581" s="17" t="str">
        <f t="shared" si="87"/>
        <v>Nov-2024</v>
      </c>
      <c r="Z581" t="str">
        <f t="shared" si="88"/>
        <v>Europe. United Kingdom. London</v>
      </c>
      <c r="AA581" t="str">
        <f t="shared" si="89"/>
        <v>Low</v>
      </c>
      <c r="AB581" t="str">
        <f t="array" ref="AB581">TEXT(MIN(IF($E$2:$E$633=E581, $B$2:$B$633)), "YYYY-MM")</f>
        <v>2023-01</v>
      </c>
      <c r="AC581" s="13">
        <f>SUM($T$2:T581)</f>
        <v>10015091.593089998</v>
      </c>
    </row>
    <row r="582" spans="1:29" x14ac:dyDescent="0.45">
      <c r="A582" t="s">
        <v>594</v>
      </c>
      <c r="B582" s="2">
        <v>45849</v>
      </c>
      <c r="C582" s="2">
        <v>45872</v>
      </c>
      <c r="D582" t="s">
        <v>646</v>
      </c>
      <c r="E582" t="s">
        <v>650</v>
      </c>
      <c r="F582" t="s">
        <v>678</v>
      </c>
      <c r="G582" t="s">
        <v>705</v>
      </c>
      <c r="H582" s="9" t="s">
        <v>707</v>
      </c>
      <c r="I582" s="9" t="s">
        <v>712</v>
      </c>
      <c r="J582" s="9" t="s">
        <v>730</v>
      </c>
      <c r="K582" t="s">
        <v>1312</v>
      </c>
      <c r="L582" s="7">
        <v>389.93</v>
      </c>
      <c r="M582" s="7">
        <v>486.13</v>
      </c>
      <c r="N582" s="5">
        <v>0.13200000000000001</v>
      </c>
      <c r="O582">
        <v>17</v>
      </c>
      <c r="P582" s="2">
        <f t="shared" si="81"/>
        <v>45872</v>
      </c>
      <c r="Q582" t="str">
        <f t="shared" si="82"/>
        <v>Ok</v>
      </c>
      <c r="R582">
        <f>ABS(Table2[[#This Row],[UnitPrice]])</f>
        <v>486.13</v>
      </c>
      <c r="S582">
        <f t="shared" si="83"/>
        <v>23</v>
      </c>
      <c r="T582" s="12">
        <f t="shared" si="84"/>
        <v>7173.3342799999991</v>
      </c>
      <c r="U582">
        <f>Table2[[#This Row],[UnitCost]]*Table2[[#This Row],[Quantity]]</f>
        <v>6628.81</v>
      </c>
      <c r="V582" s="13">
        <f t="shared" si="85"/>
        <v>544.52427999999873</v>
      </c>
      <c r="W582" s="5">
        <f t="shared" si="86"/>
        <v>7.5909508569562828E-2</v>
      </c>
      <c r="X582" s="17" t="str">
        <f t="shared" si="87"/>
        <v>Jul-2025</v>
      </c>
      <c r="Z582" t="str">
        <f t="shared" si="88"/>
        <v>Africa. Kenya. Nakuru</v>
      </c>
      <c r="AA582" t="str">
        <f t="shared" si="89"/>
        <v>Low</v>
      </c>
      <c r="AB582" t="str">
        <f t="array" ref="AB582">TEXT(MIN(IF($E$2:$E$633=E582, $B$2:$B$633)), "YYYY-MM")</f>
        <v>2023-01</v>
      </c>
      <c r="AC582" s="13">
        <f>SUM($T$2:T582)</f>
        <v>10022264.927369997</v>
      </c>
    </row>
    <row r="583" spans="1:29" x14ac:dyDescent="0.45">
      <c r="A583" t="s">
        <v>595</v>
      </c>
      <c r="B583" s="2">
        <v>45080</v>
      </c>
      <c r="C583" s="2">
        <v>45108</v>
      </c>
      <c r="D583" t="s">
        <v>648</v>
      </c>
      <c r="E583" t="s">
        <v>655</v>
      </c>
      <c r="F583" t="s">
        <v>672</v>
      </c>
      <c r="G583" t="s">
        <v>705</v>
      </c>
      <c r="H583" s="9" t="s">
        <v>709</v>
      </c>
      <c r="I583" s="9" t="s">
        <v>720</v>
      </c>
      <c r="J583" s="9" t="s">
        <v>727</v>
      </c>
      <c r="K583" t="s">
        <v>1313</v>
      </c>
      <c r="L583" s="7">
        <v>860.4</v>
      </c>
      <c r="M583" s="7">
        <v>2066.6</v>
      </c>
      <c r="N583" s="5">
        <v>0.01</v>
      </c>
      <c r="O583">
        <v>3</v>
      </c>
      <c r="P583" s="2">
        <f t="shared" si="81"/>
        <v>45108</v>
      </c>
      <c r="Q583" t="str">
        <f t="shared" si="82"/>
        <v>Ok</v>
      </c>
      <c r="R583">
        <f>ABS(Table2[[#This Row],[UnitPrice]])</f>
        <v>2066.6</v>
      </c>
      <c r="S583">
        <f t="shared" si="83"/>
        <v>28</v>
      </c>
      <c r="T583" s="12">
        <f t="shared" si="84"/>
        <v>6137.8019999999988</v>
      </c>
      <c r="U583">
        <f>Table2[[#This Row],[UnitCost]]*Table2[[#This Row],[Quantity]]</f>
        <v>2581.1999999999998</v>
      </c>
      <c r="V583" s="13">
        <f t="shared" si="85"/>
        <v>3556.601999999999</v>
      </c>
      <c r="W583" s="5">
        <f t="shared" si="86"/>
        <v>0.57945857491004105</v>
      </c>
      <c r="X583" s="17" t="str">
        <f t="shared" si="87"/>
        <v>Jun-2023</v>
      </c>
      <c r="Z583" t="str">
        <f t="shared" si="88"/>
        <v>Americas. Brazil. Brasília</v>
      </c>
      <c r="AA583" t="str">
        <f t="shared" si="89"/>
        <v>High</v>
      </c>
      <c r="AB583" t="str">
        <f t="array" ref="AB583">TEXT(MIN(IF($E$2:$E$633=E583, $B$2:$B$633)), "YYYY-MM")</f>
        <v>2023-01</v>
      </c>
      <c r="AC583" s="13">
        <f>SUM($T$2:T583)</f>
        <v>10028402.729369996</v>
      </c>
    </row>
    <row r="584" spans="1:29" x14ac:dyDescent="0.45">
      <c r="A584" t="s">
        <v>596</v>
      </c>
      <c r="B584" s="2">
        <v>44955</v>
      </c>
      <c r="C584" s="2">
        <v>44963</v>
      </c>
      <c r="D584" t="s">
        <v>648</v>
      </c>
      <c r="E584" t="s">
        <v>655</v>
      </c>
      <c r="F584" t="s">
        <v>672</v>
      </c>
      <c r="G584" t="s">
        <v>701</v>
      </c>
      <c r="H584" s="9" t="s">
        <v>709</v>
      </c>
      <c r="I584" s="9" t="s">
        <v>726</v>
      </c>
      <c r="J584" s="9" t="s">
        <v>732</v>
      </c>
      <c r="K584" t="s">
        <v>1314</v>
      </c>
      <c r="L584" s="7">
        <v>41.84</v>
      </c>
      <c r="M584" s="7">
        <v>86.2</v>
      </c>
      <c r="N584" s="5">
        <v>0.22600000000000001</v>
      </c>
      <c r="O584">
        <v>27</v>
      </c>
      <c r="P584" s="2">
        <f t="shared" si="81"/>
        <v>44963</v>
      </c>
      <c r="Q584" t="str">
        <f t="shared" si="82"/>
        <v>Ok</v>
      </c>
      <c r="R584">
        <f>ABS(Table2[[#This Row],[UnitPrice]])</f>
        <v>86.2</v>
      </c>
      <c r="S584">
        <f t="shared" si="83"/>
        <v>8</v>
      </c>
      <c r="T584" s="12">
        <f t="shared" si="84"/>
        <v>1801.4076000000002</v>
      </c>
      <c r="U584">
        <f>Table2[[#This Row],[UnitCost]]*Table2[[#This Row],[Quantity]]</f>
        <v>1129.68</v>
      </c>
      <c r="V584" s="13">
        <f t="shared" si="85"/>
        <v>671.72760000000017</v>
      </c>
      <c r="W584" s="5">
        <f t="shared" si="86"/>
        <v>0.37289039970742882</v>
      </c>
      <c r="X584" s="17" t="str">
        <f t="shared" si="87"/>
        <v>Jan-2023</v>
      </c>
      <c r="Z584" t="str">
        <f t="shared" si="88"/>
        <v>Americas. Brazil. Brasília</v>
      </c>
      <c r="AA584" t="str">
        <f t="shared" si="89"/>
        <v>Low</v>
      </c>
      <c r="AB584" t="str">
        <f t="array" ref="AB584">TEXT(MIN(IF($E$2:$E$633=E584, $B$2:$B$633)), "YYYY-MM")</f>
        <v>2023-01</v>
      </c>
      <c r="AC584" s="13">
        <f>SUM($T$2:T584)</f>
        <v>10030204.136969997</v>
      </c>
    </row>
    <row r="585" spans="1:29" x14ac:dyDescent="0.45">
      <c r="A585" t="s">
        <v>597</v>
      </c>
      <c r="B585" s="2">
        <v>45541</v>
      </c>
      <c r="C585" s="2">
        <v>45539</v>
      </c>
      <c r="D585" t="s">
        <v>647</v>
      </c>
      <c r="E585" t="s">
        <v>652</v>
      </c>
      <c r="F585" t="s">
        <v>666</v>
      </c>
      <c r="G585" t="s">
        <v>701</v>
      </c>
      <c r="H585" s="9" t="s">
        <v>711</v>
      </c>
      <c r="I585" s="9" t="s">
        <v>720</v>
      </c>
      <c r="J585" s="9" t="s">
        <v>731</v>
      </c>
      <c r="K585" t="s">
        <v>1315</v>
      </c>
      <c r="L585" s="7">
        <v>1368.17</v>
      </c>
      <c r="M585" s="7">
        <v>2307.75</v>
      </c>
      <c r="N585" s="5">
        <v>0.16300000000000001</v>
      </c>
      <c r="O585">
        <v>21</v>
      </c>
      <c r="P585" s="2">
        <f t="shared" si="81"/>
        <v>45548</v>
      </c>
      <c r="Q585" t="str">
        <f t="shared" si="82"/>
        <v>Ok</v>
      </c>
      <c r="R585">
        <f>ABS(Table2[[#This Row],[UnitPrice]])</f>
        <v>2307.75</v>
      </c>
      <c r="S585">
        <f t="shared" si="83"/>
        <v>7</v>
      </c>
      <c r="T585" s="12">
        <f t="shared" si="84"/>
        <v>40563.321749999996</v>
      </c>
      <c r="U585">
        <f>Table2[[#This Row],[UnitCost]]*Table2[[#This Row],[Quantity]]</f>
        <v>28731.57</v>
      </c>
      <c r="V585" s="13">
        <f t="shared" si="85"/>
        <v>11831.751749999996</v>
      </c>
      <c r="W585" s="5">
        <f t="shared" si="86"/>
        <v>0.29168596750831921</v>
      </c>
      <c r="X585" s="17" t="str">
        <f t="shared" si="87"/>
        <v>Sep-2024</v>
      </c>
      <c r="Z585" t="str">
        <f t="shared" si="88"/>
        <v>Asia. Japan. Osaka</v>
      </c>
      <c r="AA585" t="str">
        <f t="shared" si="89"/>
        <v>High</v>
      </c>
      <c r="AB585" t="str">
        <f t="array" ref="AB585">TEXT(MIN(IF($E$2:$E$633=E585, $B$2:$B$633)), "YYYY-MM")</f>
        <v>2023-03</v>
      </c>
      <c r="AC585" s="13">
        <f>SUM($T$2:T585)</f>
        <v>10070767.458719997</v>
      </c>
    </row>
    <row r="586" spans="1:29" x14ac:dyDescent="0.45">
      <c r="A586" t="s">
        <v>598</v>
      </c>
      <c r="B586" s="2">
        <v>45507</v>
      </c>
      <c r="C586" s="2">
        <v>45513</v>
      </c>
      <c r="D586" t="s">
        <v>646</v>
      </c>
      <c r="E586" t="s">
        <v>650</v>
      </c>
      <c r="F586" t="s">
        <v>675</v>
      </c>
      <c r="G586" t="s">
        <v>704</v>
      </c>
      <c r="H586" s="9" t="s">
        <v>709</v>
      </c>
      <c r="I586" s="9" t="s">
        <v>722</v>
      </c>
      <c r="J586" s="9" t="s">
        <v>731</v>
      </c>
      <c r="K586" t="s">
        <v>1316</v>
      </c>
      <c r="L586" s="7">
        <v>643.21</v>
      </c>
      <c r="M586" s="7">
        <v>1112.81</v>
      </c>
      <c r="N586" s="5">
        <v>0.14099999999999999</v>
      </c>
      <c r="O586">
        <v>4</v>
      </c>
      <c r="P586" s="2">
        <f t="shared" si="81"/>
        <v>45513</v>
      </c>
      <c r="Q586" t="str">
        <f t="shared" si="82"/>
        <v>Ok</v>
      </c>
      <c r="R586">
        <f>ABS(Table2[[#This Row],[UnitPrice]])</f>
        <v>1112.81</v>
      </c>
      <c r="S586">
        <f t="shared" si="83"/>
        <v>6</v>
      </c>
      <c r="T586" s="12">
        <f t="shared" si="84"/>
        <v>3823.6151599999998</v>
      </c>
      <c r="U586">
        <f>Table2[[#This Row],[UnitCost]]*Table2[[#This Row],[Quantity]]</f>
        <v>2572.84</v>
      </c>
      <c r="V586" s="13">
        <f t="shared" si="85"/>
        <v>1250.7751599999997</v>
      </c>
      <c r="W586" s="5">
        <f t="shared" si="86"/>
        <v>0.32711847496702562</v>
      </c>
      <c r="X586" s="17" t="str">
        <f t="shared" si="87"/>
        <v>Aug-2024</v>
      </c>
      <c r="Z586" t="str">
        <f t="shared" si="88"/>
        <v>Africa. Kenya. Mombasa</v>
      </c>
      <c r="AA586" t="str">
        <f t="shared" si="89"/>
        <v>Low</v>
      </c>
      <c r="AB586" t="str">
        <f t="array" ref="AB586">TEXT(MIN(IF($E$2:$E$633=E586, $B$2:$B$633)), "YYYY-MM")</f>
        <v>2023-01</v>
      </c>
      <c r="AC586" s="13">
        <f>SUM($T$2:T586)</f>
        <v>10074591.073879996</v>
      </c>
    </row>
    <row r="587" spans="1:29" x14ac:dyDescent="0.45">
      <c r="A587" t="s">
        <v>599</v>
      </c>
      <c r="B587" s="2">
        <v>45764</v>
      </c>
      <c r="C587" s="2">
        <v>45764</v>
      </c>
      <c r="D587" t="s">
        <v>648</v>
      </c>
      <c r="E587" t="s">
        <v>655</v>
      </c>
      <c r="F587" t="s">
        <v>670</v>
      </c>
      <c r="G587" t="s">
        <v>701</v>
      </c>
      <c r="H587" s="9" t="s">
        <v>710</v>
      </c>
      <c r="I587" s="9" t="s">
        <v>716</v>
      </c>
      <c r="J587" s="9" t="s">
        <v>730</v>
      </c>
      <c r="K587" t="s">
        <v>1317</v>
      </c>
      <c r="L587" s="7">
        <v>719.41</v>
      </c>
      <c r="M587" s="7">
        <v>1125.99</v>
      </c>
      <c r="N587" s="5">
        <v>4.1000000000000002E-2</v>
      </c>
      <c r="O587">
        <v>21</v>
      </c>
      <c r="P587" s="2">
        <f t="shared" si="81"/>
        <v>45764</v>
      </c>
      <c r="Q587" t="str">
        <f t="shared" si="82"/>
        <v>Ok</v>
      </c>
      <c r="R587">
        <f>ABS(Table2[[#This Row],[UnitPrice]])</f>
        <v>1125.99</v>
      </c>
      <c r="S587">
        <f t="shared" si="83"/>
        <v>0</v>
      </c>
      <c r="T587" s="12">
        <f t="shared" si="84"/>
        <v>22676.312610000001</v>
      </c>
      <c r="U587">
        <f>Table2[[#This Row],[UnitCost]]*Table2[[#This Row],[Quantity]]</f>
        <v>15107.609999999999</v>
      </c>
      <c r="V587" s="13">
        <f t="shared" si="85"/>
        <v>7568.7026100000021</v>
      </c>
      <c r="W587" s="5">
        <f t="shared" si="86"/>
        <v>0.33377131194876403</v>
      </c>
      <c r="X587" s="17" t="str">
        <f t="shared" si="87"/>
        <v>Apr-2025</v>
      </c>
      <c r="Z587" t="str">
        <f t="shared" si="88"/>
        <v>Americas. Brazil. São Paulo</v>
      </c>
      <c r="AA587" t="str">
        <f t="shared" si="89"/>
        <v>Low</v>
      </c>
      <c r="AB587" t="str">
        <f t="array" ref="AB587">TEXT(MIN(IF($E$2:$E$633=E587, $B$2:$B$633)), "YYYY-MM")</f>
        <v>2023-01</v>
      </c>
      <c r="AC587" s="13">
        <f>SUM($T$2:T587)</f>
        <v>10097267.386489997</v>
      </c>
    </row>
    <row r="588" spans="1:29" x14ac:dyDescent="0.45">
      <c r="A588" t="s">
        <v>600</v>
      </c>
      <c r="B588" s="2">
        <v>45049</v>
      </c>
      <c r="C588" s="2">
        <v>45062</v>
      </c>
      <c r="D588" t="s">
        <v>648</v>
      </c>
      <c r="E588" t="s">
        <v>660</v>
      </c>
      <c r="F588" t="s">
        <v>700</v>
      </c>
      <c r="G588" t="s">
        <v>701</v>
      </c>
      <c r="H588" s="9" t="s">
        <v>709</v>
      </c>
      <c r="I588" s="9" t="s">
        <v>716</v>
      </c>
      <c r="J588" s="9" t="s">
        <v>730</v>
      </c>
      <c r="K588" t="s">
        <v>1318</v>
      </c>
      <c r="L588" s="7">
        <v>64.5</v>
      </c>
      <c r="M588" s="7">
        <v>123.62</v>
      </c>
      <c r="N588" s="5">
        <v>0</v>
      </c>
      <c r="O588">
        <v>3</v>
      </c>
      <c r="P588" s="2">
        <f t="shared" si="81"/>
        <v>45062</v>
      </c>
      <c r="Q588" t="str">
        <f t="shared" si="82"/>
        <v>Ok</v>
      </c>
      <c r="R588">
        <f>ABS(Table2[[#This Row],[UnitPrice]])</f>
        <v>123.62</v>
      </c>
      <c r="S588">
        <f t="shared" si="83"/>
        <v>13</v>
      </c>
      <c r="T588" s="12">
        <f t="shared" si="84"/>
        <v>370.86</v>
      </c>
      <c r="U588">
        <f>Table2[[#This Row],[UnitCost]]*Table2[[#This Row],[Quantity]]</f>
        <v>193.5</v>
      </c>
      <c r="V588" s="13">
        <f t="shared" si="85"/>
        <v>177.36</v>
      </c>
      <c r="W588" s="5">
        <f t="shared" si="86"/>
        <v>0.47823976702798904</v>
      </c>
      <c r="X588" s="17" t="str">
        <f t="shared" si="87"/>
        <v>May-2023</v>
      </c>
      <c r="Z588" t="str">
        <f t="shared" si="88"/>
        <v>Americas. USA. New York</v>
      </c>
      <c r="AA588" t="str">
        <f t="shared" si="89"/>
        <v>Low</v>
      </c>
      <c r="AB588" t="str">
        <f t="array" ref="AB588">TEXT(MIN(IF($E$2:$E$633=E588, $B$2:$B$633)), "YYYY-MM")</f>
        <v>2023-01</v>
      </c>
      <c r="AC588" s="13">
        <f>SUM($T$2:T588)</f>
        <v>10097638.246489996</v>
      </c>
    </row>
    <row r="589" spans="1:29" x14ac:dyDescent="0.45">
      <c r="A589" t="s">
        <v>601</v>
      </c>
      <c r="B589" s="2">
        <v>45364</v>
      </c>
      <c r="C589" s="2">
        <v>45388</v>
      </c>
      <c r="D589" t="s">
        <v>646</v>
      </c>
      <c r="E589" t="s">
        <v>651</v>
      </c>
      <c r="F589" t="s">
        <v>669</v>
      </c>
      <c r="G589" t="s">
        <v>704</v>
      </c>
      <c r="H589" s="9" t="s">
        <v>710</v>
      </c>
      <c r="I589" s="9" t="s">
        <v>716</v>
      </c>
      <c r="J589" s="9" t="s">
        <v>727</v>
      </c>
      <c r="K589" t="s">
        <v>1319</v>
      </c>
      <c r="L589" s="7">
        <v>1232.78</v>
      </c>
      <c r="M589" s="7">
        <v>1731.75</v>
      </c>
      <c r="N589" s="5">
        <v>9.2999999999999999E-2</v>
      </c>
      <c r="O589">
        <v>16</v>
      </c>
      <c r="P589" s="2">
        <f t="shared" si="81"/>
        <v>45388</v>
      </c>
      <c r="Q589" t="str">
        <f t="shared" si="82"/>
        <v>Ok</v>
      </c>
      <c r="R589">
        <f>ABS(Table2[[#This Row],[UnitPrice]])</f>
        <v>1731.75</v>
      </c>
      <c r="S589">
        <f t="shared" si="83"/>
        <v>24</v>
      </c>
      <c r="T589" s="12">
        <f t="shared" si="84"/>
        <v>25131.155999999999</v>
      </c>
      <c r="U589">
        <f>Table2[[#This Row],[UnitCost]]*Table2[[#This Row],[Quantity]]</f>
        <v>19724.48</v>
      </c>
      <c r="V589" s="13">
        <f t="shared" si="85"/>
        <v>5406.6759999999995</v>
      </c>
      <c r="W589" s="5">
        <f t="shared" si="86"/>
        <v>0.21513837246484005</v>
      </c>
      <c r="X589" s="17" t="str">
        <f t="shared" si="87"/>
        <v>Mar-2024</v>
      </c>
      <c r="Z589" t="str">
        <f t="shared" si="88"/>
        <v>Africa. Nigeria. Abuja</v>
      </c>
      <c r="AA589" t="str">
        <f t="shared" si="89"/>
        <v>High</v>
      </c>
      <c r="AB589" t="str">
        <f t="array" ref="AB589">TEXT(MIN(IF($E$2:$E$633=E589, $B$2:$B$633)), "YYYY-MM")</f>
        <v>2023-01</v>
      </c>
      <c r="AC589" s="13">
        <f>SUM($T$2:T589)</f>
        <v>10122769.402489996</v>
      </c>
    </row>
    <row r="590" spans="1:29" x14ac:dyDescent="0.45">
      <c r="A590" t="s">
        <v>602</v>
      </c>
      <c r="B590" s="2">
        <v>45459</v>
      </c>
      <c r="C590" s="2">
        <v>45464</v>
      </c>
      <c r="D590" t="s">
        <v>647</v>
      </c>
      <c r="E590" t="s">
        <v>652</v>
      </c>
      <c r="F590" t="s">
        <v>689</v>
      </c>
      <c r="G590" t="s">
        <v>705</v>
      </c>
      <c r="H590" s="9" t="s">
        <v>710</v>
      </c>
      <c r="I590" s="9" t="s">
        <v>721</v>
      </c>
      <c r="J590" s="9" t="s">
        <v>730</v>
      </c>
      <c r="K590" t="s">
        <v>1320</v>
      </c>
      <c r="L590" s="7">
        <v>1367.13</v>
      </c>
      <c r="M590" s="7">
        <v>3062.01</v>
      </c>
      <c r="N590" s="5">
        <v>0.10299999999999999</v>
      </c>
      <c r="O590">
        <v>25</v>
      </c>
      <c r="P590" s="2">
        <f t="shared" si="81"/>
        <v>45464</v>
      </c>
      <c r="Q590" t="str">
        <f t="shared" si="82"/>
        <v>Ok</v>
      </c>
      <c r="R590">
        <f>ABS(Table2[[#This Row],[UnitPrice]])</f>
        <v>3062.01</v>
      </c>
      <c r="S590">
        <f t="shared" si="83"/>
        <v>5</v>
      </c>
      <c r="T590" s="12">
        <f t="shared" si="84"/>
        <v>68665.574250000005</v>
      </c>
      <c r="U590">
        <f>Table2[[#This Row],[UnitCost]]*Table2[[#This Row],[Quantity]]</f>
        <v>34178.25</v>
      </c>
      <c r="V590" s="13">
        <f t="shared" si="85"/>
        <v>34487.324250000005</v>
      </c>
      <c r="W590" s="5">
        <f t="shared" si="86"/>
        <v>0.50225057645971705</v>
      </c>
      <c r="X590" s="17" t="str">
        <f t="shared" si="87"/>
        <v>Jun-2024</v>
      </c>
      <c r="Z590" t="str">
        <f t="shared" si="88"/>
        <v>Asia. Japan. Tokyo</v>
      </c>
      <c r="AA590" t="str">
        <f t="shared" si="89"/>
        <v>High</v>
      </c>
      <c r="AB590" t="str">
        <f t="array" ref="AB590">TEXT(MIN(IF($E$2:$E$633=E590, $B$2:$B$633)), "YYYY-MM")</f>
        <v>2023-03</v>
      </c>
      <c r="AC590" s="13">
        <f>SUM($T$2:T590)</f>
        <v>10191434.976739995</v>
      </c>
    </row>
    <row r="591" spans="1:29" x14ac:dyDescent="0.45">
      <c r="A591" t="s">
        <v>603</v>
      </c>
      <c r="B591" s="2">
        <v>45703</v>
      </c>
      <c r="C591" s="2">
        <v>45715</v>
      </c>
      <c r="D591" t="s">
        <v>649</v>
      </c>
      <c r="E591" t="s">
        <v>657</v>
      </c>
      <c r="F591" t="s">
        <v>679</v>
      </c>
      <c r="G591" t="s">
        <v>703</v>
      </c>
      <c r="H591" s="9" t="s">
        <v>711</v>
      </c>
      <c r="I591" s="9" t="s">
        <v>723</v>
      </c>
      <c r="J591" s="9" t="s">
        <v>733</v>
      </c>
      <c r="K591" t="s">
        <v>1321</v>
      </c>
      <c r="L591" s="7">
        <v>1027.26</v>
      </c>
      <c r="M591" s="7">
        <v>2200.41</v>
      </c>
      <c r="N591" s="5">
        <v>8.7999999999999995E-2</v>
      </c>
      <c r="O591">
        <v>6</v>
      </c>
      <c r="P591" s="2">
        <f t="shared" si="81"/>
        <v>45715</v>
      </c>
      <c r="Q591" t="str">
        <f t="shared" si="82"/>
        <v>Ok</v>
      </c>
      <c r="R591">
        <f>ABS(Table2[[#This Row],[UnitPrice]])</f>
        <v>2200.41</v>
      </c>
      <c r="S591">
        <f t="shared" si="83"/>
        <v>12</v>
      </c>
      <c r="T591" s="12">
        <f t="shared" si="84"/>
        <v>12040.64352</v>
      </c>
      <c r="U591">
        <f>Table2[[#This Row],[UnitCost]]*Table2[[#This Row],[Quantity]]</f>
        <v>6163.5599999999995</v>
      </c>
      <c r="V591" s="13">
        <f t="shared" si="85"/>
        <v>5877.0835200000001</v>
      </c>
      <c r="W591" s="5">
        <f t="shared" si="86"/>
        <v>0.48810377204822358</v>
      </c>
      <c r="X591" s="17" t="str">
        <f t="shared" si="87"/>
        <v>Feb-2025</v>
      </c>
      <c r="Z591" t="str">
        <f t="shared" si="88"/>
        <v>Europe. France. Lyon</v>
      </c>
      <c r="AA591" t="str">
        <f t="shared" si="89"/>
        <v>High</v>
      </c>
      <c r="AB591" t="str">
        <f t="array" ref="AB591">TEXT(MIN(IF($E$2:$E$633=E591, $B$2:$B$633)), "YYYY-MM")</f>
        <v>2023-01</v>
      </c>
      <c r="AC591" s="13">
        <f>SUM($T$2:T591)</f>
        <v>10203475.620259995</v>
      </c>
    </row>
    <row r="592" spans="1:29" x14ac:dyDescent="0.45">
      <c r="A592" t="s">
        <v>604</v>
      </c>
      <c r="B592" s="2">
        <v>45019</v>
      </c>
      <c r="C592" s="2">
        <v>45032</v>
      </c>
      <c r="D592" t="s">
        <v>649</v>
      </c>
      <c r="E592" t="s">
        <v>657</v>
      </c>
      <c r="F592" t="s">
        <v>673</v>
      </c>
      <c r="G592" t="s">
        <v>703</v>
      </c>
      <c r="H592" s="9" t="s">
        <v>709</v>
      </c>
      <c r="I592" s="9" t="s">
        <v>724</v>
      </c>
      <c r="J592" s="9" t="s">
        <v>733</v>
      </c>
      <c r="K592" t="s">
        <v>1322</v>
      </c>
      <c r="L592" s="7">
        <v>790.54</v>
      </c>
      <c r="M592" s="7">
        <v>601.49</v>
      </c>
      <c r="N592" s="5">
        <v>0</v>
      </c>
      <c r="O592">
        <v>15</v>
      </c>
      <c r="P592" s="2">
        <f t="shared" si="81"/>
        <v>45032</v>
      </c>
      <c r="Q592" t="str">
        <f t="shared" si="82"/>
        <v>Ok</v>
      </c>
      <c r="R592">
        <f>ABS(Table2[[#This Row],[UnitPrice]])</f>
        <v>601.49</v>
      </c>
      <c r="S592">
        <f t="shared" si="83"/>
        <v>13</v>
      </c>
      <c r="T592" s="12">
        <f t="shared" si="84"/>
        <v>9022.35</v>
      </c>
      <c r="U592">
        <f>Table2[[#This Row],[UnitCost]]*Table2[[#This Row],[Quantity]]</f>
        <v>11858.099999999999</v>
      </c>
      <c r="V592" s="13">
        <f t="shared" si="85"/>
        <v>-2835.7499999999982</v>
      </c>
      <c r="W592" s="5">
        <f t="shared" si="86"/>
        <v>-0.31430281467688553</v>
      </c>
      <c r="X592" s="17" t="str">
        <f t="shared" si="87"/>
        <v>Apr-2023</v>
      </c>
      <c r="Z592" t="str">
        <f t="shared" si="88"/>
        <v>Europe. France. Marseille</v>
      </c>
      <c r="AA592" t="str">
        <f t="shared" si="89"/>
        <v>Low</v>
      </c>
      <c r="AB592" t="str">
        <f t="array" ref="AB592">TEXT(MIN(IF($E$2:$E$633=E592, $B$2:$B$633)), "YYYY-MM")</f>
        <v>2023-01</v>
      </c>
      <c r="AC592" s="13">
        <f>SUM($T$2:T592)</f>
        <v>10212497.970259994</v>
      </c>
    </row>
    <row r="593" spans="1:29" x14ac:dyDescent="0.45">
      <c r="A593" t="s">
        <v>605</v>
      </c>
      <c r="B593" s="2">
        <v>45899</v>
      </c>
      <c r="C593" s="2">
        <v>45922</v>
      </c>
      <c r="D593" t="s">
        <v>649</v>
      </c>
      <c r="E593" t="s">
        <v>657</v>
      </c>
      <c r="F593" t="s">
        <v>673</v>
      </c>
      <c r="G593" t="s">
        <v>701</v>
      </c>
      <c r="H593" s="9" t="s">
        <v>711</v>
      </c>
      <c r="I593" s="9" t="s">
        <v>718</v>
      </c>
      <c r="J593" s="9" t="s">
        <v>727</v>
      </c>
      <c r="K593" t="s">
        <v>1323</v>
      </c>
      <c r="L593" s="7">
        <v>663.9</v>
      </c>
      <c r="M593" s="7">
        <v>947.77</v>
      </c>
      <c r="N593" s="5">
        <v>0.17399999999999999</v>
      </c>
      <c r="O593">
        <v>15</v>
      </c>
      <c r="P593" s="2">
        <f t="shared" si="81"/>
        <v>45922</v>
      </c>
      <c r="Q593" t="str">
        <f t="shared" si="82"/>
        <v>Ok</v>
      </c>
      <c r="R593">
        <f>ABS(Table2[[#This Row],[UnitPrice]])</f>
        <v>947.77</v>
      </c>
      <c r="S593">
        <f t="shared" si="83"/>
        <v>23</v>
      </c>
      <c r="T593" s="12">
        <f t="shared" si="84"/>
        <v>11742.8703</v>
      </c>
      <c r="U593">
        <f>Table2[[#This Row],[UnitCost]]*Table2[[#This Row],[Quantity]]</f>
        <v>9958.5</v>
      </c>
      <c r="V593" s="13">
        <f t="shared" si="85"/>
        <v>1784.3703000000005</v>
      </c>
      <c r="W593" s="5">
        <f t="shared" si="86"/>
        <v>0.1519535049280073</v>
      </c>
      <c r="X593" s="17" t="str">
        <f t="shared" si="87"/>
        <v>Aug-2025</v>
      </c>
      <c r="Z593" t="str">
        <f t="shared" si="88"/>
        <v>Europe. France. Marseille</v>
      </c>
      <c r="AA593" t="str">
        <f t="shared" si="89"/>
        <v>Low</v>
      </c>
      <c r="AB593" t="str">
        <f t="array" ref="AB593">TEXT(MIN(IF($E$2:$E$633=E593, $B$2:$B$633)), "YYYY-MM")</f>
        <v>2023-01</v>
      </c>
      <c r="AC593" s="13">
        <f>SUM($T$2:T593)</f>
        <v>10224240.840559995</v>
      </c>
    </row>
    <row r="594" spans="1:29" x14ac:dyDescent="0.45">
      <c r="A594" t="s">
        <v>606</v>
      </c>
      <c r="B594" s="2">
        <v>44984</v>
      </c>
      <c r="C594" s="2">
        <v>44983</v>
      </c>
      <c r="D594" t="s">
        <v>648</v>
      </c>
      <c r="E594" t="s">
        <v>660</v>
      </c>
      <c r="F594" t="s">
        <v>686</v>
      </c>
      <c r="G594" t="s">
        <v>703</v>
      </c>
      <c r="H594" s="9" t="s">
        <v>708</v>
      </c>
      <c r="I594" s="9" t="s">
        <v>716</v>
      </c>
      <c r="J594" s="9" t="s">
        <v>729</v>
      </c>
      <c r="K594" t="s">
        <v>1324</v>
      </c>
      <c r="L594" s="7">
        <v>1015.91</v>
      </c>
      <c r="M594" s="7">
        <v>2331.48</v>
      </c>
      <c r="N594" s="5">
        <v>0.14599999999999999</v>
      </c>
      <c r="O594">
        <v>26</v>
      </c>
      <c r="P594" s="2">
        <f t="shared" si="81"/>
        <v>44991</v>
      </c>
      <c r="Q594" t="str">
        <f t="shared" si="82"/>
        <v>Ok</v>
      </c>
      <c r="R594">
        <f>ABS(Table2[[#This Row],[UnitPrice]])</f>
        <v>2331.48</v>
      </c>
      <c r="S594">
        <f t="shared" si="83"/>
        <v>7</v>
      </c>
      <c r="T594" s="12">
        <f t="shared" si="84"/>
        <v>51768.181920000003</v>
      </c>
      <c r="U594">
        <f>Table2[[#This Row],[UnitCost]]*Table2[[#This Row],[Quantity]]</f>
        <v>26413.66</v>
      </c>
      <c r="V594" s="13">
        <f t="shared" si="85"/>
        <v>25354.521920000003</v>
      </c>
      <c r="W594" s="5">
        <f t="shared" si="86"/>
        <v>0.48977037592669626</v>
      </c>
      <c r="X594" s="17" t="str">
        <f t="shared" si="87"/>
        <v>Feb-2023</v>
      </c>
      <c r="Z594" t="str">
        <f t="shared" si="88"/>
        <v>Americas. USA. San Francisco</v>
      </c>
      <c r="AA594" t="str">
        <f t="shared" si="89"/>
        <v>High</v>
      </c>
      <c r="AB594" t="str">
        <f t="array" ref="AB594">TEXT(MIN(IF($E$2:$E$633=E594, $B$2:$B$633)), "YYYY-MM")</f>
        <v>2023-01</v>
      </c>
      <c r="AC594" s="13">
        <f>SUM($T$2:T594)</f>
        <v>10276009.022479994</v>
      </c>
    </row>
    <row r="595" spans="1:29" x14ac:dyDescent="0.45">
      <c r="A595" t="s">
        <v>607</v>
      </c>
      <c r="B595" s="2">
        <v>45504</v>
      </c>
      <c r="C595" s="2">
        <v>45519</v>
      </c>
      <c r="D595" t="s">
        <v>647</v>
      </c>
      <c r="E595" t="s">
        <v>652</v>
      </c>
      <c r="F595" t="s">
        <v>689</v>
      </c>
      <c r="G595" t="s">
        <v>701</v>
      </c>
      <c r="H595" s="9" t="s">
        <v>709</v>
      </c>
      <c r="I595" s="9" t="s">
        <v>721</v>
      </c>
      <c r="J595" s="9" t="s">
        <v>732</v>
      </c>
      <c r="K595" t="s">
        <v>1325</v>
      </c>
      <c r="L595" s="7">
        <v>1252.52</v>
      </c>
      <c r="M595" s="7">
        <v>1417.24</v>
      </c>
      <c r="N595" s="5">
        <v>0.192</v>
      </c>
      <c r="O595">
        <v>5</v>
      </c>
      <c r="P595" s="2">
        <f t="shared" si="81"/>
        <v>45519</v>
      </c>
      <c r="Q595" t="str">
        <f t="shared" si="82"/>
        <v>Ok</v>
      </c>
      <c r="R595">
        <f>ABS(Table2[[#This Row],[UnitPrice]])</f>
        <v>1417.24</v>
      </c>
      <c r="S595">
        <f t="shared" si="83"/>
        <v>15</v>
      </c>
      <c r="T595" s="12">
        <f t="shared" si="84"/>
        <v>5725.6496000000006</v>
      </c>
      <c r="U595">
        <f>Table2[[#This Row],[UnitCost]]*Table2[[#This Row],[Quantity]]</f>
        <v>6262.6</v>
      </c>
      <c r="V595" s="13">
        <f t="shared" si="85"/>
        <v>-536.95039999999972</v>
      </c>
      <c r="W595" s="5">
        <f t="shared" si="86"/>
        <v>-9.3779821943696953E-2</v>
      </c>
      <c r="X595" s="17" t="str">
        <f t="shared" si="87"/>
        <v>Jul-2024</v>
      </c>
      <c r="Z595" t="str">
        <f t="shared" si="88"/>
        <v>Asia. Japan. Tokyo</v>
      </c>
      <c r="AA595" t="str">
        <f t="shared" si="89"/>
        <v>High</v>
      </c>
      <c r="AB595" t="str">
        <f t="array" ref="AB595">TEXT(MIN(IF($E$2:$E$633=E595, $B$2:$B$633)), "YYYY-MM")</f>
        <v>2023-03</v>
      </c>
      <c r="AC595" s="13">
        <f>SUM($T$2:T595)</f>
        <v>10281734.672079993</v>
      </c>
    </row>
    <row r="596" spans="1:29" x14ac:dyDescent="0.45">
      <c r="A596" t="s">
        <v>608</v>
      </c>
      <c r="B596" s="2">
        <v>45823</v>
      </c>
      <c r="C596" s="2">
        <v>45850</v>
      </c>
      <c r="D596" t="s">
        <v>649</v>
      </c>
      <c r="E596" t="s">
        <v>657</v>
      </c>
      <c r="F596" t="s">
        <v>673</v>
      </c>
      <c r="G596" t="s">
        <v>704</v>
      </c>
      <c r="H596" s="9" t="s">
        <v>711</v>
      </c>
      <c r="I596" s="9" t="s">
        <v>712</v>
      </c>
      <c r="J596" s="9" t="s">
        <v>733</v>
      </c>
      <c r="K596" t="s">
        <v>1326</v>
      </c>
      <c r="L596" s="7">
        <v>318.83</v>
      </c>
      <c r="M596" s="7">
        <v>699.5</v>
      </c>
      <c r="N596" s="5">
        <v>0.08</v>
      </c>
      <c r="O596">
        <v>13</v>
      </c>
      <c r="P596" s="2">
        <f t="shared" si="81"/>
        <v>45850</v>
      </c>
      <c r="Q596" t="str">
        <f t="shared" si="82"/>
        <v>Ok</v>
      </c>
      <c r="R596">
        <f>ABS(Table2[[#This Row],[UnitPrice]])</f>
        <v>699.5</v>
      </c>
      <c r="S596">
        <f t="shared" si="83"/>
        <v>27</v>
      </c>
      <c r="T596" s="12">
        <f t="shared" si="84"/>
        <v>8366.02</v>
      </c>
      <c r="U596">
        <f>Table2[[#This Row],[UnitCost]]*Table2[[#This Row],[Quantity]]</f>
        <v>4144.79</v>
      </c>
      <c r="V596" s="13">
        <f t="shared" si="85"/>
        <v>4221.2300000000005</v>
      </c>
      <c r="W596" s="5">
        <f t="shared" si="86"/>
        <v>0.50456848059172699</v>
      </c>
      <c r="X596" s="17" t="str">
        <f t="shared" si="87"/>
        <v>Jun-2025</v>
      </c>
      <c r="Z596" t="str">
        <f t="shared" si="88"/>
        <v>Europe. France. Marseille</v>
      </c>
      <c r="AA596" t="str">
        <f t="shared" si="89"/>
        <v>Low</v>
      </c>
      <c r="AB596" t="str">
        <f t="array" ref="AB596">TEXT(MIN(IF($E$2:$E$633=E596, $B$2:$B$633)), "YYYY-MM")</f>
        <v>2023-01</v>
      </c>
      <c r="AC596" s="13">
        <f>SUM($T$2:T596)</f>
        <v>10290100.692079993</v>
      </c>
    </row>
    <row r="597" spans="1:29" x14ac:dyDescent="0.45">
      <c r="A597" t="s">
        <v>609</v>
      </c>
      <c r="B597" s="2">
        <v>45473</v>
      </c>
      <c r="C597" s="2">
        <v>45494</v>
      </c>
      <c r="D597" t="s">
        <v>646</v>
      </c>
      <c r="E597" t="s">
        <v>650</v>
      </c>
      <c r="F597" t="s">
        <v>662</v>
      </c>
      <c r="G597" t="s">
        <v>705</v>
      </c>
      <c r="H597" s="9" t="s">
        <v>707</v>
      </c>
      <c r="I597" s="9" t="s">
        <v>723</v>
      </c>
      <c r="J597" s="9" t="s">
        <v>731</v>
      </c>
      <c r="K597" t="s">
        <v>1327</v>
      </c>
      <c r="L597" s="7">
        <v>753.43</v>
      </c>
      <c r="M597" s="7">
        <v>1787.2</v>
      </c>
      <c r="N597" s="5">
        <v>7.2999999999999995E-2</v>
      </c>
      <c r="O597">
        <v>9</v>
      </c>
      <c r="P597" s="2">
        <f t="shared" si="81"/>
        <v>45494</v>
      </c>
      <c r="Q597" t="str">
        <f t="shared" si="82"/>
        <v>Ok</v>
      </c>
      <c r="R597">
        <f>ABS(Table2[[#This Row],[UnitPrice]])</f>
        <v>1787.2</v>
      </c>
      <c r="S597">
        <f t="shared" si="83"/>
        <v>21</v>
      </c>
      <c r="T597" s="12">
        <f t="shared" si="84"/>
        <v>14910.609600000002</v>
      </c>
      <c r="U597">
        <f>Table2[[#This Row],[UnitCost]]*Table2[[#This Row],[Quantity]]</f>
        <v>6780.87</v>
      </c>
      <c r="V597" s="13">
        <f t="shared" si="85"/>
        <v>8129.7396000000017</v>
      </c>
      <c r="W597" s="5">
        <f t="shared" si="86"/>
        <v>0.54523187301476939</v>
      </c>
      <c r="X597" s="17" t="str">
        <f t="shared" si="87"/>
        <v>Jun-2024</v>
      </c>
      <c r="Z597" t="str">
        <f t="shared" si="88"/>
        <v>Africa. Kenya. Kisumu</v>
      </c>
      <c r="AA597" t="str">
        <f t="shared" si="89"/>
        <v>High</v>
      </c>
      <c r="AB597" t="str">
        <f t="array" ref="AB597">TEXT(MIN(IF($E$2:$E$633=E597, $B$2:$B$633)), "YYYY-MM")</f>
        <v>2023-01</v>
      </c>
      <c r="AC597" s="13">
        <f>SUM($T$2:T597)</f>
        <v>10305011.301679993</v>
      </c>
    </row>
    <row r="598" spans="1:29" x14ac:dyDescent="0.45">
      <c r="A598" t="s">
        <v>610</v>
      </c>
      <c r="B598" s="2">
        <v>45705</v>
      </c>
      <c r="C598" s="2">
        <v>45703</v>
      </c>
      <c r="D598" t="s">
        <v>648</v>
      </c>
      <c r="E598" t="s">
        <v>653</v>
      </c>
      <c r="F598" t="s">
        <v>667</v>
      </c>
      <c r="G598" t="s">
        <v>705</v>
      </c>
      <c r="H598" s="9" t="s">
        <v>707</v>
      </c>
      <c r="I598" s="9" t="s">
        <v>726</v>
      </c>
      <c r="J598" s="9" t="s">
        <v>727</v>
      </c>
      <c r="K598" t="s">
        <v>1328</v>
      </c>
      <c r="L598" s="7">
        <v>1133.47</v>
      </c>
      <c r="M598" s="7">
        <v>1698.75</v>
      </c>
      <c r="N598" s="5">
        <v>4.2999999999999997E-2</v>
      </c>
      <c r="O598">
        <v>5</v>
      </c>
      <c r="P598" s="2">
        <f t="shared" si="81"/>
        <v>45712</v>
      </c>
      <c r="Q598" t="str">
        <f t="shared" si="82"/>
        <v>Ok</v>
      </c>
      <c r="R598">
        <f>ABS(Table2[[#This Row],[UnitPrice]])</f>
        <v>1698.75</v>
      </c>
      <c r="S598">
        <f t="shared" si="83"/>
        <v>7</v>
      </c>
      <c r="T598" s="12">
        <f t="shared" si="84"/>
        <v>8128.5187499999993</v>
      </c>
      <c r="U598">
        <f>Table2[[#This Row],[UnitCost]]*Table2[[#This Row],[Quantity]]</f>
        <v>5667.35</v>
      </c>
      <c r="V598" s="13">
        <f t="shared" si="85"/>
        <v>2461.1687499999989</v>
      </c>
      <c r="W598" s="5">
        <f t="shared" si="86"/>
        <v>0.30278194904821976</v>
      </c>
      <c r="X598" s="17" t="str">
        <f t="shared" si="87"/>
        <v>Feb-2025</v>
      </c>
      <c r="Z598" t="str">
        <f t="shared" si="88"/>
        <v>Americas. Canada. Toronto</v>
      </c>
      <c r="AA598" t="str">
        <f t="shared" si="89"/>
        <v>High</v>
      </c>
      <c r="AB598" t="str">
        <f t="array" ref="AB598">TEXT(MIN(IF($E$2:$E$633=E598, $B$2:$B$633)), "YYYY-MM")</f>
        <v>2023-01</v>
      </c>
      <c r="AC598" s="13">
        <f>SUM($T$2:T598)</f>
        <v>10313139.820429994</v>
      </c>
    </row>
    <row r="599" spans="1:29" x14ac:dyDescent="0.45">
      <c r="A599" t="s">
        <v>611</v>
      </c>
      <c r="B599" s="2">
        <v>44933</v>
      </c>
      <c r="C599" s="2">
        <v>44956</v>
      </c>
      <c r="D599" t="s">
        <v>646</v>
      </c>
      <c r="E599" t="s">
        <v>661</v>
      </c>
      <c r="F599" t="s">
        <v>695</v>
      </c>
      <c r="G599" t="s">
        <v>704</v>
      </c>
      <c r="H599" s="9" t="s">
        <v>708</v>
      </c>
      <c r="I599" s="9" t="s">
        <v>720</v>
      </c>
      <c r="J599" s="9" t="s">
        <v>728</v>
      </c>
      <c r="K599" t="s">
        <v>1329</v>
      </c>
      <c r="L599" s="7">
        <v>299.02</v>
      </c>
      <c r="M599" s="7">
        <v>724.7</v>
      </c>
      <c r="N599" s="5">
        <v>0.14000000000000001</v>
      </c>
      <c r="O599">
        <v>5</v>
      </c>
      <c r="P599" s="2">
        <f t="shared" si="81"/>
        <v>44956</v>
      </c>
      <c r="Q599" t="str">
        <f t="shared" si="82"/>
        <v>Ok</v>
      </c>
      <c r="R599">
        <f>ABS(Table2[[#This Row],[UnitPrice]])</f>
        <v>724.7</v>
      </c>
      <c r="S599">
        <f t="shared" si="83"/>
        <v>23</v>
      </c>
      <c r="T599" s="12">
        <f t="shared" si="84"/>
        <v>3116.21</v>
      </c>
      <c r="U599">
        <f>Table2[[#This Row],[UnitCost]]*Table2[[#This Row],[Quantity]]</f>
        <v>1495.1</v>
      </c>
      <c r="V599" s="13">
        <f t="shared" si="85"/>
        <v>1621.1100000000001</v>
      </c>
      <c r="W599" s="5">
        <f t="shared" si="86"/>
        <v>0.52021847051386139</v>
      </c>
      <c r="X599" s="17" t="str">
        <f t="shared" si="87"/>
        <v>Jan-2023</v>
      </c>
      <c r="Z599" t="str">
        <f t="shared" si="88"/>
        <v>Africa. South Africa. Cape Town</v>
      </c>
      <c r="AA599" t="str">
        <f t="shared" si="89"/>
        <v>Low</v>
      </c>
      <c r="AB599" t="str">
        <f t="array" ref="AB599">TEXT(MIN(IF($E$2:$E$633=E599, $B$2:$B$633)), "YYYY-MM")</f>
        <v>2023-01</v>
      </c>
      <c r="AC599" s="13">
        <f>SUM($T$2:T599)</f>
        <v>10316256.030429995</v>
      </c>
    </row>
    <row r="600" spans="1:29" x14ac:dyDescent="0.45">
      <c r="A600" t="s">
        <v>612</v>
      </c>
      <c r="B600" s="2">
        <v>45726</v>
      </c>
      <c r="C600" s="2">
        <v>45751</v>
      </c>
      <c r="D600" t="s">
        <v>647</v>
      </c>
      <c r="E600" t="s">
        <v>652</v>
      </c>
      <c r="F600" t="s">
        <v>666</v>
      </c>
      <c r="G600" t="s">
        <v>701</v>
      </c>
      <c r="H600" s="9" t="s">
        <v>711</v>
      </c>
      <c r="I600" s="9" t="s">
        <v>722</v>
      </c>
      <c r="J600" s="9" t="s">
        <v>728</v>
      </c>
      <c r="K600" t="s">
        <v>1330</v>
      </c>
      <c r="L600" s="7">
        <v>783.72</v>
      </c>
      <c r="M600" s="7">
        <v>1355.94</v>
      </c>
      <c r="N600" s="5">
        <v>0.187</v>
      </c>
      <c r="O600">
        <v>4</v>
      </c>
      <c r="P600" s="2">
        <f t="shared" si="81"/>
        <v>45751</v>
      </c>
      <c r="Q600" t="str">
        <f t="shared" si="82"/>
        <v>Ok</v>
      </c>
      <c r="R600">
        <f>ABS(Table2[[#This Row],[UnitPrice]])</f>
        <v>1355.94</v>
      </c>
      <c r="S600">
        <f t="shared" si="83"/>
        <v>25</v>
      </c>
      <c r="T600" s="12">
        <f t="shared" si="84"/>
        <v>4409.5168800000001</v>
      </c>
      <c r="U600">
        <f>Table2[[#This Row],[UnitCost]]*Table2[[#This Row],[Quantity]]</f>
        <v>3134.88</v>
      </c>
      <c r="V600" s="13">
        <f t="shared" si="85"/>
        <v>1274.63688</v>
      </c>
      <c r="W600" s="5">
        <f t="shared" si="86"/>
        <v>0.28906497348525856</v>
      </c>
      <c r="X600" s="17" t="str">
        <f t="shared" si="87"/>
        <v>Mar-2025</v>
      </c>
      <c r="Z600" t="str">
        <f t="shared" si="88"/>
        <v>Asia. Japan. Osaka</v>
      </c>
      <c r="AA600" t="str">
        <f t="shared" si="89"/>
        <v>High</v>
      </c>
      <c r="AB600" t="str">
        <f t="array" ref="AB600">TEXT(MIN(IF($E$2:$E$633=E600, $B$2:$B$633)), "YYYY-MM")</f>
        <v>2023-03</v>
      </c>
      <c r="AC600" s="13">
        <f>SUM($T$2:T600)</f>
        <v>10320665.547309995</v>
      </c>
    </row>
    <row r="601" spans="1:29" x14ac:dyDescent="0.45">
      <c r="A601" t="s">
        <v>613</v>
      </c>
      <c r="B601" s="2">
        <v>45521</v>
      </c>
      <c r="C601" s="2">
        <v>45519</v>
      </c>
      <c r="D601" t="s">
        <v>648</v>
      </c>
      <c r="E601" t="s">
        <v>655</v>
      </c>
      <c r="F601" t="s">
        <v>692</v>
      </c>
      <c r="G601" t="s">
        <v>704</v>
      </c>
      <c r="H601" s="9" t="s">
        <v>711</v>
      </c>
      <c r="I601" s="9" t="s">
        <v>724</v>
      </c>
      <c r="J601" s="9" t="s">
        <v>732</v>
      </c>
      <c r="K601" t="s">
        <v>1331</v>
      </c>
      <c r="L601" s="7">
        <v>165.3</v>
      </c>
      <c r="M601" s="7">
        <v>275.07</v>
      </c>
      <c r="N601" s="5">
        <v>0.13300000000000001</v>
      </c>
      <c r="O601">
        <v>25</v>
      </c>
      <c r="P601" s="2">
        <f t="shared" si="81"/>
        <v>45528</v>
      </c>
      <c r="Q601" t="str">
        <f t="shared" si="82"/>
        <v>Ok</v>
      </c>
      <c r="R601">
        <f>ABS(Table2[[#This Row],[UnitPrice]])</f>
        <v>275.07</v>
      </c>
      <c r="S601">
        <f t="shared" si="83"/>
        <v>7</v>
      </c>
      <c r="T601" s="12">
        <f t="shared" si="84"/>
        <v>5962.1422499999999</v>
      </c>
      <c r="U601">
        <f>Table2[[#This Row],[UnitCost]]*Table2[[#This Row],[Quantity]]</f>
        <v>4132.5</v>
      </c>
      <c r="V601" s="13">
        <f t="shared" si="85"/>
        <v>1829.6422499999999</v>
      </c>
      <c r="W601" s="5">
        <f t="shared" si="86"/>
        <v>0.30687665159280625</v>
      </c>
      <c r="X601" s="17" t="str">
        <f t="shared" si="87"/>
        <v>Aug-2024</v>
      </c>
      <c r="Z601" t="str">
        <f t="shared" si="88"/>
        <v>Americas. Brazil. Rio de Janeiro</v>
      </c>
      <c r="AA601" t="str">
        <f t="shared" si="89"/>
        <v>Low</v>
      </c>
      <c r="AB601" t="str">
        <f t="array" ref="AB601">TEXT(MIN(IF($E$2:$E$633=E601, $B$2:$B$633)), "YYYY-MM")</f>
        <v>2023-01</v>
      </c>
      <c r="AC601" s="13">
        <f>SUM($T$2:T601)</f>
        <v>10326627.689559994</v>
      </c>
    </row>
    <row r="602" spans="1:29" x14ac:dyDescent="0.45">
      <c r="A602" t="s">
        <v>614</v>
      </c>
      <c r="B602" s="2">
        <v>45360</v>
      </c>
      <c r="C602" s="2">
        <v>45373</v>
      </c>
      <c r="D602" t="s">
        <v>649</v>
      </c>
      <c r="E602" t="s">
        <v>658</v>
      </c>
      <c r="F602" t="s">
        <v>693</v>
      </c>
      <c r="G602" t="s">
        <v>704</v>
      </c>
      <c r="H602" s="9" t="s">
        <v>708</v>
      </c>
      <c r="I602" s="9" t="s">
        <v>718</v>
      </c>
      <c r="J602" s="9" t="s">
        <v>731</v>
      </c>
      <c r="K602" t="s">
        <v>1332</v>
      </c>
      <c r="L602" s="7">
        <v>985.45</v>
      </c>
      <c r="M602" s="7">
        <v>1802.44</v>
      </c>
      <c r="N602" s="5">
        <v>8.9999999999999993E-3</v>
      </c>
      <c r="O602">
        <v>19</v>
      </c>
      <c r="P602" s="2">
        <f t="shared" si="81"/>
        <v>45373</v>
      </c>
      <c r="Q602" t="str">
        <f t="shared" si="82"/>
        <v>Ok</v>
      </c>
      <c r="R602">
        <f>ABS(Table2[[#This Row],[UnitPrice]])</f>
        <v>1802.44</v>
      </c>
      <c r="S602">
        <f t="shared" si="83"/>
        <v>13</v>
      </c>
      <c r="T602" s="12">
        <f t="shared" si="84"/>
        <v>33938.142760000002</v>
      </c>
      <c r="U602">
        <f>Table2[[#This Row],[UnitCost]]*Table2[[#This Row],[Quantity]]</f>
        <v>18723.55</v>
      </c>
      <c r="V602" s="13">
        <f t="shared" si="85"/>
        <v>15214.592760000003</v>
      </c>
      <c r="W602" s="5">
        <f t="shared" si="86"/>
        <v>0.44830363486867486</v>
      </c>
      <c r="X602" s="17" t="str">
        <f t="shared" si="87"/>
        <v>Mar-2024</v>
      </c>
      <c r="Z602" t="str">
        <f t="shared" si="88"/>
        <v>Europe. United Kingdom. Manchester</v>
      </c>
      <c r="AA602" t="str">
        <f t="shared" si="89"/>
        <v>High</v>
      </c>
      <c r="AB602" t="str">
        <f t="array" ref="AB602">TEXT(MIN(IF($E$2:$E$633=E602, $B$2:$B$633)), "YYYY-MM")</f>
        <v>2023-01</v>
      </c>
      <c r="AC602" s="13">
        <f>SUM($T$2:T602)</f>
        <v>10360565.832319994</v>
      </c>
    </row>
    <row r="603" spans="1:29" x14ac:dyDescent="0.45">
      <c r="A603" t="s">
        <v>615</v>
      </c>
      <c r="B603" s="2">
        <v>45523</v>
      </c>
      <c r="C603" s="2">
        <v>45537</v>
      </c>
      <c r="D603" t="s">
        <v>648</v>
      </c>
      <c r="E603" t="s">
        <v>653</v>
      </c>
      <c r="F603" t="s">
        <v>667</v>
      </c>
      <c r="G603" t="s">
        <v>704</v>
      </c>
      <c r="H603" s="9" t="s">
        <v>710</v>
      </c>
      <c r="I603" s="9" t="s">
        <v>712</v>
      </c>
      <c r="J603" s="9" t="s">
        <v>728</v>
      </c>
      <c r="K603" t="s">
        <v>1333</v>
      </c>
      <c r="L603" s="7">
        <v>1337.01</v>
      </c>
      <c r="M603" s="7">
        <v>1269.78</v>
      </c>
      <c r="N603" s="5">
        <v>0.16</v>
      </c>
      <c r="O603">
        <v>7</v>
      </c>
      <c r="P603" s="2">
        <f t="shared" si="81"/>
        <v>45537</v>
      </c>
      <c r="Q603" t="str">
        <f t="shared" si="82"/>
        <v>Ok</v>
      </c>
      <c r="R603">
        <f>ABS(Table2[[#This Row],[UnitPrice]])</f>
        <v>1269.78</v>
      </c>
      <c r="S603">
        <f t="shared" si="83"/>
        <v>14</v>
      </c>
      <c r="T603" s="12">
        <f t="shared" si="84"/>
        <v>7466.3063999999986</v>
      </c>
      <c r="U603">
        <f>Table2[[#This Row],[UnitCost]]*Table2[[#This Row],[Quantity]]</f>
        <v>9359.07</v>
      </c>
      <c r="V603" s="13">
        <f t="shared" si="85"/>
        <v>-1892.7636000000011</v>
      </c>
      <c r="W603" s="5">
        <f t="shared" si="86"/>
        <v>-0.25350735672996244</v>
      </c>
      <c r="X603" s="17" t="str">
        <f t="shared" si="87"/>
        <v>Aug-2024</v>
      </c>
      <c r="Z603" t="str">
        <f t="shared" si="88"/>
        <v>Americas. Canada. Toronto</v>
      </c>
      <c r="AA603" t="str">
        <f t="shared" si="89"/>
        <v>High</v>
      </c>
      <c r="AB603" t="str">
        <f t="array" ref="AB603">TEXT(MIN(IF($E$2:$E$633=E603, $B$2:$B$633)), "YYYY-MM")</f>
        <v>2023-01</v>
      </c>
      <c r="AC603" s="13">
        <f>SUM($T$2:T603)</f>
        <v>10368032.138719993</v>
      </c>
    </row>
    <row r="604" spans="1:29" x14ac:dyDescent="0.45">
      <c r="A604" t="s">
        <v>616</v>
      </c>
      <c r="B604" s="2">
        <v>45880</v>
      </c>
      <c r="C604" s="2">
        <v>45897</v>
      </c>
      <c r="D604" t="s">
        <v>649</v>
      </c>
      <c r="E604" t="s">
        <v>657</v>
      </c>
      <c r="F604" t="s">
        <v>690</v>
      </c>
      <c r="G604" t="s">
        <v>702</v>
      </c>
      <c r="H604" s="9" t="s">
        <v>708</v>
      </c>
      <c r="I604" s="9" t="s">
        <v>721</v>
      </c>
      <c r="J604" s="9" t="s">
        <v>729</v>
      </c>
      <c r="K604" t="s">
        <v>1334</v>
      </c>
      <c r="L604" s="7">
        <v>416.16</v>
      </c>
      <c r="M604" s="7">
        <v>571.9</v>
      </c>
      <c r="N604" s="5">
        <v>7.0999999999999994E-2</v>
      </c>
      <c r="O604">
        <v>2</v>
      </c>
      <c r="P604" s="2">
        <f t="shared" si="81"/>
        <v>45897</v>
      </c>
      <c r="Q604" t="str">
        <f t="shared" si="82"/>
        <v>Ok</v>
      </c>
      <c r="R604">
        <f>ABS(Table2[[#This Row],[UnitPrice]])</f>
        <v>571.9</v>
      </c>
      <c r="S604">
        <f t="shared" si="83"/>
        <v>17</v>
      </c>
      <c r="T604" s="12">
        <f t="shared" si="84"/>
        <v>1062.5902000000001</v>
      </c>
      <c r="U604">
        <f>Table2[[#This Row],[UnitCost]]*Table2[[#This Row],[Quantity]]</f>
        <v>832.32</v>
      </c>
      <c r="V604" s="13">
        <f t="shared" si="85"/>
        <v>230.27020000000005</v>
      </c>
      <c r="W604" s="5">
        <f t="shared" si="86"/>
        <v>0.21670649701079497</v>
      </c>
      <c r="X604" s="17" t="str">
        <f t="shared" si="87"/>
        <v>Aug-2025</v>
      </c>
      <c r="Z604" t="str">
        <f t="shared" si="88"/>
        <v>Europe. France. Paris</v>
      </c>
      <c r="AA604" t="str">
        <f t="shared" si="89"/>
        <v>Low</v>
      </c>
      <c r="AB604" t="str">
        <f t="array" ref="AB604">TEXT(MIN(IF($E$2:$E$633=E604, $B$2:$B$633)), "YYYY-MM")</f>
        <v>2023-01</v>
      </c>
      <c r="AC604" s="13">
        <f>SUM($T$2:T604)</f>
        <v>10369094.728919992</v>
      </c>
    </row>
    <row r="605" spans="1:29" x14ac:dyDescent="0.45">
      <c r="A605" t="s">
        <v>617</v>
      </c>
      <c r="B605" s="2">
        <v>45793</v>
      </c>
      <c r="C605" s="2">
        <v>45795</v>
      </c>
      <c r="D605" t="s">
        <v>647</v>
      </c>
      <c r="E605" t="s">
        <v>652</v>
      </c>
      <c r="F605" t="s">
        <v>689</v>
      </c>
      <c r="G605" t="s">
        <v>706</v>
      </c>
      <c r="H605" s="9" t="s">
        <v>707</v>
      </c>
      <c r="I605" s="9" t="s">
        <v>713</v>
      </c>
      <c r="J605" s="9" t="s">
        <v>728</v>
      </c>
      <c r="K605" t="s">
        <v>1335</v>
      </c>
      <c r="L605" s="7">
        <v>1144.3800000000001</v>
      </c>
      <c r="M605" s="7">
        <v>2755.04</v>
      </c>
      <c r="N605" s="5">
        <v>0.15</v>
      </c>
      <c r="O605">
        <v>17</v>
      </c>
      <c r="P605" s="2">
        <f t="shared" si="81"/>
        <v>45795</v>
      </c>
      <c r="Q605" t="str">
        <f t="shared" si="82"/>
        <v>Ok</v>
      </c>
      <c r="R605">
        <f>ABS(Table2[[#This Row],[UnitPrice]])</f>
        <v>2755.04</v>
      </c>
      <c r="S605">
        <f t="shared" si="83"/>
        <v>2</v>
      </c>
      <c r="T605" s="12">
        <f t="shared" si="84"/>
        <v>39810.328000000001</v>
      </c>
      <c r="U605">
        <f>Table2[[#This Row],[UnitCost]]*Table2[[#This Row],[Quantity]]</f>
        <v>19454.460000000003</v>
      </c>
      <c r="V605" s="13">
        <f t="shared" si="85"/>
        <v>20355.867999999999</v>
      </c>
      <c r="W605" s="5">
        <f t="shared" si="86"/>
        <v>0.51132128326096682</v>
      </c>
      <c r="X605" s="17" t="str">
        <f t="shared" si="87"/>
        <v>May-2025</v>
      </c>
      <c r="Z605" t="str">
        <f t="shared" si="88"/>
        <v>Asia. Japan. Tokyo</v>
      </c>
      <c r="AA605" t="str">
        <f t="shared" si="89"/>
        <v>High</v>
      </c>
      <c r="AB605" t="str">
        <f t="array" ref="AB605">TEXT(MIN(IF($E$2:$E$633=E605, $B$2:$B$633)), "YYYY-MM")</f>
        <v>2023-03</v>
      </c>
      <c r="AC605" s="13">
        <f>SUM($T$2:T605)</f>
        <v>10408905.056919992</v>
      </c>
    </row>
    <row r="606" spans="1:29" x14ac:dyDescent="0.45">
      <c r="A606" t="s">
        <v>618</v>
      </c>
      <c r="B606" s="2">
        <v>45026</v>
      </c>
      <c r="C606" s="2">
        <v>45041</v>
      </c>
      <c r="D606" t="s">
        <v>649</v>
      </c>
      <c r="E606" t="s">
        <v>658</v>
      </c>
      <c r="F606" t="s">
        <v>683</v>
      </c>
      <c r="G606" t="s">
        <v>705</v>
      </c>
      <c r="H606" s="9" t="s">
        <v>707</v>
      </c>
      <c r="I606" s="9" t="s">
        <v>726</v>
      </c>
      <c r="J606" s="9" t="s">
        <v>728</v>
      </c>
      <c r="K606" t="s">
        <v>1336</v>
      </c>
      <c r="L606" s="7">
        <v>405.66</v>
      </c>
      <c r="M606" s="7">
        <v>962.51</v>
      </c>
      <c r="N606" s="5">
        <v>0.19</v>
      </c>
      <c r="O606">
        <v>7</v>
      </c>
      <c r="P606" s="2">
        <f t="shared" si="81"/>
        <v>45041</v>
      </c>
      <c r="Q606" t="str">
        <f t="shared" si="82"/>
        <v>Ok</v>
      </c>
      <c r="R606">
        <f>ABS(Table2[[#This Row],[UnitPrice]])</f>
        <v>962.51</v>
      </c>
      <c r="S606">
        <f t="shared" si="83"/>
        <v>15</v>
      </c>
      <c r="T606" s="12">
        <f t="shared" si="84"/>
        <v>5457.4317000000001</v>
      </c>
      <c r="U606">
        <f>Table2[[#This Row],[UnitCost]]*Table2[[#This Row],[Quantity]]</f>
        <v>2839.6200000000003</v>
      </c>
      <c r="V606" s="13">
        <f t="shared" si="85"/>
        <v>2617.8116999999997</v>
      </c>
      <c r="W606" s="5">
        <f t="shared" si="86"/>
        <v>0.47967832561239376</v>
      </c>
      <c r="X606" s="17" t="str">
        <f t="shared" si="87"/>
        <v>Apr-2023</v>
      </c>
      <c r="Z606" t="str">
        <f t="shared" si="88"/>
        <v>Europe. United Kingdom. London</v>
      </c>
      <c r="AA606" t="str">
        <f t="shared" si="89"/>
        <v>Low</v>
      </c>
      <c r="AB606" t="str">
        <f t="array" ref="AB606">TEXT(MIN(IF($E$2:$E$633=E606, $B$2:$B$633)), "YYYY-MM")</f>
        <v>2023-01</v>
      </c>
      <c r="AC606" s="13">
        <f>SUM($T$2:T606)</f>
        <v>10414362.488619993</v>
      </c>
    </row>
    <row r="607" spans="1:29" x14ac:dyDescent="0.45">
      <c r="A607" t="s">
        <v>619</v>
      </c>
      <c r="B607" s="2">
        <v>45186</v>
      </c>
      <c r="C607" s="2">
        <v>45201</v>
      </c>
      <c r="D607" t="s">
        <v>648</v>
      </c>
      <c r="E607" t="s">
        <v>655</v>
      </c>
      <c r="F607" t="s">
        <v>692</v>
      </c>
      <c r="G607" t="s">
        <v>705</v>
      </c>
      <c r="H607" s="9" t="s">
        <v>707</v>
      </c>
      <c r="I607" s="9" t="s">
        <v>717</v>
      </c>
      <c r="J607" s="9" t="s">
        <v>731</v>
      </c>
      <c r="K607" t="s">
        <v>1337</v>
      </c>
      <c r="L607" s="7">
        <v>689.33</v>
      </c>
      <c r="M607" s="7">
        <v>668.27</v>
      </c>
      <c r="N607" s="5">
        <v>0.186</v>
      </c>
      <c r="O607">
        <v>13</v>
      </c>
      <c r="P607" s="2">
        <f t="shared" si="81"/>
        <v>45201</v>
      </c>
      <c r="Q607" t="str">
        <f t="shared" si="82"/>
        <v>Ok</v>
      </c>
      <c r="R607">
        <f>ABS(Table2[[#This Row],[UnitPrice]])</f>
        <v>668.27</v>
      </c>
      <c r="S607">
        <f t="shared" si="83"/>
        <v>15</v>
      </c>
      <c r="T607" s="12">
        <f t="shared" si="84"/>
        <v>7071.6331400000008</v>
      </c>
      <c r="U607">
        <f>Table2[[#This Row],[UnitCost]]*Table2[[#This Row],[Quantity]]</f>
        <v>8961.2900000000009</v>
      </c>
      <c r="V607" s="13">
        <f t="shared" si="85"/>
        <v>-1889.6568600000001</v>
      </c>
      <c r="W607" s="5">
        <f t="shared" si="86"/>
        <v>-0.26721647214861033</v>
      </c>
      <c r="X607" s="17" t="str">
        <f t="shared" si="87"/>
        <v>Sep-2023</v>
      </c>
      <c r="Z607" t="str">
        <f t="shared" si="88"/>
        <v>Americas. Brazil. Rio de Janeiro</v>
      </c>
      <c r="AA607" t="str">
        <f t="shared" si="89"/>
        <v>Low</v>
      </c>
      <c r="AB607" t="str">
        <f t="array" ref="AB607">TEXT(MIN(IF($E$2:$E$633=E607, $B$2:$B$633)), "YYYY-MM")</f>
        <v>2023-01</v>
      </c>
      <c r="AC607" s="13">
        <f>SUM($T$2:T607)</f>
        <v>10421434.121759992</v>
      </c>
    </row>
    <row r="608" spans="1:29" x14ac:dyDescent="0.45">
      <c r="A608" t="s">
        <v>620</v>
      </c>
      <c r="B608" s="2">
        <v>45038</v>
      </c>
      <c r="C608" s="2">
        <v>45060</v>
      </c>
      <c r="D608" t="s">
        <v>647</v>
      </c>
      <c r="E608" t="s">
        <v>652</v>
      </c>
      <c r="F608" t="s">
        <v>694</v>
      </c>
      <c r="G608" t="s">
        <v>706</v>
      </c>
      <c r="H608" s="9" t="s">
        <v>707</v>
      </c>
      <c r="I608" s="9" t="s">
        <v>720</v>
      </c>
      <c r="J608" s="9" t="s">
        <v>733</v>
      </c>
      <c r="K608" t="s">
        <v>1338</v>
      </c>
      <c r="L608" s="7">
        <v>1209.22</v>
      </c>
      <c r="M608" s="7">
        <v>1404.33</v>
      </c>
      <c r="N608" s="5">
        <v>0.10299999999999999</v>
      </c>
      <c r="O608">
        <v>11</v>
      </c>
      <c r="P608" s="2">
        <f t="shared" si="81"/>
        <v>45060</v>
      </c>
      <c r="Q608" t="str">
        <f t="shared" si="82"/>
        <v>Ok</v>
      </c>
      <c r="R608">
        <f>ABS(Table2[[#This Row],[UnitPrice]])</f>
        <v>1404.33</v>
      </c>
      <c r="S608">
        <f t="shared" si="83"/>
        <v>22</v>
      </c>
      <c r="T608" s="12">
        <f t="shared" si="84"/>
        <v>13856.52411</v>
      </c>
      <c r="U608">
        <f>Table2[[#This Row],[UnitCost]]*Table2[[#This Row],[Quantity]]</f>
        <v>13301.42</v>
      </c>
      <c r="V608" s="13">
        <f t="shared" si="85"/>
        <v>555.10411000000022</v>
      </c>
      <c r="W608" s="5">
        <f t="shared" si="86"/>
        <v>4.0060848275751328E-2</v>
      </c>
      <c r="X608" s="17" t="str">
        <f t="shared" si="87"/>
        <v>Apr-2023</v>
      </c>
      <c r="Z608" t="str">
        <f t="shared" si="88"/>
        <v>Asia. Japan. Nagoya</v>
      </c>
      <c r="AA608" t="str">
        <f t="shared" si="89"/>
        <v>High</v>
      </c>
      <c r="AB608" t="str">
        <f t="array" ref="AB608">TEXT(MIN(IF($E$2:$E$633=E608, $B$2:$B$633)), "YYYY-MM")</f>
        <v>2023-03</v>
      </c>
      <c r="AC608" s="13">
        <f>SUM($T$2:T608)</f>
        <v>10435290.645869993</v>
      </c>
    </row>
    <row r="609" spans="1:29" x14ac:dyDescent="0.45">
      <c r="A609" t="s">
        <v>621</v>
      </c>
      <c r="B609" s="2">
        <v>45827</v>
      </c>
      <c r="C609" s="2">
        <v>45829</v>
      </c>
      <c r="D609" t="s">
        <v>646</v>
      </c>
      <c r="E609" t="s">
        <v>661</v>
      </c>
      <c r="F609" t="s">
        <v>682</v>
      </c>
      <c r="G609" t="s">
        <v>705</v>
      </c>
      <c r="H609" s="9" t="s">
        <v>1422</v>
      </c>
      <c r="I609" s="9" t="s">
        <v>722</v>
      </c>
      <c r="J609" s="9" t="s">
        <v>730</v>
      </c>
      <c r="K609" t="s">
        <v>1339</v>
      </c>
      <c r="L609" s="7">
        <v>1466.27</v>
      </c>
      <c r="M609" s="7">
        <v>3589.89</v>
      </c>
      <c r="N609" s="5">
        <v>9.7000000000000003E-2</v>
      </c>
      <c r="O609">
        <v>9</v>
      </c>
      <c r="P609" s="2">
        <f t="shared" si="81"/>
        <v>45829</v>
      </c>
      <c r="Q609" t="str">
        <f t="shared" si="82"/>
        <v>Ok</v>
      </c>
      <c r="R609">
        <f>ABS(Table2[[#This Row],[UnitPrice]])</f>
        <v>3589.89</v>
      </c>
      <c r="S609">
        <f t="shared" si="83"/>
        <v>2</v>
      </c>
      <c r="T609" s="12">
        <f t="shared" si="84"/>
        <v>29175.036029999999</v>
      </c>
      <c r="U609">
        <f>Table2[[#This Row],[UnitCost]]*Table2[[#This Row],[Quantity]]</f>
        <v>13196.43</v>
      </c>
      <c r="V609" s="13">
        <f t="shared" si="85"/>
        <v>15978.606029999999</v>
      </c>
      <c r="W609" s="5">
        <f t="shared" si="86"/>
        <v>0.54768076425234147</v>
      </c>
      <c r="X609" s="17" t="str">
        <f t="shared" si="87"/>
        <v>Jun-2025</v>
      </c>
      <c r="Z609" t="str">
        <f t="shared" si="88"/>
        <v>Africa. South Africa. Johannesburg</v>
      </c>
      <c r="AA609" t="str">
        <f t="shared" si="89"/>
        <v>High</v>
      </c>
      <c r="AB609" t="str">
        <f t="array" ref="AB609">TEXT(MIN(IF($E$2:$E$633=E609, $B$2:$B$633)), "YYYY-MM")</f>
        <v>2023-01</v>
      </c>
      <c r="AC609" s="13">
        <f>SUM($T$2:T609)</f>
        <v>10464465.681899993</v>
      </c>
    </row>
    <row r="610" spans="1:29" x14ac:dyDescent="0.45">
      <c r="A610" t="s">
        <v>622</v>
      </c>
      <c r="B610" s="2">
        <v>45623</v>
      </c>
      <c r="C610" s="2">
        <v>45650</v>
      </c>
      <c r="D610" t="s">
        <v>646</v>
      </c>
      <c r="E610" t="s">
        <v>650</v>
      </c>
      <c r="F610" t="s">
        <v>675</v>
      </c>
      <c r="G610" t="s">
        <v>701</v>
      </c>
      <c r="H610" s="9" t="s">
        <v>710</v>
      </c>
      <c r="I610" s="9" t="s">
        <v>717</v>
      </c>
      <c r="J610" s="9" t="s">
        <v>728</v>
      </c>
      <c r="K610" t="s">
        <v>1340</v>
      </c>
      <c r="L610" s="7">
        <v>143.33000000000001</v>
      </c>
      <c r="M610" s="7">
        <v>233.51</v>
      </c>
      <c r="N610" s="5">
        <v>0.16300000000000001</v>
      </c>
      <c r="O610">
        <v>14</v>
      </c>
      <c r="P610" s="2">
        <f t="shared" si="81"/>
        <v>45650</v>
      </c>
      <c r="Q610" t="str">
        <f t="shared" si="82"/>
        <v>Ok</v>
      </c>
      <c r="R610">
        <f>ABS(Table2[[#This Row],[UnitPrice]])</f>
        <v>233.51</v>
      </c>
      <c r="S610">
        <f t="shared" si="83"/>
        <v>27</v>
      </c>
      <c r="T610" s="12">
        <f t="shared" si="84"/>
        <v>2736.27018</v>
      </c>
      <c r="U610">
        <f>Table2[[#This Row],[UnitCost]]*Table2[[#This Row],[Quantity]]</f>
        <v>2006.6200000000001</v>
      </c>
      <c r="V610" s="13">
        <f t="shared" si="85"/>
        <v>729.65017999999986</v>
      </c>
      <c r="W610" s="5">
        <f t="shared" si="86"/>
        <v>0.26665867476580835</v>
      </c>
      <c r="X610" s="17" t="str">
        <f t="shared" si="87"/>
        <v>Nov-2024</v>
      </c>
      <c r="Z610" t="str">
        <f t="shared" si="88"/>
        <v>Africa. Kenya. Mombasa</v>
      </c>
      <c r="AA610" t="str">
        <f t="shared" si="89"/>
        <v>Low</v>
      </c>
      <c r="AB610" t="str">
        <f t="array" ref="AB610">TEXT(MIN(IF($E$2:$E$633=E610, $B$2:$B$633)), "YYYY-MM")</f>
        <v>2023-01</v>
      </c>
      <c r="AC610" s="13">
        <f>SUM($T$2:T610)</f>
        <v>10467201.952079993</v>
      </c>
    </row>
    <row r="611" spans="1:29" x14ac:dyDescent="0.45">
      <c r="A611" t="s">
        <v>623</v>
      </c>
      <c r="B611" s="2">
        <v>45319</v>
      </c>
      <c r="C611" s="2">
        <v>45318</v>
      </c>
      <c r="D611" t="s">
        <v>646</v>
      </c>
      <c r="E611" t="s">
        <v>661</v>
      </c>
      <c r="F611" t="s">
        <v>695</v>
      </c>
      <c r="G611" t="s">
        <v>706</v>
      </c>
      <c r="H611" s="9" t="s">
        <v>711</v>
      </c>
      <c r="I611" s="9" t="s">
        <v>719</v>
      </c>
      <c r="J611" s="9" t="s">
        <v>727</v>
      </c>
      <c r="K611" t="s">
        <v>1341</v>
      </c>
      <c r="L611" s="7">
        <v>109.75</v>
      </c>
      <c r="M611" s="7">
        <v>124.25</v>
      </c>
      <c r="N611" s="5">
        <v>0.12</v>
      </c>
      <c r="O611">
        <v>19</v>
      </c>
      <c r="P611" s="2">
        <f t="shared" si="81"/>
        <v>45326</v>
      </c>
      <c r="Q611" t="str">
        <f t="shared" si="82"/>
        <v>Ok</v>
      </c>
      <c r="R611">
        <f>ABS(Table2[[#This Row],[UnitPrice]])</f>
        <v>124.25</v>
      </c>
      <c r="S611">
        <f t="shared" si="83"/>
        <v>7</v>
      </c>
      <c r="T611" s="12">
        <f t="shared" si="84"/>
        <v>2077.46</v>
      </c>
      <c r="U611">
        <f>Table2[[#This Row],[UnitCost]]*Table2[[#This Row],[Quantity]]</f>
        <v>2085.25</v>
      </c>
      <c r="V611" s="13">
        <f t="shared" si="85"/>
        <v>-7.7899999999999636</v>
      </c>
      <c r="W611" s="5">
        <f t="shared" si="86"/>
        <v>-3.7497713554051405E-3</v>
      </c>
      <c r="X611" s="17" t="str">
        <f t="shared" si="87"/>
        <v>Jan-2024</v>
      </c>
      <c r="Z611" t="str">
        <f t="shared" si="88"/>
        <v>Africa. South Africa. Cape Town</v>
      </c>
      <c r="AA611" t="str">
        <f t="shared" si="89"/>
        <v>Low</v>
      </c>
      <c r="AB611" t="str">
        <f t="array" ref="AB611">TEXT(MIN(IF($E$2:$E$633=E611, $B$2:$B$633)), "YYYY-MM")</f>
        <v>2023-01</v>
      </c>
      <c r="AC611" s="13">
        <f>SUM($T$2:T611)</f>
        <v>10469279.412079994</v>
      </c>
    </row>
    <row r="612" spans="1:29" x14ac:dyDescent="0.45">
      <c r="A612" t="s">
        <v>624</v>
      </c>
      <c r="B612" s="2">
        <v>45032</v>
      </c>
      <c r="C612" s="2">
        <v>45039</v>
      </c>
      <c r="D612" t="s">
        <v>648</v>
      </c>
      <c r="E612" t="s">
        <v>660</v>
      </c>
      <c r="F612" t="s">
        <v>697</v>
      </c>
      <c r="G612" t="s">
        <v>701</v>
      </c>
      <c r="H612" s="9" t="s">
        <v>710</v>
      </c>
      <c r="I612" s="9" t="s">
        <v>719</v>
      </c>
      <c r="J612" s="9" t="s">
        <v>728</v>
      </c>
      <c r="K612" t="s">
        <v>1342</v>
      </c>
      <c r="L612" s="7">
        <v>1099.1500000000001</v>
      </c>
      <c r="M612" s="7">
        <v>1431.37</v>
      </c>
      <c r="N612" s="5">
        <v>0.104</v>
      </c>
      <c r="O612">
        <v>8</v>
      </c>
      <c r="P612" s="2">
        <f t="shared" si="81"/>
        <v>45039</v>
      </c>
      <c r="Q612" t="str">
        <f t="shared" si="82"/>
        <v>Ok</v>
      </c>
      <c r="R612">
        <f>ABS(Table2[[#This Row],[UnitPrice]])</f>
        <v>1431.37</v>
      </c>
      <c r="S612">
        <f t="shared" si="83"/>
        <v>7</v>
      </c>
      <c r="T612" s="12">
        <f t="shared" si="84"/>
        <v>10260.060159999999</v>
      </c>
      <c r="U612">
        <f>Table2[[#This Row],[UnitCost]]*Table2[[#This Row],[Quantity]]</f>
        <v>8793.2000000000007</v>
      </c>
      <c r="V612" s="13">
        <f t="shared" si="85"/>
        <v>1466.8601599999984</v>
      </c>
      <c r="W612" s="5">
        <f t="shared" si="86"/>
        <v>0.14296798821109433</v>
      </c>
      <c r="X612" s="17" t="str">
        <f t="shared" si="87"/>
        <v>Apr-2023</v>
      </c>
      <c r="Z612" t="str">
        <f t="shared" si="88"/>
        <v>Americas. USA. Austin</v>
      </c>
      <c r="AA612" t="str">
        <f t="shared" si="89"/>
        <v>High</v>
      </c>
      <c r="AB612" t="str">
        <f t="array" ref="AB612">TEXT(MIN(IF($E$2:$E$633=E612, $B$2:$B$633)), "YYYY-MM")</f>
        <v>2023-01</v>
      </c>
      <c r="AC612" s="13">
        <f>SUM($T$2:T612)</f>
        <v>10479539.472239994</v>
      </c>
    </row>
    <row r="613" spans="1:29" x14ac:dyDescent="0.45">
      <c r="A613" t="s">
        <v>625</v>
      </c>
      <c r="B613" s="2">
        <v>45323</v>
      </c>
      <c r="C613" s="2">
        <v>45323</v>
      </c>
      <c r="D613" t="s">
        <v>648</v>
      </c>
      <c r="E613" t="s">
        <v>660</v>
      </c>
      <c r="F613" t="s">
        <v>697</v>
      </c>
      <c r="G613" t="s">
        <v>704</v>
      </c>
      <c r="H613" s="9" t="s">
        <v>710</v>
      </c>
      <c r="I613" s="9" t="s">
        <v>722</v>
      </c>
      <c r="J613" s="9" t="s">
        <v>728</v>
      </c>
      <c r="K613" t="s">
        <v>1343</v>
      </c>
      <c r="L613" s="7">
        <v>714.43</v>
      </c>
      <c r="M613" s="7">
        <v>1595.52</v>
      </c>
      <c r="N613" s="5">
        <v>0.19400000000000001</v>
      </c>
      <c r="O613">
        <v>14</v>
      </c>
      <c r="P613" s="2">
        <f t="shared" si="81"/>
        <v>45323</v>
      </c>
      <c r="Q613" t="str">
        <f t="shared" si="82"/>
        <v>Ok</v>
      </c>
      <c r="R613">
        <f>ABS(Table2[[#This Row],[UnitPrice]])</f>
        <v>1595.52</v>
      </c>
      <c r="S613">
        <f t="shared" si="83"/>
        <v>0</v>
      </c>
      <c r="T613" s="12">
        <f t="shared" si="84"/>
        <v>18003.847679999999</v>
      </c>
      <c r="U613">
        <f>Table2[[#This Row],[UnitCost]]*Table2[[#This Row],[Quantity]]</f>
        <v>10002.019999999999</v>
      </c>
      <c r="V613" s="13">
        <f t="shared" si="85"/>
        <v>8001.8276800000003</v>
      </c>
      <c r="W613" s="5">
        <f t="shared" si="86"/>
        <v>0.44445097638151093</v>
      </c>
      <c r="X613" s="17" t="str">
        <f t="shared" si="87"/>
        <v>Feb-2024</v>
      </c>
      <c r="Z613" t="str">
        <f t="shared" si="88"/>
        <v>Americas. USA. Austin</v>
      </c>
      <c r="AA613" t="str">
        <f t="shared" si="89"/>
        <v>High</v>
      </c>
      <c r="AB613" t="str">
        <f t="array" ref="AB613">TEXT(MIN(IF($E$2:$E$633=E613, $B$2:$B$633)), "YYYY-MM")</f>
        <v>2023-01</v>
      </c>
      <c r="AC613" s="13">
        <f>SUM($T$2:T613)</f>
        <v>10497543.319919994</v>
      </c>
    </row>
    <row r="614" spans="1:29" x14ac:dyDescent="0.45">
      <c r="A614" t="s">
        <v>626</v>
      </c>
      <c r="B614" s="2">
        <v>45584</v>
      </c>
      <c r="C614" s="2">
        <v>45602</v>
      </c>
      <c r="D614" t="s">
        <v>648</v>
      </c>
      <c r="E614" t="s">
        <v>660</v>
      </c>
      <c r="F614" t="s">
        <v>677</v>
      </c>
      <c r="G614" t="s">
        <v>702</v>
      </c>
      <c r="H614" s="9" t="s">
        <v>1422</v>
      </c>
      <c r="I614" s="9" t="s">
        <v>712</v>
      </c>
      <c r="J614" s="9" t="s">
        <v>732</v>
      </c>
      <c r="K614" t="s">
        <v>1344</v>
      </c>
      <c r="L614" s="7">
        <v>942.02</v>
      </c>
      <c r="M614" s="7">
        <v>1028.46</v>
      </c>
      <c r="N614" s="5">
        <v>0</v>
      </c>
      <c r="O614">
        <v>9</v>
      </c>
      <c r="P614" s="2">
        <f t="shared" si="81"/>
        <v>45602</v>
      </c>
      <c r="Q614" t="str">
        <f t="shared" si="82"/>
        <v>Ok</v>
      </c>
      <c r="R614">
        <f>ABS(Table2[[#This Row],[UnitPrice]])</f>
        <v>1028.46</v>
      </c>
      <c r="S614">
        <f t="shared" si="83"/>
        <v>18</v>
      </c>
      <c r="T614" s="12">
        <f t="shared" si="84"/>
        <v>9256.14</v>
      </c>
      <c r="U614">
        <f>Table2[[#This Row],[UnitCost]]*Table2[[#This Row],[Quantity]]</f>
        <v>8478.18</v>
      </c>
      <c r="V614" s="13">
        <f t="shared" si="85"/>
        <v>777.95999999999913</v>
      </c>
      <c r="W614" s="5">
        <f t="shared" si="86"/>
        <v>8.4047994088248354E-2</v>
      </c>
      <c r="X614" s="17" t="str">
        <f t="shared" si="87"/>
        <v>Oct-2024</v>
      </c>
      <c r="Z614" t="str">
        <f t="shared" si="88"/>
        <v>Americas. USA. Chicago</v>
      </c>
      <c r="AA614" t="str">
        <f t="shared" si="89"/>
        <v>Low</v>
      </c>
      <c r="AB614" t="str">
        <f t="array" ref="AB614">TEXT(MIN(IF($E$2:$E$633=E614, $B$2:$B$633)), "YYYY-MM")</f>
        <v>2023-01</v>
      </c>
      <c r="AC614" s="13">
        <f>SUM($T$2:T614)</f>
        <v>10506799.459919995</v>
      </c>
    </row>
    <row r="615" spans="1:29" x14ac:dyDescent="0.45">
      <c r="A615" t="s">
        <v>627</v>
      </c>
      <c r="B615" s="2">
        <v>45468</v>
      </c>
      <c r="C615" s="2">
        <v>45473</v>
      </c>
      <c r="D615" t="s">
        <v>646</v>
      </c>
      <c r="E615" t="s">
        <v>650</v>
      </c>
      <c r="F615" t="s">
        <v>662</v>
      </c>
      <c r="G615" t="s">
        <v>702</v>
      </c>
      <c r="H615" s="9" t="s">
        <v>711</v>
      </c>
      <c r="I615" s="9" t="s">
        <v>724</v>
      </c>
      <c r="J615" s="9" t="s">
        <v>729</v>
      </c>
      <c r="K615" t="s">
        <v>1345</v>
      </c>
      <c r="L615" s="7">
        <v>1323.55</v>
      </c>
      <c r="M615" s="7">
        <v>3230.35</v>
      </c>
      <c r="N615" s="5">
        <v>2.1999999999999999E-2</v>
      </c>
      <c r="O615">
        <v>26</v>
      </c>
      <c r="P615" s="2">
        <f t="shared" si="81"/>
        <v>45473</v>
      </c>
      <c r="Q615" t="str">
        <f t="shared" si="82"/>
        <v>Ok</v>
      </c>
      <c r="R615">
        <f>ABS(Table2[[#This Row],[UnitPrice]])</f>
        <v>3230.35</v>
      </c>
      <c r="S615">
        <f t="shared" si="83"/>
        <v>5</v>
      </c>
      <c r="T615" s="12">
        <f t="shared" si="84"/>
        <v>82141.339799999987</v>
      </c>
      <c r="U615">
        <f>Table2[[#This Row],[UnitCost]]*Table2[[#This Row],[Quantity]]</f>
        <v>34412.299999999996</v>
      </c>
      <c r="V615" s="13">
        <f t="shared" si="85"/>
        <v>47729.039799999991</v>
      </c>
      <c r="W615" s="5">
        <f t="shared" si="86"/>
        <v>0.58105991351263542</v>
      </c>
      <c r="X615" s="17" t="str">
        <f t="shared" si="87"/>
        <v>Jun-2024</v>
      </c>
      <c r="Z615" t="str">
        <f t="shared" si="88"/>
        <v>Africa. Kenya. Kisumu</v>
      </c>
      <c r="AA615" t="str">
        <f t="shared" si="89"/>
        <v>High</v>
      </c>
      <c r="AB615" t="str">
        <f t="array" ref="AB615">TEXT(MIN(IF($E$2:$E$633=E615, $B$2:$B$633)), "YYYY-MM")</f>
        <v>2023-01</v>
      </c>
      <c r="AC615" s="13">
        <f>SUM($T$2:T615)</f>
        <v>10588940.799719995</v>
      </c>
    </row>
    <row r="616" spans="1:29" x14ac:dyDescent="0.45">
      <c r="A616" t="s">
        <v>628</v>
      </c>
      <c r="B616" s="2">
        <v>45137</v>
      </c>
      <c r="C616" s="2">
        <v>45157</v>
      </c>
      <c r="D616" t="s">
        <v>649</v>
      </c>
      <c r="E616" t="s">
        <v>657</v>
      </c>
      <c r="F616" t="s">
        <v>690</v>
      </c>
      <c r="G616" t="s">
        <v>706</v>
      </c>
      <c r="H616" s="9" t="s">
        <v>709</v>
      </c>
      <c r="I616" s="9" t="s">
        <v>715</v>
      </c>
      <c r="J616" s="9" t="s">
        <v>729</v>
      </c>
      <c r="K616" t="s">
        <v>1346</v>
      </c>
      <c r="L616" s="7">
        <v>1418.51</v>
      </c>
      <c r="M616" s="7">
        <v>2789.61</v>
      </c>
      <c r="N616" s="5">
        <v>0.17100000000000001</v>
      </c>
      <c r="O616">
        <v>8</v>
      </c>
      <c r="P616" s="2">
        <f t="shared" si="81"/>
        <v>45157</v>
      </c>
      <c r="Q616" t="str">
        <f t="shared" si="82"/>
        <v>Ok</v>
      </c>
      <c r="R616">
        <f>ABS(Table2[[#This Row],[UnitPrice]])</f>
        <v>2789.61</v>
      </c>
      <c r="S616">
        <f t="shared" si="83"/>
        <v>20</v>
      </c>
      <c r="T616" s="12">
        <f t="shared" si="84"/>
        <v>18500.693520000001</v>
      </c>
      <c r="U616">
        <f>Table2[[#This Row],[UnitCost]]*Table2[[#This Row],[Quantity]]</f>
        <v>11348.08</v>
      </c>
      <c r="V616" s="13">
        <f t="shared" si="85"/>
        <v>7152.6135200000008</v>
      </c>
      <c r="W616" s="5">
        <f t="shared" si="86"/>
        <v>0.38661326464695689</v>
      </c>
      <c r="X616" s="17" t="str">
        <f t="shared" si="87"/>
        <v>Jul-2023</v>
      </c>
      <c r="Z616" t="str">
        <f t="shared" si="88"/>
        <v>Europe. France. Paris</v>
      </c>
      <c r="AA616" t="str">
        <f t="shared" si="89"/>
        <v>High</v>
      </c>
      <c r="AB616" t="str">
        <f t="array" ref="AB616">TEXT(MIN(IF($E$2:$E$633=E616, $B$2:$B$633)), "YYYY-MM")</f>
        <v>2023-01</v>
      </c>
      <c r="AC616" s="13">
        <f>SUM($T$2:T616)</f>
        <v>10607441.493239995</v>
      </c>
    </row>
    <row r="617" spans="1:29" x14ac:dyDescent="0.45">
      <c r="A617" t="s">
        <v>629</v>
      </c>
      <c r="B617" s="2">
        <v>45727</v>
      </c>
      <c r="C617" s="2">
        <v>45743</v>
      </c>
      <c r="D617" t="s">
        <v>647</v>
      </c>
      <c r="E617" t="s">
        <v>652</v>
      </c>
      <c r="F617" t="s">
        <v>689</v>
      </c>
      <c r="G617" t="s">
        <v>706</v>
      </c>
      <c r="H617" s="9" t="s">
        <v>710</v>
      </c>
      <c r="I617" s="9" t="s">
        <v>717</v>
      </c>
      <c r="J617" s="9" t="s">
        <v>728</v>
      </c>
      <c r="K617" t="s">
        <v>1347</v>
      </c>
      <c r="L617" s="7">
        <v>1317.58</v>
      </c>
      <c r="M617" s="7">
        <v>1897.74</v>
      </c>
      <c r="N617" s="5">
        <v>8.1000000000000003E-2</v>
      </c>
      <c r="O617">
        <v>6</v>
      </c>
      <c r="P617" s="2">
        <f t="shared" si="81"/>
        <v>45743</v>
      </c>
      <c r="Q617" t="str">
        <f t="shared" si="82"/>
        <v>Ok</v>
      </c>
      <c r="R617">
        <f>ABS(Table2[[#This Row],[UnitPrice]])</f>
        <v>1897.74</v>
      </c>
      <c r="S617">
        <f t="shared" si="83"/>
        <v>16</v>
      </c>
      <c r="T617" s="12">
        <f t="shared" si="84"/>
        <v>10464.138360000001</v>
      </c>
      <c r="U617">
        <f>Table2[[#This Row],[UnitCost]]*Table2[[#This Row],[Quantity]]</f>
        <v>7905.48</v>
      </c>
      <c r="V617" s="13">
        <f t="shared" si="85"/>
        <v>2558.6583600000013</v>
      </c>
      <c r="W617" s="5">
        <f t="shared" si="86"/>
        <v>0.24451687009230266</v>
      </c>
      <c r="X617" s="17" t="str">
        <f t="shared" si="87"/>
        <v>Mar-2025</v>
      </c>
      <c r="Z617" t="str">
        <f t="shared" si="88"/>
        <v>Asia. Japan. Tokyo</v>
      </c>
      <c r="AA617" t="str">
        <f t="shared" si="89"/>
        <v>High</v>
      </c>
      <c r="AB617" t="str">
        <f t="array" ref="AB617">TEXT(MIN(IF($E$2:$E$633=E617, $B$2:$B$633)), "YYYY-MM")</f>
        <v>2023-03</v>
      </c>
      <c r="AC617" s="13">
        <f>SUM($T$2:T617)</f>
        <v>10617905.631599994</v>
      </c>
    </row>
    <row r="618" spans="1:29" x14ac:dyDescent="0.45">
      <c r="A618" t="s">
        <v>630</v>
      </c>
      <c r="B618" s="2">
        <v>45208</v>
      </c>
      <c r="C618" s="2">
        <v>45210</v>
      </c>
      <c r="D618" t="s">
        <v>646</v>
      </c>
      <c r="E618" t="s">
        <v>651</v>
      </c>
      <c r="F618" t="s">
        <v>663</v>
      </c>
      <c r="G618" t="s">
        <v>702</v>
      </c>
      <c r="H618" s="9" t="s">
        <v>709</v>
      </c>
      <c r="I618" s="9" t="s">
        <v>723</v>
      </c>
      <c r="J618" s="9" t="s">
        <v>729</v>
      </c>
      <c r="K618" t="s">
        <v>1348</v>
      </c>
      <c r="L618" s="7">
        <v>391.16</v>
      </c>
      <c r="M618" s="7">
        <v>902.47</v>
      </c>
      <c r="N618" s="5">
        <v>4.0000000000000001E-3</v>
      </c>
      <c r="O618">
        <v>12</v>
      </c>
      <c r="P618" s="2">
        <f t="shared" si="81"/>
        <v>45210</v>
      </c>
      <c r="Q618" t="str">
        <f t="shared" si="82"/>
        <v>Ok</v>
      </c>
      <c r="R618">
        <f>ABS(Table2[[#This Row],[UnitPrice]])</f>
        <v>902.47</v>
      </c>
      <c r="S618">
        <f t="shared" si="83"/>
        <v>2</v>
      </c>
      <c r="T618" s="12">
        <f t="shared" si="84"/>
        <v>10786.32144</v>
      </c>
      <c r="U618">
        <f>Table2[[#This Row],[UnitCost]]*Table2[[#This Row],[Quantity]]</f>
        <v>4693.92</v>
      </c>
      <c r="V618" s="13">
        <f t="shared" si="85"/>
        <v>6092.4014399999996</v>
      </c>
      <c r="W618" s="5">
        <f t="shared" si="86"/>
        <v>0.56482661618139207</v>
      </c>
      <c r="X618" s="17" t="str">
        <f t="shared" si="87"/>
        <v>Oct-2023</v>
      </c>
      <c r="Z618" t="str">
        <f t="shared" si="88"/>
        <v>Africa. Nigeria. Port Harcourt</v>
      </c>
      <c r="AA618" t="str">
        <f t="shared" si="89"/>
        <v>Low</v>
      </c>
      <c r="AB618" t="str">
        <f t="array" ref="AB618">TEXT(MIN(IF($E$2:$E$633=E618, $B$2:$B$633)), "YYYY-MM")</f>
        <v>2023-01</v>
      </c>
      <c r="AC618" s="13">
        <f>SUM($T$2:T618)</f>
        <v>10628691.953039994</v>
      </c>
    </row>
    <row r="619" spans="1:29" x14ac:dyDescent="0.45">
      <c r="A619" t="s">
        <v>631</v>
      </c>
      <c r="B619" s="2">
        <v>45643</v>
      </c>
      <c r="C619" s="2">
        <v>45673</v>
      </c>
      <c r="D619" t="s">
        <v>649</v>
      </c>
      <c r="E619" t="s">
        <v>658</v>
      </c>
      <c r="F619" t="s">
        <v>693</v>
      </c>
      <c r="G619" t="s">
        <v>701</v>
      </c>
      <c r="H619" s="9" t="s">
        <v>707</v>
      </c>
      <c r="I619" s="9" t="s">
        <v>726</v>
      </c>
      <c r="J619" s="9" t="s">
        <v>732</v>
      </c>
      <c r="K619" t="s">
        <v>1349</v>
      </c>
      <c r="L619" s="7">
        <v>722.87</v>
      </c>
      <c r="M619" s="7">
        <v>-33.659999999999997</v>
      </c>
      <c r="N619" s="5">
        <v>0.10199999999999999</v>
      </c>
      <c r="O619">
        <v>28</v>
      </c>
      <c r="P619" s="2">
        <f t="shared" si="81"/>
        <v>45673</v>
      </c>
      <c r="Q619" t="str">
        <f t="shared" si="82"/>
        <v>Invalid Price</v>
      </c>
      <c r="R619">
        <f>ABS(Table2[[#This Row],[UnitPrice]])</f>
        <v>33.659999999999997</v>
      </c>
      <c r="S619">
        <f t="shared" si="83"/>
        <v>30</v>
      </c>
      <c r="T619" s="12">
        <f t="shared" si="84"/>
        <v>846.34703999999988</v>
      </c>
      <c r="U619">
        <f>Table2[[#This Row],[UnitCost]]*Table2[[#This Row],[Quantity]]</f>
        <v>20240.36</v>
      </c>
      <c r="V619" s="13">
        <f t="shared" si="85"/>
        <v>-19394.01296</v>
      </c>
      <c r="W619" s="5">
        <f t="shared" si="86"/>
        <v>-22.914965189693348</v>
      </c>
      <c r="X619" s="17" t="str">
        <f t="shared" si="87"/>
        <v>Dec-2024</v>
      </c>
      <c r="Z619" t="str">
        <f t="shared" si="88"/>
        <v>Europe. United Kingdom. Manchester</v>
      </c>
      <c r="AA619" t="str">
        <f t="shared" si="89"/>
        <v>Low</v>
      </c>
      <c r="AB619" t="str">
        <f t="array" ref="AB619">TEXT(MIN(IF($E$2:$E$633=E619, $B$2:$B$633)), "YYYY-MM")</f>
        <v>2023-01</v>
      </c>
      <c r="AC619" s="13">
        <f>SUM($T$2:T619)</f>
        <v>10629538.300079994</v>
      </c>
    </row>
    <row r="620" spans="1:29" x14ac:dyDescent="0.45">
      <c r="A620" t="s">
        <v>632</v>
      </c>
      <c r="B620" s="2">
        <v>45849</v>
      </c>
      <c r="C620" s="2">
        <v>45854</v>
      </c>
      <c r="D620" t="s">
        <v>649</v>
      </c>
      <c r="E620" t="s">
        <v>658</v>
      </c>
      <c r="F620" t="s">
        <v>683</v>
      </c>
      <c r="G620" t="s">
        <v>706</v>
      </c>
      <c r="H620" s="9" t="s">
        <v>708</v>
      </c>
      <c r="I620" s="9" t="s">
        <v>723</v>
      </c>
      <c r="J620" s="9" t="s">
        <v>728</v>
      </c>
      <c r="K620" t="s">
        <v>1350</v>
      </c>
      <c r="L620" s="7">
        <v>930.03</v>
      </c>
      <c r="M620" s="7">
        <v>1086.68</v>
      </c>
      <c r="N620" s="5">
        <v>0.109</v>
      </c>
      <c r="O620">
        <v>26</v>
      </c>
      <c r="P620" s="2">
        <f t="shared" si="81"/>
        <v>45854</v>
      </c>
      <c r="Q620" t="str">
        <f t="shared" si="82"/>
        <v>Ok</v>
      </c>
      <c r="R620">
        <f>ABS(Table2[[#This Row],[UnitPrice]])</f>
        <v>1086.68</v>
      </c>
      <c r="S620">
        <f t="shared" si="83"/>
        <v>5</v>
      </c>
      <c r="T620" s="12">
        <f t="shared" si="84"/>
        <v>25174.028880000002</v>
      </c>
      <c r="U620">
        <f>Table2[[#This Row],[UnitCost]]*Table2[[#This Row],[Quantity]]</f>
        <v>24180.78</v>
      </c>
      <c r="V620" s="13">
        <f t="shared" si="85"/>
        <v>993.24888000000283</v>
      </c>
      <c r="W620" s="5">
        <f t="shared" si="86"/>
        <v>3.9455300728168656E-2</v>
      </c>
      <c r="X620" s="17" t="str">
        <f t="shared" si="87"/>
        <v>Jul-2025</v>
      </c>
      <c r="Z620" t="str">
        <f t="shared" si="88"/>
        <v>Europe. United Kingdom. London</v>
      </c>
      <c r="AA620" t="str">
        <f t="shared" si="89"/>
        <v>Low</v>
      </c>
      <c r="AB620" t="str">
        <f t="array" ref="AB620">TEXT(MIN(IF($E$2:$E$633=E620, $B$2:$B$633)), "YYYY-MM")</f>
        <v>2023-01</v>
      </c>
      <c r="AC620" s="13">
        <f>SUM($T$2:T620)</f>
        <v>10654712.328959994</v>
      </c>
    </row>
    <row r="621" spans="1:29" x14ac:dyDescent="0.45">
      <c r="A621" t="s">
        <v>633</v>
      </c>
      <c r="B621" s="2">
        <v>45578</v>
      </c>
      <c r="C621" s="2">
        <v>45589</v>
      </c>
      <c r="D621" t="s">
        <v>649</v>
      </c>
      <c r="E621" t="s">
        <v>657</v>
      </c>
      <c r="F621" t="s">
        <v>690</v>
      </c>
      <c r="G621" t="s">
        <v>702</v>
      </c>
      <c r="H621" s="9" t="s">
        <v>710</v>
      </c>
      <c r="I621" s="9" t="s">
        <v>721</v>
      </c>
      <c r="J621" s="9" t="s">
        <v>727</v>
      </c>
      <c r="K621" t="s">
        <v>1351</v>
      </c>
      <c r="L621" s="7">
        <v>816.7</v>
      </c>
      <c r="M621" s="7">
        <v>1010.75</v>
      </c>
      <c r="N621" s="5">
        <v>4.7E-2</v>
      </c>
      <c r="O621">
        <v>43</v>
      </c>
      <c r="P621" s="2">
        <f t="shared" si="81"/>
        <v>45589</v>
      </c>
      <c r="Q621" t="str">
        <f t="shared" si="82"/>
        <v>Ok</v>
      </c>
      <c r="R621">
        <f>ABS(Table2[[#This Row],[UnitPrice]])</f>
        <v>1010.75</v>
      </c>
      <c r="S621">
        <f t="shared" si="83"/>
        <v>11</v>
      </c>
      <c r="T621" s="12">
        <f t="shared" si="84"/>
        <v>41419.524249999995</v>
      </c>
      <c r="U621">
        <f>Table2[[#This Row],[UnitCost]]*Table2[[#This Row],[Quantity]]</f>
        <v>35118.1</v>
      </c>
      <c r="V621" s="13">
        <f t="shared" si="85"/>
        <v>6301.4242499999964</v>
      </c>
      <c r="W621" s="5">
        <f t="shared" si="86"/>
        <v>0.15213656757537472</v>
      </c>
      <c r="X621" s="17" t="str">
        <f t="shared" si="87"/>
        <v>Oct-2024</v>
      </c>
      <c r="Z621" t="str">
        <f t="shared" si="88"/>
        <v>Europe. France. Paris</v>
      </c>
      <c r="AA621" t="str">
        <f t="shared" si="89"/>
        <v>Low</v>
      </c>
      <c r="AB621" t="str">
        <f t="array" ref="AB621">TEXT(MIN(IF($E$2:$E$633=E621, $B$2:$B$633)), "YYYY-MM")</f>
        <v>2023-01</v>
      </c>
      <c r="AC621" s="13">
        <f>SUM($T$2:T621)</f>
        <v>10696131.853209995</v>
      </c>
    </row>
    <row r="622" spans="1:29" x14ac:dyDescent="0.45">
      <c r="A622" t="s">
        <v>634</v>
      </c>
      <c r="B622" s="2">
        <v>45177</v>
      </c>
      <c r="C622" s="2">
        <v>45183</v>
      </c>
      <c r="D622" t="s">
        <v>646</v>
      </c>
      <c r="E622" t="s">
        <v>650</v>
      </c>
      <c r="F622" t="s">
        <v>678</v>
      </c>
      <c r="G622" t="s">
        <v>702</v>
      </c>
      <c r="H622" s="9" t="s">
        <v>711</v>
      </c>
      <c r="I622" s="9" t="s">
        <v>714</v>
      </c>
      <c r="J622" s="9" t="s">
        <v>733</v>
      </c>
      <c r="K622" t="s">
        <v>1352</v>
      </c>
      <c r="L622" s="7">
        <v>251.03</v>
      </c>
      <c r="M622" s="7">
        <v>411.48</v>
      </c>
      <c r="N622" s="5">
        <v>0.16500000000000001</v>
      </c>
      <c r="O622">
        <v>3</v>
      </c>
      <c r="P622" s="2">
        <f t="shared" si="81"/>
        <v>45183</v>
      </c>
      <c r="Q622" t="str">
        <f t="shared" si="82"/>
        <v>Ok</v>
      </c>
      <c r="R622">
        <f>ABS(Table2[[#This Row],[UnitPrice]])</f>
        <v>411.48</v>
      </c>
      <c r="S622">
        <f t="shared" si="83"/>
        <v>6</v>
      </c>
      <c r="T622" s="12">
        <f t="shared" si="84"/>
        <v>1030.7574</v>
      </c>
      <c r="U622">
        <f>Table2[[#This Row],[UnitCost]]*Table2[[#This Row],[Quantity]]</f>
        <v>753.09</v>
      </c>
      <c r="V622" s="13">
        <f t="shared" si="85"/>
        <v>277.66739999999993</v>
      </c>
      <c r="W622" s="5">
        <f t="shared" si="86"/>
        <v>0.26938191275658069</v>
      </c>
      <c r="X622" s="17" t="str">
        <f t="shared" si="87"/>
        <v>Sep-2023</v>
      </c>
      <c r="Z622" t="str">
        <f t="shared" si="88"/>
        <v>Africa. Kenya. Nakuru</v>
      </c>
      <c r="AA622" t="str">
        <f t="shared" si="89"/>
        <v>Low</v>
      </c>
      <c r="AB622" t="str">
        <f t="array" ref="AB622">TEXT(MIN(IF($E$2:$E$633=E622, $B$2:$B$633)), "YYYY-MM")</f>
        <v>2023-01</v>
      </c>
      <c r="AC622" s="13">
        <f>SUM($T$2:T622)</f>
        <v>10697162.610609995</v>
      </c>
    </row>
    <row r="623" spans="1:29" x14ac:dyDescent="0.45">
      <c r="A623" t="s">
        <v>635</v>
      </c>
      <c r="B623" s="2">
        <v>45764</v>
      </c>
      <c r="C623" s="2">
        <v>45780</v>
      </c>
      <c r="D623" t="s">
        <v>648</v>
      </c>
      <c r="E623" t="s">
        <v>655</v>
      </c>
      <c r="F623" t="s">
        <v>692</v>
      </c>
      <c r="G623" t="s">
        <v>704</v>
      </c>
      <c r="H623" s="9" t="s">
        <v>709</v>
      </c>
      <c r="I623" s="9" t="s">
        <v>713</v>
      </c>
      <c r="J623" s="9" t="s">
        <v>729</v>
      </c>
      <c r="K623" t="s">
        <v>1353</v>
      </c>
      <c r="L623" s="7">
        <v>168.68</v>
      </c>
      <c r="M623" s="7">
        <v>413.34</v>
      </c>
      <c r="N623" s="5">
        <v>0.186</v>
      </c>
      <c r="O623">
        <v>7</v>
      </c>
      <c r="P623" s="2">
        <f t="shared" si="81"/>
        <v>45780</v>
      </c>
      <c r="Q623" t="str">
        <f t="shared" si="82"/>
        <v>Ok</v>
      </c>
      <c r="R623">
        <f>ABS(Table2[[#This Row],[UnitPrice]])</f>
        <v>413.34</v>
      </c>
      <c r="S623">
        <f t="shared" si="83"/>
        <v>16</v>
      </c>
      <c r="T623" s="12">
        <f t="shared" si="84"/>
        <v>2355.2113199999999</v>
      </c>
      <c r="U623">
        <f>Table2[[#This Row],[UnitCost]]*Table2[[#This Row],[Quantity]]</f>
        <v>1180.76</v>
      </c>
      <c r="V623" s="13">
        <f t="shared" si="85"/>
        <v>1174.4513199999999</v>
      </c>
      <c r="W623" s="5">
        <f t="shared" si="86"/>
        <v>0.49866069767361682</v>
      </c>
      <c r="X623" s="17" t="str">
        <f t="shared" si="87"/>
        <v>Apr-2025</v>
      </c>
      <c r="Z623" t="str">
        <f t="shared" si="88"/>
        <v>Americas. Brazil. Rio de Janeiro</v>
      </c>
      <c r="AA623" t="str">
        <f t="shared" si="89"/>
        <v>Low</v>
      </c>
      <c r="AB623" t="str">
        <f t="array" ref="AB623">TEXT(MIN(IF($E$2:$E$633=E623, $B$2:$B$633)), "YYYY-MM")</f>
        <v>2023-01</v>
      </c>
      <c r="AC623" s="13">
        <f>SUM($T$2:T623)</f>
        <v>10699517.821929995</v>
      </c>
    </row>
    <row r="624" spans="1:29" x14ac:dyDescent="0.45">
      <c r="A624" t="s">
        <v>636</v>
      </c>
      <c r="B624" s="2">
        <v>45501</v>
      </c>
      <c r="C624" s="2">
        <v>45527</v>
      </c>
      <c r="D624" t="s">
        <v>647</v>
      </c>
      <c r="E624" t="s">
        <v>654</v>
      </c>
      <c r="F624" t="s">
        <v>696</v>
      </c>
      <c r="G624" t="s">
        <v>701</v>
      </c>
      <c r="H624" s="9" t="s">
        <v>707</v>
      </c>
      <c r="I624" s="9" t="s">
        <v>713</v>
      </c>
      <c r="J624" s="9" t="s">
        <v>729</v>
      </c>
      <c r="K624" t="s">
        <v>1354</v>
      </c>
      <c r="L624" s="7">
        <v>1339.24</v>
      </c>
      <c r="M624" s="7">
        <v>1558.89</v>
      </c>
      <c r="N624" s="5">
        <v>0.192</v>
      </c>
      <c r="O624">
        <v>24</v>
      </c>
      <c r="P624" s="2">
        <f t="shared" si="81"/>
        <v>45527</v>
      </c>
      <c r="Q624" t="str">
        <f t="shared" si="82"/>
        <v>Ok</v>
      </c>
      <c r="R624">
        <f>ABS(Table2[[#This Row],[UnitPrice]])</f>
        <v>1558.89</v>
      </c>
      <c r="S624">
        <f t="shared" si="83"/>
        <v>26</v>
      </c>
      <c r="T624" s="12">
        <f t="shared" si="84"/>
        <v>30229.994880000002</v>
      </c>
      <c r="U624">
        <f>Table2[[#This Row],[UnitCost]]*Table2[[#This Row],[Quantity]]</f>
        <v>32141.760000000002</v>
      </c>
      <c r="V624" s="13">
        <f t="shared" si="85"/>
        <v>-1911.76512</v>
      </c>
      <c r="W624" s="5">
        <f t="shared" si="86"/>
        <v>-6.3240669659021781E-2</v>
      </c>
      <c r="X624" s="17" t="str">
        <f t="shared" si="87"/>
        <v>Jul-2024</v>
      </c>
      <c r="Z624" t="str">
        <f t="shared" si="88"/>
        <v>Asia. India. Hyderabad</v>
      </c>
      <c r="AA624" t="str">
        <f t="shared" si="89"/>
        <v>High</v>
      </c>
      <c r="AB624" t="str">
        <f t="array" ref="AB624">TEXT(MIN(IF($E$2:$E$633=E624, $B$2:$B$633)), "YYYY-MM")</f>
        <v>2023-01</v>
      </c>
      <c r="AC624" s="13">
        <f>SUM($T$2:T624)</f>
        <v>10729747.816809995</v>
      </c>
    </row>
    <row r="625" spans="1:29" x14ac:dyDescent="0.45">
      <c r="A625" t="s">
        <v>637</v>
      </c>
      <c r="B625" s="2">
        <v>45857</v>
      </c>
      <c r="C625" s="2">
        <v>45869</v>
      </c>
      <c r="D625" t="s">
        <v>646</v>
      </c>
      <c r="E625" t="s">
        <v>650</v>
      </c>
      <c r="F625" t="s">
        <v>664</v>
      </c>
      <c r="G625" t="s">
        <v>705</v>
      </c>
      <c r="H625" s="9" t="s">
        <v>709</v>
      </c>
      <c r="I625" s="9" t="s">
        <v>719</v>
      </c>
      <c r="J625" s="9" t="s">
        <v>733</v>
      </c>
      <c r="K625" t="s">
        <v>1355</v>
      </c>
      <c r="L625" s="7">
        <v>619.64</v>
      </c>
      <c r="M625" s="7">
        <v>861.16</v>
      </c>
      <c r="N625" s="5">
        <v>0.113</v>
      </c>
      <c r="O625">
        <v>14</v>
      </c>
      <c r="P625" s="2">
        <f t="shared" si="81"/>
        <v>45869</v>
      </c>
      <c r="Q625" t="str">
        <f t="shared" si="82"/>
        <v>Ok</v>
      </c>
      <c r="R625">
        <f>ABS(Table2[[#This Row],[UnitPrice]])</f>
        <v>861.16</v>
      </c>
      <c r="S625">
        <f t="shared" si="83"/>
        <v>12</v>
      </c>
      <c r="T625" s="12">
        <f t="shared" si="84"/>
        <v>10693.88488</v>
      </c>
      <c r="U625">
        <f>Table2[[#This Row],[UnitCost]]*Table2[[#This Row],[Quantity]]</f>
        <v>8674.9599999999991</v>
      </c>
      <c r="V625" s="13">
        <f t="shared" si="85"/>
        <v>2018.9248800000005</v>
      </c>
      <c r="W625" s="5">
        <f t="shared" si="86"/>
        <v>0.18879246435276761</v>
      </c>
      <c r="X625" s="17" t="str">
        <f t="shared" si="87"/>
        <v>Jul-2025</v>
      </c>
      <c r="Z625" t="str">
        <f t="shared" si="88"/>
        <v>Africa. Kenya. Nairobi</v>
      </c>
      <c r="AA625" t="str">
        <f t="shared" si="89"/>
        <v>Low</v>
      </c>
      <c r="AB625" t="str">
        <f t="array" ref="AB625">TEXT(MIN(IF($E$2:$E$633=E625, $B$2:$B$633)), "YYYY-MM")</f>
        <v>2023-01</v>
      </c>
      <c r="AC625" s="13">
        <f>SUM($T$2:T625)</f>
        <v>10740441.701689996</v>
      </c>
    </row>
    <row r="626" spans="1:29" x14ac:dyDescent="0.45">
      <c r="A626" t="s">
        <v>638</v>
      </c>
      <c r="B626" s="2">
        <v>45141</v>
      </c>
      <c r="C626" s="2">
        <v>45140</v>
      </c>
      <c r="D626" t="s">
        <v>647</v>
      </c>
      <c r="E626" t="s">
        <v>659</v>
      </c>
      <c r="F626" t="s">
        <v>685</v>
      </c>
      <c r="G626" t="s">
        <v>703</v>
      </c>
      <c r="H626" s="9" t="s">
        <v>711</v>
      </c>
      <c r="I626" s="9" t="s">
        <v>713</v>
      </c>
      <c r="J626" s="9" t="s">
        <v>729</v>
      </c>
      <c r="K626" t="s">
        <v>1356</v>
      </c>
      <c r="L626" s="7">
        <v>1021.97</v>
      </c>
      <c r="M626" s="7">
        <v>2296.25</v>
      </c>
      <c r="N626" s="5">
        <v>0.161</v>
      </c>
      <c r="O626">
        <v>26</v>
      </c>
      <c r="P626" s="2">
        <f t="shared" si="81"/>
        <v>45148</v>
      </c>
      <c r="Q626" t="str">
        <f t="shared" si="82"/>
        <v>Ok</v>
      </c>
      <c r="R626">
        <f>ABS(Table2[[#This Row],[UnitPrice]])</f>
        <v>2296.25</v>
      </c>
      <c r="S626">
        <f t="shared" si="83"/>
        <v>7</v>
      </c>
      <c r="T626" s="12">
        <f t="shared" si="84"/>
        <v>50090.397499999999</v>
      </c>
      <c r="U626">
        <f>Table2[[#This Row],[UnitCost]]*Table2[[#This Row],[Quantity]]</f>
        <v>26571.22</v>
      </c>
      <c r="V626" s="13">
        <f t="shared" si="85"/>
        <v>23519.177499999998</v>
      </c>
      <c r="W626" s="5">
        <f t="shared" si="86"/>
        <v>0.46953465482081669</v>
      </c>
      <c r="X626" s="17" t="str">
        <f t="shared" si="87"/>
        <v>Aug-2023</v>
      </c>
      <c r="Z626" t="str">
        <f t="shared" si="88"/>
        <v>Asia. China. Shanghai</v>
      </c>
      <c r="AA626" t="str">
        <f t="shared" si="89"/>
        <v>High</v>
      </c>
      <c r="AB626" t="str">
        <f t="array" ref="AB626">TEXT(MIN(IF($E$2:$E$633=E626, $B$2:$B$633)), "YYYY-MM")</f>
        <v>2023-01</v>
      </c>
      <c r="AC626" s="13">
        <f>SUM($T$2:T626)</f>
        <v>10790532.099189997</v>
      </c>
    </row>
    <row r="627" spans="1:29" x14ac:dyDescent="0.45">
      <c r="A627" t="s">
        <v>639</v>
      </c>
      <c r="B627" s="2">
        <v>45249</v>
      </c>
      <c r="C627" s="2">
        <v>45272</v>
      </c>
      <c r="D627" t="s">
        <v>647</v>
      </c>
      <c r="E627" t="s">
        <v>654</v>
      </c>
      <c r="F627" t="s">
        <v>680</v>
      </c>
      <c r="G627" t="s">
        <v>705</v>
      </c>
      <c r="H627" s="9" t="s">
        <v>711</v>
      </c>
      <c r="I627" s="9" t="s">
        <v>712</v>
      </c>
      <c r="J627" s="9" t="s">
        <v>729</v>
      </c>
      <c r="K627" t="s">
        <v>1357</v>
      </c>
      <c r="L627" s="7">
        <v>1349.04</v>
      </c>
      <c r="M627" s="7">
        <v>2636.6</v>
      </c>
      <c r="N627" s="5">
        <v>0.114</v>
      </c>
      <c r="O627">
        <v>14</v>
      </c>
      <c r="P627" s="2">
        <f t="shared" si="81"/>
        <v>45272</v>
      </c>
      <c r="Q627" t="str">
        <f t="shared" si="82"/>
        <v>Ok</v>
      </c>
      <c r="R627">
        <f>ABS(Table2[[#This Row],[UnitPrice]])</f>
        <v>2636.6</v>
      </c>
      <c r="S627">
        <f t="shared" si="83"/>
        <v>23</v>
      </c>
      <c r="T627" s="12">
        <f t="shared" si="84"/>
        <v>32704.386400000003</v>
      </c>
      <c r="U627">
        <f>Table2[[#This Row],[UnitCost]]*Table2[[#This Row],[Quantity]]</f>
        <v>18886.559999999998</v>
      </c>
      <c r="V627" s="13">
        <f t="shared" si="85"/>
        <v>13817.826400000005</v>
      </c>
      <c r="W627" s="5">
        <f t="shared" si="86"/>
        <v>0.42250682312143928</v>
      </c>
      <c r="X627" s="17" t="str">
        <f t="shared" si="87"/>
        <v>Nov-2023</v>
      </c>
      <c r="Z627" t="str">
        <f t="shared" si="88"/>
        <v>Asia. India. Delhi</v>
      </c>
      <c r="AA627" t="str">
        <f t="shared" si="89"/>
        <v>High</v>
      </c>
      <c r="AB627" t="str">
        <f t="array" ref="AB627">TEXT(MIN(IF($E$2:$E$633=E627, $B$2:$B$633)), "YYYY-MM")</f>
        <v>2023-01</v>
      </c>
      <c r="AC627" s="13">
        <f>SUM($T$2:T627)</f>
        <v>10823236.485589996</v>
      </c>
    </row>
    <row r="628" spans="1:29" x14ac:dyDescent="0.45">
      <c r="A628" t="s">
        <v>640</v>
      </c>
      <c r="B628" s="2">
        <v>45282</v>
      </c>
      <c r="C628" s="2">
        <v>45307</v>
      </c>
      <c r="D628" t="s">
        <v>647</v>
      </c>
      <c r="E628" t="s">
        <v>654</v>
      </c>
      <c r="F628" t="s">
        <v>696</v>
      </c>
      <c r="G628" t="s">
        <v>705</v>
      </c>
      <c r="H628" s="9" t="s">
        <v>707</v>
      </c>
      <c r="I628" s="9" t="s">
        <v>720</v>
      </c>
      <c r="J628" s="9" t="s">
        <v>727</v>
      </c>
      <c r="K628" t="s">
        <v>1358</v>
      </c>
      <c r="L628" s="7">
        <v>1346.81</v>
      </c>
      <c r="M628" s="7">
        <v>978.09</v>
      </c>
      <c r="N628" s="5">
        <v>0.159</v>
      </c>
      <c r="O628">
        <v>17</v>
      </c>
      <c r="P628" s="2">
        <f t="shared" si="81"/>
        <v>45307</v>
      </c>
      <c r="Q628" t="str">
        <f t="shared" si="82"/>
        <v>Ok</v>
      </c>
      <c r="R628">
        <f>ABS(Table2[[#This Row],[UnitPrice]])</f>
        <v>978.09</v>
      </c>
      <c r="S628">
        <f t="shared" si="83"/>
        <v>25</v>
      </c>
      <c r="T628" s="12">
        <f t="shared" si="84"/>
        <v>13983.752729999998</v>
      </c>
      <c r="U628">
        <f>Table2[[#This Row],[UnitCost]]*Table2[[#This Row],[Quantity]]</f>
        <v>22895.77</v>
      </c>
      <c r="V628" s="13">
        <f t="shared" si="85"/>
        <v>-8912.0172700000021</v>
      </c>
      <c r="W628" s="5">
        <f t="shared" si="86"/>
        <v>-0.6373122753293996</v>
      </c>
      <c r="X628" s="17" t="str">
        <f t="shared" si="87"/>
        <v>Dec-2023</v>
      </c>
      <c r="Z628" t="str">
        <f t="shared" si="88"/>
        <v>Asia. India. Hyderabad</v>
      </c>
      <c r="AA628" t="str">
        <f t="shared" si="89"/>
        <v>Low</v>
      </c>
      <c r="AB628" t="str">
        <f t="array" ref="AB628">TEXT(MIN(IF($E$2:$E$633=E628, $B$2:$B$633)), "YYYY-MM")</f>
        <v>2023-01</v>
      </c>
      <c r="AC628" s="13">
        <f>SUM($T$2:T628)</f>
        <v>10837220.238319997</v>
      </c>
    </row>
    <row r="629" spans="1:29" x14ac:dyDescent="0.45">
      <c r="A629" t="s">
        <v>641</v>
      </c>
      <c r="B629" s="2">
        <v>45141</v>
      </c>
      <c r="C629" s="2">
        <v>45168</v>
      </c>
      <c r="D629" t="s">
        <v>647</v>
      </c>
      <c r="E629" t="s">
        <v>659</v>
      </c>
      <c r="F629" t="s">
        <v>685</v>
      </c>
      <c r="G629" t="s">
        <v>704</v>
      </c>
      <c r="H629" s="9" t="s">
        <v>710</v>
      </c>
      <c r="I629" s="9" t="s">
        <v>725</v>
      </c>
      <c r="J629" s="9" t="s">
        <v>732</v>
      </c>
      <c r="K629" t="s">
        <v>1359</v>
      </c>
      <c r="L629" s="7">
        <v>226.04</v>
      </c>
      <c r="M629" s="7">
        <v>545.72</v>
      </c>
      <c r="N629" s="5">
        <v>0.151</v>
      </c>
      <c r="O629">
        <v>11</v>
      </c>
      <c r="P629" s="2">
        <f t="shared" si="81"/>
        <v>45168</v>
      </c>
      <c r="Q629" t="str">
        <f t="shared" si="82"/>
        <v>Ok</v>
      </c>
      <c r="R629">
        <f>ABS(Table2[[#This Row],[UnitPrice]])</f>
        <v>545.72</v>
      </c>
      <c r="S629">
        <f t="shared" si="83"/>
        <v>27</v>
      </c>
      <c r="T629" s="12">
        <f t="shared" si="84"/>
        <v>5096.4790800000001</v>
      </c>
      <c r="U629">
        <f>Table2[[#This Row],[UnitCost]]*Table2[[#This Row],[Quantity]]</f>
        <v>2486.44</v>
      </c>
      <c r="V629" s="13">
        <f t="shared" si="85"/>
        <v>2610.03908</v>
      </c>
      <c r="W629" s="5">
        <f t="shared" si="86"/>
        <v>0.51212592831834014</v>
      </c>
      <c r="X629" s="17" t="str">
        <f t="shared" si="87"/>
        <v>Aug-2023</v>
      </c>
      <c r="Z629" t="str">
        <f t="shared" si="88"/>
        <v>Asia. China. Shanghai</v>
      </c>
      <c r="AA629" t="str">
        <f t="shared" si="89"/>
        <v>Low</v>
      </c>
      <c r="AB629" t="str">
        <f t="array" ref="AB629">TEXT(MIN(IF($E$2:$E$633=E629, $B$2:$B$633)), "YYYY-MM")</f>
        <v>2023-01</v>
      </c>
      <c r="AC629" s="13">
        <f>SUM($T$2:T629)</f>
        <v>10842316.717399998</v>
      </c>
    </row>
    <row r="630" spans="1:29" x14ac:dyDescent="0.45">
      <c r="A630" t="s">
        <v>642</v>
      </c>
      <c r="B630" s="2">
        <v>45100</v>
      </c>
      <c r="C630" s="2">
        <v>45125</v>
      </c>
      <c r="D630" t="s">
        <v>648</v>
      </c>
      <c r="E630" t="s">
        <v>653</v>
      </c>
      <c r="F630" t="s">
        <v>688</v>
      </c>
      <c r="G630" t="s">
        <v>706</v>
      </c>
      <c r="H630" s="9" t="s">
        <v>708</v>
      </c>
      <c r="I630" s="9" t="s">
        <v>725</v>
      </c>
      <c r="J630" s="9" t="s">
        <v>730</v>
      </c>
      <c r="K630" t="s">
        <v>1360</v>
      </c>
      <c r="L630" s="7">
        <v>807.02</v>
      </c>
      <c r="M630" s="7">
        <v>1435.54</v>
      </c>
      <c r="N630" s="5">
        <v>0</v>
      </c>
      <c r="O630">
        <v>23</v>
      </c>
      <c r="P630" s="2">
        <f t="shared" si="81"/>
        <v>45125</v>
      </c>
      <c r="Q630" t="str">
        <f t="shared" si="82"/>
        <v>Ok</v>
      </c>
      <c r="R630">
        <f>ABS(Table2[[#This Row],[UnitPrice]])</f>
        <v>1435.54</v>
      </c>
      <c r="S630">
        <f t="shared" si="83"/>
        <v>25</v>
      </c>
      <c r="T630" s="12">
        <f t="shared" si="84"/>
        <v>33017.42</v>
      </c>
      <c r="U630">
        <f>Table2[[#This Row],[UnitCost]]*Table2[[#This Row],[Quantity]]</f>
        <v>18561.46</v>
      </c>
      <c r="V630" s="13">
        <f t="shared" si="85"/>
        <v>14455.96</v>
      </c>
      <c r="W630" s="5">
        <f t="shared" si="86"/>
        <v>0.43782827368098415</v>
      </c>
      <c r="X630" s="17" t="str">
        <f t="shared" si="87"/>
        <v>Jun-2023</v>
      </c>
      <c r="Z630" t="str">
        <f t="shared" si="88"/>
        <v>Americas. Canada. Vancouver</v>
      </c>
      <c r="AA630" t="str">
        <f t="shared" si="89"/>
        <v>High</v>
      </c>
      <c r="AB630" t="str">
        <f t="array" ref="AB630">TEXT(MIN(IF($E$2:$E$633=E630, $B$2:$B$633)), "YYYY-MM")</f>
        <v>2023-01</v>
      </c>
      <c r="AC630" s="13">
        <f>SUM($T$2:T630)</f>
        <v>10875334.137399998</v>
      </c>
    </row>
    <row r="631" spans="1:29" x14ac:dyDescent="0.45">
      <c r="A631" t="s">
        <v>643</v>
      </c>
      <c r="B631" s="2">
        <v>45267</v>
      </c>
      <c r="C631" s="2">
        <v>45293</v>
      </c>
      <c r="D631" t="s">
        <v>649</v>
      </c>
      <c r="E631" t="s">
        <v>656</v>
      </c>
      <c r="F631" t="s">
        <v>698</v>
      </c>
      <c r="G631" t="s">
        <v>706</v>
      </c>
      <c r="H631" s="9" t="s">
        <v>710</v>
      </c>
      <c r="I631" s="9" t="s">
        <v>718</v>
      </c>
      <c r="J631" s="9" t="s">
        <v>727</v>
      </c>
      <c r="K631" t="s">
        <v>1361</v>
      </c>
      <c r="L631" s="7">
        <v>1071.99</v>
      </c>
      <c r="M631" s="7">
        <v>2397.3000000000002</v>
      </c>
      <c r="N631" s="5">
        <v>6.2E-2</v>
      </c>
      <c r="O631">
        <v>18</v>
      </c>
      <c r="P631" s="2">
        <f t="shared" si="81"/>
        <v>45293</v>
      </c>
      <c r="Q631" t="str">
        <f t="shared" si="82"/>
        <v>Ok</v>
      </c>
      <c r="R631">
        <f>ABS(Table2[[#This Row],[UnitPrice]])</f>
        <v>2397.3000000000002</v>
      </c>
      <c r="S631">
        <f t="shared" si="83"/>
        <v>26</v>
      </c>
      <c r="T631" s="12">
        <f t="shared" si="84"/>
        <v>40476.013200000001</v>
      </c>
      <c r="U631">
        <f>Table2[[#This Row],[UnitCost]]*Table2[[#This Row],[Quantity]]</f>
        <v>19295.82</v>
      </c>
      <c r="V631" s="13">
        <f t="shared" si="85"/>
        <v>21180.193200000002</v>
      </c>
      <c r="W631" s="5">
        <f t="shared" si="86"/>
        <v>0.52327765324476183</v>
      </c>
      <c r="X631" s="17" t="str">
        <f t="shared" si="87"/>
        <v>Dec-2023</v>
      </c>
      <c r="Z631" t="str">
        <f t="shared" si="88"/>
        <v>Europe. Germany. Frankfurt</v>
      </c>
      <c r="AA631" t="str">
        <f t="shared" si="89"/>
        <v>High</v>
      </c>
      <c r="AB631" t="str">
        <f t="array" ref="AB631">TEXT(MIN(IF($E$2:$E$633=E631, $B$2:$B$633)), "YYYY-MM")</f>
        <v>2023-01</v>
      </c>
      <c r="AC631" s="13">
        <f>SUM($T$2:T631)</f>
        <v>10915810.150599997</v>
      </c>
    </row>
    <row r="632" spans="1:29" x14ac:dyDescent="0.45">
      <c r="A632" t="s">
        <v>644</v>
      </c>
      <c r="B632" s="2">
        <v>45249</v>
      </c>
      <c r="C632" s="2">
        <v>45279</v>
      </c>
      <c r="D632" t="s">
        <v>647</v>
      </c>
      <c r="E632" t="s">
        <v>652</v>
      </c>
      <c r="F632" t="s">
        <v>694</v>
      </c>
      <c r="G632" t="s">
        <v>704</v>
      </c>
      <c r="H632" s="9" t="s">
        <v>707</v>
      </c>
      <c r="I632" s="9" t="s">
        <v>1422</v>
      </c>
      <c r="J632" s="9" t="s">
        <v>730</v>
      </c>
      <c r="K632" t="s">
        <v>1362</v>
      </c>
      <c r="L632" s="7">
        <v>807.11</v>
      </c>
      <c r="M632" s="7">
        <v>1853.86</v>
      </c>
      <c r="N632" s="5">
        <v>0.13900000000000001</v>
      </c>
      <c r="O632">
        <v>8</v>
      </c>
      <c r="P632" s="2">
        <f t="shared" si="81"/>
        <v>45279</v>
      </c>
      <c r="Q632" t="str">
        <f t="shared" si="82"/>
        <v>Ok</v>
      </c>
      <c r="R632">
        <f>ABS(Table2[[#This Row],[UnitPrice]])</f>
        <v>1853.86</v>
      </c>
      <c r="S632">
        <f t="shared" si="83"/>
        <v>30</v>
      </c>
      <c r="T632" s="12">
        <f t="shared" si="84"/>
        <v>12769.38768</v>
      </c>
      <c r="U632">
        <f>Table2[[#This Row],[UnitCost]]*Table2[[#This Row],[Quantity]]</f>
        <v>6456.88</v>
      </c>
      <c r="V632" s="13">
        <f t="shared" si="85"/>
        <v>6312.5076799999997</v>
      </c>
      <c r="W632" s="5">
        <f t="shared" si="86"/>
        <v>0.49434693645388639</v>
      </c>
      <c r="X632" s="17" t="str">
        <f t="shared" si="87"/>
        <v>Nov-2023</v>
      </c>
      <c r="Z632" t="str">
        <f t="shared" si="88"/>
        <v>Asia. Japan. Nagoya</v>
      </c>
      <c r="AA632" t="str">
        <f t="shared" si="89"/>
        <v>High</v>
      </c>
      <c r="AB632" t="str">
        <f t="array" ref="AB632">TEXT(MIN(IF($E$2:$E$633=E632, $B$2:$B$633)), "YYYY-MM")</f>
        <v>2023-03</v>
      </c>
      <c r="AC632" s="13">
        <f>SUM($T$2:T632)</f>
        <v>10928579.538279997</v>
      </c>
    </row>
    <row r="633" spans="1:29" x14ac:dyDescent="0.45">
      <c r="A633" t="s">
        <v>645</v>
      </c>
      <c r="B633" s="2">
        <v>45716</v>
      </c>
      <c r="C633" s="2">
        <v>45726</v>
      </c>
      <c r="D633" t="s">
        <v>647</v>
      </c>
      <c r="E633" t="s">
        <v>652</v>
      </c>
      <c r="F633" t="s">
        <v>666</v>
      </c>
      <c r="G633" t="s">
        <v>702</v>
      </c>
      <c r="H633" s="9" t="s">
        <v>710</v>
      </c>
      <c r="I633" s="9" t="s">
        <v>725</v>
      </c>
      <c r="J633" s="9" t="s">
        <v>731</v>
      </c>
      <c r="K633" t="s">
        <v>1363</v>
      </c>
      <c r="L633" s="7">
        <v>51.86</v>
      </c>
      <c r="M633" s="7">
        <v>45.98</v>
      </c>
      <c r="N633" s="5">
        <v>0.17299999999999999</v>
      </c>
      <c r="O633">
        <v>7</v>
      </c>
      <c r="P633" s="2">
        <f t="shared" si="81"/>
        <v>45726</v>
      </c>
      <c r="Q633" t="str">
        <f t="shared" si="82"/>
        <v>Ok</v>
      </c>
      <c r="R633">
        <f>ABS(Table2[[#This Row],[UnitPrice]])</f>
        <v>45.98</v>
      </c>
      <c r="S633">
        <f t="shared" si="83"/>
        <v>10</v>
      </c>
      <c r="T633" s="12">
        <f t="shared" si="84"/>
        <v>266.17821999999995</v>
      </c>
      <c r="U633">
        <f>Table2[[#This Row],[UnitCost]]*Table2[[#This Row],[Quantity]]</f>
        <v>363.02</v>
      </c>
      <c r="V633" s="13">
        <f t="shared" si="85"/>
        <v>-96.841780000000028</v>
      </c>
      <c r="W633" s="5">
        <f t="shared" si="86"/>
        <v>-0.3638230806412337</v>
      </c>
      <c r="X633" s="17" t="str">
        <f t="shared" si="87"/>
        <v>Feb-2025</v>
      </c>
      <c r="Z633" t="str">
        <f t="shared" si="88"/>
        <v>Asia. Japan. Osaka</v>
      </c>
      <c r="AA633" t="str">
        <f t="shared" si="89"/>
        <v>Low</v>
      </c>
      <c r="AB633" t="str">
        <f t="array" ref="AB633">TEXT(MIN(IF($E$2:$E$633=E633, $B$2:$B$633)), "YYYY-MM")</f>
        <v>2023-03</v>
      </c>
      <c r="AC633" s="13">
        <f>SUM($T$2:T633)</f>
        <v>10928845.716499997</v>
      </c>
    </row>
  </sheetData>
  <autoFilter ref="P1:AA633"/>
  <conditionalFormatting sqref="A1:A1048576">
    <cfRule type="duplicateValues" dxfId="1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7"/>
  <sheetViews>
    <sheetView topLeftCell="A24" workbookViewId="0">
      <selection activeCell="A33" sqref="A33"/>
    </sheetView>
  </sheetViews>
  <sheetFormatPr defaultRowHeight="14.25" x14ac:dyDescent="0.45"/>
  <sheetData>
    <row r="1" spans="1:1" x14ac:dyDescent="0.45">
      <c r="A1" s="1" t="s">
        <v>1364</v>
      </c>
    </row>
    <row r="2" spans="1:1" x14ac:dyDescent="0.45">
      <c r="A2" t="s">
        <v>1365</v>
      </c>
    </row>
    <row r="4" spans="1:1" x14ac:dyDescent="0.45">
      <c r="A4" t="s">
        <v>1366</v>
      </c>
    </row>
    <row r="5" spans="1:1" x14ac:dyDescent="0.45">
      <c r="A5" t="s">
        <v>1367</v>
      </c>
    </row>
    <row r="6" spans="1:1" x14ac:dyDescent="0.45">
      <c r="A6" t="s">
        <v>1368</v>
      </c>
    </row>
    <row r="8" spans="1:1" x14ac:dyDescent="0.45">
      <c r="A8" t="s">
        <v>1369</v>
      </c>
    </row>
    <row r="9" spans="1:1" x14ac:dyDescent="0.45">
      <c r="A9" t="s">
        <v>1370</v>
      </c>
    </row>
    <row r="10" spans="1:1" x14ac:dyDescent="0.45">
      <c r="A10" t="s">
        <v>1371</v>
      </c>
    </row>
    <row r="11" spans="1:1" x14ac:dyDescent="0.45">
      <c r="A11" t="s">
        <v>1372</v>
      </c>
    </row>
    <row r="12" spans="1:1" x14ac:dyDescent="0.45">
      <c r="A12" t="s">
        <v>1373</v>
      </c>
    </row>
    <row r="13" spans="1:1" x14ac:dyDescent="0.45">
      <c r="A13" t="s">
        <v>1374</v>
      </c>
    </row>
    <row r="14" spans="1:1" x14ac:dyDescent="0.45">
      <c r="A14" t="s">
        <v>1375</v>
      </c>
    </row>
    <row r="15" spans="1:1" x14ac:dyDescent="0.45">
      <c r="A15" t="s">
        <v>1376</v>
      </c>
    </row>
    <row r="17" spans="1:1" x14ac:dyDescent="0.45">
      <c r="A17" t="s">
        <v>1377</v>
      </c>
    </row>
    <row r="18" spans="1:1" x14ac:dyDescent="0.45">
      <c r="A18" t="s">
        <v>1378</v>
      </c>
    </row>
    <row r="19" spans="1:1" x14ac:dyDescent="0.45">
      <c r="A19" t="s">
        <v>1379</v>
      </c>
    </row>
    <row r="20" spans="1:1" x14ac:dyDescent="0.45">
      <c r="A20" t="s">
        <v>1380</v>
      </c>
    </row>
    <row r="21" spans="1:1" x14ac:dyDescent="0.45">
      <c r="A21" t="s">
        <v>1381</v>
      </c>
    </row>
    <row r="23" spans="1:1" x14ac:dyDescent="0.45">
      <c r="A23" t="s">
        <v>1382</v>
      </c>
    </row>
    <row r="24" spans="1:1" x14ac:dyDescent="0.45">
      <c r="A24" t="s">
        <v>1383</v>
      </c>
    </row>
    <row r="25" spans="1:1" x14ac:dyDescent="0.45">
      <c r="A25" t="s">
        <v>1384</v>
      </c>
    </row>
    <row r="26" spans="1:1" x14ac:dyDescent="0.45">
      <c r="A26" t="s">
        <v>1385</v>
      </c>
    </row>
    <row r="27" spans="1:1" x14ac:dyDescent="0.45">
      <c r="A27" t="s">
        <v>1386</v>
      </c>
    </row>
    <row r="29" spans="1:1" x14ac:dyDescent="0.45">
      <c r="A29" t="s">
        <v>1387</v>
      </c>
    </row>
    <row r="30" spans="1:1" x14ac:dyDescent="0.45">
      <c r="A30" t="s">
        <v>1388</v>
      </c>
    </row>
    <row r="31" spans="1:1" x14ac:dyDescent="0.45">
      <c r="A31" t="s">
        <v>1389</v>
      </c>
    </row>
    <row r="32" spans="1:1" x14ac:dyDescent="0.45">
      <c r="A32" t="s">
        <v>1390</v>
      </c>
    </row>
    <row r="33" spans="1:1" x14ac:dyDescent="0.45">
      <c r="A33" t="s">
        <v>1391</v>
      </c>
    </row>
    <row r="34" spans="1:1" x14ac:dyDescent="0.45">
      <c r="A34" t="s">
        <v>1392</v>
      </c>
    </row>
    <row r="35" spans="1:1" x14ac:dyDescent="0.45">
      <c r="A35" t="s">
        <v>1393</v>
      </c>
    </row>
    <row r="36" spans="1:1" x14ac:dyDescent="0.45">
      <c r="A36" t="s">
        <v>1394</v>
      </c>
    </row>
    <row r="37" spans="1:1" x14ac:dyDescent="0.45">
      <c r="A37" t="s">
        <v>1395</v>
      </c>
    </row>
    <row r="38" spans="1:1" x14ac:dyDescent="0.45">
      <c r="A38" t="s">
        <v>1396</v>
      </c>
    </row>
    <row r="39" spans="1:1" x14ac:dyDescent="0.45">
      <c r="A39" t="s">
        <v>1397</v>
      </c>
    </row>
    <row r="40" spans="1:1" x14ac:dyDescent="0.45">
      <c r="A40" t="s">
        <v>1398</v>
      </c>
    </row>
    <row r="41" spans="1:1" x14ac:dyDescent="0.45">
      <c r="A41" t="s">
        <v>1399</v>
      </c>
    </row>
    <row r="43" spans="1:1" x14ac:dyDescent="0.45">
      <c r="A43" t="s">
        <v>1400</v>
      </c>
    </row>
    <row r="44" spans="1:1" x14ac:dyDescent="0.45">
      <c r="A44" t="s">
        <v>1401</v>
      </c>
    </row>
    <row r="45" spans="1:1" x14ac:dyDescent="0.45">
      <c r="A45" t="s">
        <v>1402</v>
      </c>
    </row>
    <row r="46" spans="1:1" x14ac:dyDescent="0.45">
      <c r="A46" t="s">
        <v>1403</v>
      </c>
    </row>
    <row r="47" spans="1:1" x14ac:dyDescent="0.45">
      <c r="A47" t="s">
        <v>1404</v>
      </c>
    </row>
    <row r="48" spans="1:1" x14ac:dyDescent="0.45">
      <c r="A48" t="s">
        <v>1405</v>
      </c>
    </row>
    <row r="50" spans="1:1" x14ac:dyDescent="0.45">
      <c r="A50" t="s">
        <v>1406</v>
      </c>
    </row>
    <row r="51" spans="1:1" x14ac:dyDescent="0.45">
      <c r="A51" t="s">
        <v>1407</v>
      </c>
    </row>
    <row r="52" spans="1:1" x14ac:dyDescent="0.45">
      <c r="A52" t="s">
        <v>1408</v>
      </c>
    </row>
    <row r="53" spans="1:1" x14ac:dyDescent="0.45">
      <c r="A53" t="s">
        <v>1409</v>
      </c>
    </row>
    <row r="54" spans="1:1" x14ac:dyDescent="0.45">
      <c r="A54" t="s">
        <v>1410</v>
      </c>
    </row>
    <row r="55" spans="1:1" x14ac:dyDescent="0.45">
      <c r="A55" t="s">
        <v>1411</v>
      </c>
    </row>
    <row r="56" spans="1:1" x14ac:dyDescent="0.45">
      <c r="A56" t="s">
        <v>1412</v>
      </c>
    </row>
    <row r="57" spans="1:1" x14ac:dyDescent="0.45">
      <c r="A57" t="s">
        <v>1413</v>
      </c>
    </row>
    <row r="58" spans="1:1" x14ac:dyDescent="0.45">
      <c r="A58" t="s">
        <v>1414</v>
      </c>
    </row>
    <row r="59" spans="1:1" x14ac:dyDescent="0.45">
      <c r="A59" t="s">
        <v>1415</v>
      </c>
    </row>
    <row r="61" spans="1:1" x14ac:dyDescent="0.45">
      <c r="A61" t="s">
        <v>1416</v>
      </c>
    </row>
    <row r="62" spans="1:1" x14ac:dyDescent="0.45">
      <c r="A62" t="s">
        <v>1417</v>
      </c>
    </row>
    <row r="64" spans="1:1" x14ac:dyDescent="0.45">
      <c r="A64" t="s">
        <v>1418</v>
      </c>
    </row>
    <row r="65" spans="1:1" x14ac:dyDescent="0.45">
      <c r="A65" t="s">
        <v>1419</v>
      </c>
    </row>
    <row r="66" spans="1:1" x14ac:dyDescent="0.45">
      <c r="A66" t="s">
        <v>1420</v>
      </c>
    </row>
    <row r="67" spans="1:1" x14ac:dyDescent="0.45">
      <c r="A67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Sheet3</vt:lpstr>
      <vt:lpstr>Data</vt:lpstr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ADMIN</cp:lastModifiedBy>
  <dcterms:created xsi:type="dcterms:W3CDTF">2025-09-28T10:49:35Z</dcterms:created>
  <dcterms:modified xsi:type="dcterms:W3CDTF">2026-06-14T09:39:25Z</dcterms:modified>
</cp:coreProperties>
</file>